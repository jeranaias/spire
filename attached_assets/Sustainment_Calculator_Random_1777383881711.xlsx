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nicole.merchant\OneDrive - United States Marine Corps\Desktop\"/>
    </mc:Choice>
  </mc:AlternateContent>
  <bookViews>
    <workbookView xWindow="0" yWindow="4410" windowWidth="20490" windowHeight="7545" tabRatio="984"/>
  </bookViews>
  <sheets>
    <sheet name="Field Sanitation" sheetId="8" r:id="rId1"/>
    <sheet name="Calculations" sheetId="11" r:id="rId2"/>
    <sheet name="CONVOY MOVEMENT CALCULATOR" sheetId="7" r:id="rId3"/>
    <sheet name="FUEL CALCULATOR_GROUND" sheetId="5" r:id="rId4"/>
    <sheet name="WATER CALCULATOR" sheetId="4" r:id="rId5"/>
    <sheet name="RATIONS CALCULATOR" sheetId="3" r:id="rId6"/>
    <sheet name="FUEL CALCULATOR_AIR" sheetId="9" r:id="rId7"/>
    <sheet name="RATE OF MARCH REF" sheetId="6" r:id="rId8"/>
    <sheet name="TE CAPABILITY" sheetId="13" r:id="rId9"/>
  </sheets>
  <calcPr calcId="162913"/>
</workbook>
</file>

<file path=xl/calcChain.xml><?xml version="1.0" encoding="utf-8"?>
<calcChain xmlns="http://schemas.openxmlformats.org/spreadsheetml/2006/main">
  <c r="J22" i="5" l="1"/>
  <c r="J23" i="5"/>
  <c r="J24" i="5"/>
  <c r="J25" i="5"/>
  <c r="J26" i="5"/>
  <c r="J27" i="5"/>
  <c r="J28" i="5"/>
  <c r="J29" i="5"/>
  <c r="J30" i="5"/>
  <c r="J31" i="5"/>
  <c r="K23" i="5"/>
  <c r="K24" i="5"/>
  <c r="I25" i="5"/>
  <c r="I26" i="5"/>
  <c r="K26" i="5" s="1"/>
  <c r="I27" i="5"/>
  <c r="K27" i="5" s="1"/>
  <c r="I28" i="5"/>
  <c r="I29" i="5"/>
  <c r="I30" i="5"/>
  <c r="K30" i="5" s="1"/>
  <c r="I31" i="5"/>
  <c r="K31" i="5" s="1"/>
  <c r="I32" i="5"/>
  <c r="I33" i="5"/>
  <c r="I34" i="5"/>
  <c r="I35" i="5"/>
  <c r="I36" i="5"/>
  <c r="I37" i="5"/>
  <c r="I38" i="5"/>
  <c r="I39" i="5"/>
  <c r="I40" i="5"/>
  <c r="I41" i="5"/>
  <c r="I42" i="5"/>
  <c r="I23" i="5"/>
  <c r="I24" i="5"/>
  <c r="I12" i="5"/>
  <c r="K25" i="5" l="1"/>
  <c r="K29" i="5"/>
  <c r="K28" i="5"/>
  <c r="J12" i="11"/>
  <c r="C19" i="11"/>
  <c r="C16" i="11"/>
  <c r="H26" i="13"/>
  <c r="H27" i="13"/>
  <c r="H28" i="13"/>
  <c r="H29" i="13"/>
  <c r="H30" i="13"/>
  <c r="H33" i="13"/>
  <c r="C34" i="13"/>
  <c r="D34" i="13"/>
  <c r="E34" i="13"/>
  <c r="H34" i="13"/>
  <c r="H35" i="13"/>
  <c r="H36" i="13"/>
  <c r="H37" i="13"/>
  <c r="H40" i="13"/>
  <c r="H41" i="13"/>
  <c r="H42" i="13"/>
  <c r="H43" i="13"/>
  <c r="H44" i="13"/>
  <c r="F19" i="7" l="1"/>
  <c r="G16" i="7"/>
  <c r="G6" i="7"/>
  <c r="H7" i="7" s="1"/>
  <c r="F18" i="7"/>
  <c r="F20" i="7"/>
  <c r="F6" i="7"/>
  <c r="G14" i="5" l="1"/>
  <c r="J13" i="11" l="1"/>
  <c r="J15" i="11" s="1"/>
  <c r="I13" i="11"/>
  <c r="I15" i="11" s="1"/>
  <c r="I8" i="11" l="1"/>
  <c r="L7" i="11"/>
  <c r="L6" i="11"/>
  <c r="L5" i="11"/>
  <c r="C25" i="11"/>
  <c r="F15" i="11"/>
  <c r="C22" i="11"/>
  <c r="F18" i="11"/>
  <c r="F21" i="11"/>
  <c r="F24" i="11"/>
  <c r="F5" i="11"/>
  <c r="F6" i="11"/>
  <c r="L8" i="11" l="1"/>
  <c r="J33" i="5"/>
  <c r="K33" i="5" s="1"/>
  <c r="J34" i="5"/>
  <c r="K34" i="5" s="1"/>
  <c r="J35" i="5"/>
  <c r="K35" i="5" s="1"/>
  <c r="J36" i="5"/>
  <c r="K36" i="5" s="1"/>
  <c r="J37" i="5"/>
  <c r="K37" i="5" s="1"/>
  <c r="J38" i="5"/>
  <c r="K38" i="5" s="1"/>
  <c r="J39" i="5"/>
  <c r="K39" i="5" s="1"/>
  <c r="J40" i="5"/>
  <c r="K40" i="5" s="1"/>
  <c r="J41" i="5"/>
  <c r="K41" i="5" s="1"/>
  <c r="J42" i="5"/>
  <c r="K42" i="5" s="1"/>
  <c r="J32" i="5"/>
  <c r="J5" i="5"/>
  <c r="J6" i="5"/>
  <c r="J7" i="5"/>
  <c r="J8" i="5"/>
  <c r="J9" i="5"/>
  <c r="J10" i="5"/>
  <c r="J11" i="5"/>
  <c r="J12" i="5"/>
  <c r="J13" i="5"/>
  <c r="J14" i="5"/>
  <c r="J15" i="5"/>
  <c r="J16" i="5"/>
  <c r="J4" i="5"/>
  <c r="J43" i="5" l="1"/>
  <c r="K32" i="5"/>
  <c r="J17" i="5"/>
  <c r="J46" i="5" l="1"/>
  <c r="F73" i="3"/>
  <c r="F74" i="3" s="1"/>
  <c r="F75" i="3" s="1"/>
  <c r="F76" i="3" s="1"/>
  <c r="F62" i="3"/>
  <c r="F63" i="3" s="1"/>
  <c r="F64" i="3" s="1"/>
  <c r="F65" i="3" s="1"/>
  <c r="F51" i="3"/>
  <c r="F52" i="3" s="1"/>
  <c r="F53" i="3" s="1"/>
  <c r="F54" i="3" s="1"/>
  <c r="F40" i="3"/>
  <c r="F41" i="3" s="1"/>
  <c r="F42" i="3" s="1"/>
  <c r="F43" i="3" s="1"/>
  <c r="F29" i="3"/>
  <c r="F30" i="3" s="1"/>
  <c r="F31" i="3" s="1"/>
  <c r="F32" i="3" s="1"/>
  <c r="F18" i="3"/>
  <c r="F19" i="3" s="1"/>
  <c r="F20" i="3" s="1"/>
  <c r="F21" i="3" s="1"/>
  <c r="F7" i="3"/>
  <c r="F8" i="3" s="1"/>
  <c r="F9" i="3" s="1"/>
  <c r="F10" i="3" s="1"/>
  <c r="F12" i="11" l="1"/>
  <c r="C13" i="11"/>
  <c r="C10" i="11"/>
  <c r="C7" i="11"/>
  <c r="F7" i="11" l="1"/>
  <c r="E49" i="9" l="1"/>
  <c r="F49" i="9" s="1"/>
  <c r="F48" i="9"/>
  <c r="E47" i="9"/>
  <c r="F47" i="9" s="1"/>
  <c r="F46" i="9"/>
  <c r="E45" i="9"/>
  <c r="F45" i="9" s="1"/>
  <c r="E44" i="9"/>
  <c r="F44" i="9" s="1"/>
  <c r="F43" i="9"/>
  <c r="E42" i="9"/>
  <c r="F42" i="9" s="1"/>
  <c r="E41" i="9"/>
  <c r="E40" i="9"/>
  <c r="F40" i="9" s="1"/>
  <c r="F39" i="9"/>
  <c r="F38" i="9"/>
  <c r="F37" i="9"/>
  <c r="E23" i="9"/>
  <c r="F21" i="9"/>
  <c r="F20" i="9"/>
  <c r="F19" i="9"/>
  <c r="F18" i="9"/>
  <c r="F17" i="9"/>
  <c r="F16" i="9"/>
  <c r="F15" i="9"/>
  <c r="F14" i="9"/>
  <c r="F13" i="9"/>
  <c r="F12" i="9"/>
  <c r="F11" i="9"/>
  <c r="F10" i="9"/>
  <c r="F9" i="9"/>
  <c r="F8" i="9"/>
  <c r="F7" i="9"/>
  <c r="E51" i="9" l="1"/>
  <c r="F41" i="9"/>
  <c r="F51" i="9" s="1"/>
  <c r="F23" i="9"/>
  <c r="F25" i="9" s="1"/>
  <c r="G7" i="5"/>
  <c r="I7" i="5"/>
  <c r="K7" i="5" s="1"/>
  <c r="G15" i="5"/>
  <c r="I15" i="5"/>
  <c r="K15" i="5" s="1"/>
  <c r="M20" i="4"/>
  <c r="L20" i="4"/>
  <c r="K20" i="4"/>
  <c r="J20" i="4"/>
  <c r="I20" i="4"/>
  <c r="M13" i="4"/>
  <c r="L13" i="4"/>
  <c r="K13" i="4"/>
  <c r="J13" i="4"/>
  <c r="I13" i="4"/>
  <c r="H13" i="4"/>
  <c r="H21" i="4" s="1"/>
  <c r="H22" i="4" s="1"/>
  <c r="G13" i="4"/>
  <c r="G21" i="4" s="1"/>
  <c r="G22" i="4" s="1"/>
  <c r="F20" i="4"/>
  <c r="F13" i="4"/>
  <c r="E13" i="4"/>
  <c r="E20" i="4"/>
  <c r="K21" i="4" l="1"/>
  <c r="K22" i="4" s="1"/>
  <c r="K23" i="4" s="1"/>
  <c r="I21" i="4"/>
  <c r="I22" i="4" s="1"/>
  <c r="E21" i="4"/>
  <c r="E22" i="4" s="1"/>
  <c r="L21" i="4"/>
  <c r="L22" i="4" s="1"/>
  <c r="L23" i="4" s="1"/>
  <c r="J21" i="4"/>
  <c r="J22" i="4" s="1"/>
  <c r="J23" i="4" s="1"/>
  <c r="F53" i="9"/>
  <c r="F21" i="4"/>
  <c r="F22" i="4" s="1"/>
  <c r="G23" i="4"/>
  <c r="M21" i="4"/>
  <c r="M22" i="4" s="1"/>
  <c r="H23" i="4"/>
  <c r="I10" i="5"/>
  <c r="K10" i="5" s="1"/>
  <c r="G10" i="5"/>
  <c r="E23" i="4" l="1"/>
  <c r="I23" i="4"/>
  <c r="M23" i="4"/>
  <c r="H25" i="4" s="1"/>
  <c r="F23" i="4"/>
  <c r="M25" i="4" l="1"/>
  <c r="F29" i="4" s="1"/>
  <c r="M27" i="4"/>
  <c r="M31" i="4" s="1"/>
  <c r="F31" i="4" l="1"/>
  <c r="M29" i="4"/>
  <c r="I14" i="5"/>
  <c r="K14" i="5" s="1"/>
  <c r="B38" i="7" l="1"/>
  <c r="G36" i="7"/>
  <c r="B27" i="7"/>
  <c r="F26" i="7"/>
  <c r="F25" i="7"/>
  <c r="F24" i="7"/>
  <c r="F23" i="7"/>
  <c r="F22" i="7"/>
  <c r="F21" i="7"/>
  <c r="F17" i="7"/>
  <c r="F16" i="7"/>
  <c r="F15" i="7"/>
  <c r="F14" i="7"/>
  <c r="F13" i="7"/>
  <c r="F12" i="7"/>
  <c r="F11" i="7"/>
  <c r="F10" i="7"/>
  <c r="F9" i="7"/>
  <c r="F8" i="7"/>
  <c r="F7" i="7"/>
  <c r="F27" i="7" l="1"/>
  <c r="I22" i="5"/>
  <c r="K22" i="5" s="1"/>
  <c r="I16" i="5"/>
  <c r="K16" i="5" s="1"/>
  <c r="G16" i="5"/>
  <c r="F13" i="5"/>
  <c r="I13" i="5" s="1"/>
  <c r="K13" i="5" s="1"/>
  <c r="K12" i="5"/>
  <c r="G12" i="5"/>
  <c r="F11" i="5"/>
  <c r="I11" i="5" s="1"/>
  <c r="K11" i="5" s="1"/>
  <c r="I9" i="5"/>
  <c r="K9" i="5" s="1"/>
  <c r="G9" i="5"/>
  <c r="F6" i="5"/>
  <c r="I6" i="5" s="1"/>
  <c r="K6" i="5" s="1"/>
  <c r="I5" i="5"/>
  <c r="K5" i="5" s="1"/>
  <c r="I4" i="5"/>
  <c r="K4" i="5" l="1"/>
  <c r="G25" i="7"/>
  <c r="G27" i="7" s="1"/>
  <c r="G30" i="7" s="1"/>
  <c r="G32" i="7" s="1"/>
  <c r="G37" i="7" s="1"/>
  <c r="G8" i="7"/>
  <c r="G9" i="7" s="1"/>
  <c r="I9" i="7" s="1"/>
  <c r="K43" i="5"/>
  <c r="I43" i="5"/>
  <c r="I8" i="5"/>
  <c r="I17" i="5" s="1"/>
  <c r="I46" i="5" l="1"/>
  <c r="O13" i="5"/>
  <c r="I47" i="5"/>
  <c r="I48" i="5" s="1"/>
  <c r="K8" i="5"/>
  <c r="K17" i="5" s="1"/>
  <c r="O21" i="5" l="1"/>
  <c r="O28" i="5" s="1"/>
  <c r="O42" i="5"/>
  <c r="O35" i="5" l="1"/>
</calcChain>
</file>

<file path=xl/comments1.xml><?xml version="1.0" encoding="utf-8"?>
<comments xmlns="http://schemas.openxmlformats.org/spreadsheetml/2006/main">
  <authors>
    <author>Gagnon Maj Michael J</author>
  </authors>
  <commentList>
    <comment ref="B10" authorId="0" shapeId="0">
      <text>
        <r>
          <rPr>
            <b/>
            <sz val="9"/>
            <color indexed="81"/>
            <rFont val="Tahoma"/>
            <family val="2"/>
          </rPr>
          <t>Insert gallons</t>
        </r>
      </text>
    </comment>
    <comment ref="B13" authorId="0" shapeId="0">
      <text>
        <r>
          <rPr>
            <b/>
            <sz val="9"/>
            <color indexed="81"/>
            <rFont val="Tahoma"/>
            <family val="2"/>
          </rPr>
          <t>Insert gallons</t>
        </r>
      </text>
    </comment>
    <comment ref="E15" authorId="0" shapeId="0">
      <text>
        <r>
          <rPr>
            <b/>
            <sz val="9"/>
            <color indexed="81"/>
            <rFont val="Tahoma"/>
            <family val="2"/>
          </rPr>
          <t>Insert gallons</t>
        </r>
      </text>
    </comment>
    <comment ref="B16" authorId="0" shapeId="0">
      <text>
        <r>
          <rPr>
            <b/>
            <sz val="9"/>
            <color indexed="81"/>
            <rFont val="Tahoma"/>
            <family val="2"/>
          </rPr>
          <t>Insert LBS</t>
        </r>
      </text>
    </comment>
    <comment ref="E18" authorId="0" shapeId="0">
      <text>
        <r>
          <rPr>
            <b/>
            <sz val="9"/>
            <color indexed="81"/>
            <rFont val="Tahoma"/>
            <family val="2"/>
          </rPr>
          <t>Insert gallons</t>
        </r>
      </text>
    </comment>
    <comment ref="B19" authorId="0" shapeId="0">
      <text>
        <r>
          <rPr>
            <b/>
            <sz val="9"/>
            <color indexed="81"/>
            <rFont val="Tahoma"/>
            <family val="2"/>
          </rPr>
          <t>Insert KG</t>
        </r>
      </text>
    </comment>
    <comment ref="E21" authorId="0" shapeId="0">
      <text>
        <r>
          <rPr>
            <b/>
            <sz val="9"/>
            <color indexed="81"/>
            <rFont val="Tahoma"/>
            <family val="2"/>
          </rPr>
          <t>Insert gallons</t>
        </r>
      </text>
    </comment>
    <comment ref="B22" authorId="0" shapeId="0">
      <text>
        <r>
          <rPr>
            <b/>
            <sz val="9"/>
            <color indexed="81"/>
            <rFont val="Tahoma"/>
            <family val="2"/>
          </rPr>
          <t>Insert gallons</t>
        </r>
      </text>
    </comment>
    <comment ref="E24" authorId="0" shapeId="0">
      <text>
        <r>
          <rPr>
            <b/>
            <sz val="9"/>
            <color indexed="81"/>
            <rFont val="Tahoma"/>
            <family val="2"/>
          </rPr>
          <t>Insert gallons</t>
        </r>
      </text>
    </comment>
    <comment ref="B25" authorId="0" shapeId="0">
      <text>
        <r>
          <rPr>
            <b/>
            <sz val="9"/>
            <color indexed="81"/>
            <rFont val="Tahoma"/>
            <family val="2"/>
          </rPr>
          <t>Insert LBS</t>
        </r>
      </text>
    </comment>
    <comment ref="B29" authorId="0" shapeId="0">
      <text>
        <r>
          <rPr>
            <b/>
            <sz val="9"/>
            <color indexed="81"/>
            <rFont val="Tahoma"/>
            <family val="2"/>
          </rPr>
          <t>Greater distances chosen</t>
        </r>
      </text>
    </comment>
  </commentList>
</comments>
</file>

<file path=xl/comments2.xml><?xml version="1.0" encoding="utf-8"?>
<comments xmlns="http://schemas.openxmlformats.org/spreadsheetml/2006/main">
  <authors>
    <author>USMC</author>
  </authors>
  <commentList>
    <comment ref="G5" authorId="0" shapeId="0">
      <text>
        <r>
          <rPr>
            <b/>
            <sz val="8"/>
            <color indexed="81"/>
            <rFont val="Tahoma"/>
            <family val="2"/>
          </rPr>
          <t>USMC:</t>
        </r>
        <r>
          <rPr>
            <sz val="8"/>
            <color indexed="81"/>
            <rFont val="Tahoma"/>
            <family val="2"/>
          </rPr>
          <t xml:space="preserve">
5 FEET BETWEEN VEHICLES</t>
        </r>
      </text>
    </comment>
    <comment ref="K22" authorId="0" shapeId="0">
      <text>
        <r>
          <rPr>
            <b/>
            <sz val="8"/>
            <color indexed="81"/>
            <rFont val="Tahoma"/>
            <family val="2"/>
          </rPr>
          <t>USMC:</t>
        </r>
        <r>
          <rPr>
            <sz val="8"/>
            <color indexed="81"/>
            <rFont val="Tahoma"/>
            <family val="2"/>
          </rPr>
          <t xml:space="preserve">
FMFM 4-9 recommends the following:  Close formation - 40, open - 12, infiltration - 10 or less
</t>
        </r>
      </text>
    </comment>
    <comment ref="H23" authorId="0" shapeId="0">
      <text>
        <r>
          <rPr>
            <b/>
            <sz val="8"/>
            <color indexed="81"/>
            <rFont val="Tahoma"/>
            <family val="2"/>
          </rPr>
          <t>USMC:</t>
        </r>
        <r>
          <rPr>
            <sz val="8"/>
            <color indexed="81"/>
            <rFont val="Tahoma"/>
            <family val="2"/>
          </rPr>
          <t xml:space="preserve">
VEHICLE GAP IS EXPRESSED IN METERS, REPRESENTING THE GAP BETWEEN VEHICLES.</t>
        </r>
      </text>
    </comment>
    <comment ref="J25" authorId="0" shapeId="0">
      <text>
        <r>
          <rPr>
            <b/>
            <sz val="8"/>
            <color indexed="81"/>
            <rFont val="Tahoma"/>
            <family val="2"/>
          </rPr>
          <t>USMC:</t>
        </r>
        <r>
          <rPr>
            <sz val="8"/>
            <color indexed="81"/>
            <rFont val="Tahoma"/>
            <family val="2"/>
          </rPr>
          <t xml:space="preserve">
</t>
        </r>
      </text>
    </comment>
    <comment ref="B29" authorId="0" shapeId="0">
      <text>
        <r>
          <rPr>
            <b/>
            <sz val="8"/>
            <color indexed="81"/>
            <rFont val="Tahoma"/>
            <family val="2"/>
          </rPr>
          <t>USMC:</t>
        </r>
        <r>
          <rPr>
            <sz val="8"/>
            <color indexed="81"/>
            <rFont val="Tahoma"/>
            <family val="2"/>
          </rPr>
          <t xml:space="preserve">
[(NUMER OF MARCH UNITS - 1) X MARCH UNIT GAP] + [(NUMBER OF SERIALS - 1) X SERIAL TIME GAP - MARCH UNIT TIME GAP)].</t>
        </r>
      </text>
    </comment>
    <comment ref="H30" authorId="0" shapeId="0">
      <text>
        <r>
          <rPr>
            <b/>
            <sz val="8"/>
            <color indexed="81"/>
            <rFont val="Tahoma"/>
            <family val="2"/>
          </rPr>
          <t>USMC:</t>
        </r>
        <r>
          <rPr>
            <sz val="8"/>
            <color indexed="81"/>
            <rFont val="Tahoma"/>
            <family val="2"/>
          </rPr>
          <t xml:space="preserve">
(NUMBER OF VEHICLES / DENSITY) + ((TIME GAPS X RATE) / 60 MINUTES) </t>
        </r>
      </text>
    </comment>
    <comment ref="H32" authorId="0" shapeId="0">
      <text>
        <r>
          <rPr>
            <b/>
            <sz val="8"/>
            <color indexed="81"/>
            <rFont val="Tahoma"/>
            <family val="2"/>
          </rPr>
          <t>USMC:</t>
        </r>
        <r>
          <rPr>
            <sz val="8"/>
            <color indexed="81"/>
            <rFont val="Tahoma"/>
            <family val="2"/>
          </rPr>
          <t xml:space="preserve">
RC TIME STAYS THE SAME THROUGHOUT AS LONG AS NOTHING CHANGES.</t>
        </r>
      </text>
    </comment>
  </commentList>
</comments>
</file>

<file path=xl/comments3.xml><?xml version="1.0" encoding="utf-8"?>
<comments xmlns="http://schemas.openxmlformats.org/spreadsheetml/2006/main">
  <authors>
    <author>Gagnon Capt Michael J</author>
  </authors>
  <commentList>
    <comment ref="B22" authorId="0" shapeId="0">
      <text>
        <r>
          <rPr>
            <b/>
            <sz val="9"/>
            <color indexed="81"/>
            <rFont val="Tahoma"/>
            <family val="2"/>
          </rPr>
          <t>Added/Not part of the updated MSTP</t>
        </r>
      </text>
    </comment>
  </commentList>
</comments>
</file>

<file path=xl/sharedStrings.xml><?xml version="1.0" encoding="utf-8"?>
<sst xmlns="http://schemas.openxmlformats.org/spreadsheetml/2006/main" count="624" uniqueCount="372">
  <si>
    <t>MRE Calculations</t>
  </si>
  <si>
    <t>ENTER NUMBER OF PERSONNEL SUPPORTED:</t>
  </si>
  <si>
    <t>ENTER NUMBER OF MEALS PLANNED PER DAY:</t>
  </si>
  <si>
    <t>ENTER NUMBER OF DAYS FOR EXERCISE/OPERATION:</t>
  </si>
  <si>
    <t>TOTAL CASES NEEDED:</t>
  </si>
  <si>
    <t>TOTAL PALLETS NEEDED:</t>
  </si>
  <si>
    <t>TOTAL WEIGHT OF PALLETS:</t>
  </si>
  <si>
    <t>(pounds)</t>
  </si>
  <si>
    <t>Water Calculations</t>
  </si>
  <si>
    <t>FUNCTION</t>
  </si>
  <si>
    <t>DAILY GAL/MAN CALCULATION</t>
  </si>
  <si>
    <t>Sustain</t>
  </si>
  <si>
    <t>Minimum</t>
  </si>
  <si>
    <t>Vehicle Maintenance</t>
  </si>
  <si>
    <t>Aircraft Maintenance</t>
  </si>
  <si>
    <t>+10% Waste</t>
  </si>
  <si>
    <t>DAILY GALLONS PER MAN FOR EXERCISE/OPERATION:</t>
  </si>
  <si>
    <t>Nomenclature</t>
  </si>
  <si>
    <t>Qty in Unit</t>
  </si>
  <si>
    <t>Fuel Cap.</t>
  </si>
  <si>
    <t>MPG</t>
  </si>
  <si>
    <t>Needed Fuel</t>
  </si>
  <si>
    <t>M1A1 Main Battle Tank</t>
  </si>
  <si>
    <t>M88 Tank Retriever</t>
  </si>
  <si>
    <t>AAV</t>
  </si>
  <si>
    <t>LAV</t>
  </si>
  <si>
    <t xml:space="preserve">LVS </t>
  </si>
  <si>
    <t>AVLB</t>
  </si>
  <si>
    <t>MTVR</t>
  </si>
  <si>
    <t>M9 ACE</t>
  </si>
  <si>
    <t>HMMWV</t>
  </si>
  <si>
    <t>SUBTOTAL</t>
  </si>
  <si>
    <t>FUEL TOTAL</t>
  </si>
  <si>
    <t>GPH</t>
  </si>
  <si>
    <t>Hours Per Day</t>
  </si>
  <si>
    <t>Number of Days</t>
  </si>
  <si>
    <t>GALLONS</t>
  </si>
  <si>
    <t>Unopposed Foot March</t>
  </si>
  <si>
    <t>Roads</t>
  </si>
  <si>
    <t>Cross Country</t>
  </si>
  <si>
    <t>Visibility</t>
  </si>
  <si>
    <t>Rate of March (km/hr)</t>
  </si>
  <si>
    <t>Normal March (8hrs-km)</t>
  </si>
  <si>
    <t>Forced March (12hrs-km)</t>
  </si>
  <si>
    <t>Day</t>
  </si>
  <si>
    <t>Night</t>
  </si>
  <si>
    <t>day</t>
  </si>
  <si>
    <t>Note: Computed on a 50-minute hour, allowing 10 minute halt each hour.</t>
  </si>
  <si>
    <t>Unopposed Vehicle Movement Speed</t>
  </si>
  <si>
    <t>Max Road Speed</t>
  </si>
  <si>
    <t>Max Off-Road Speed</t>
  </si>
  <si>
    <t>M1/AAV/BFV</t>
  </si>
  <si>
    <t>Wheeled</t>
  </si>
  <si>
    <t>40 km/hr</t>
  </si>
  <si>
    <t>30 km/hr</t>
  </si>
  <si>
    <t>20km/hr</t>
  </si>
  <si>
    <t>10km/hr</t>
  </si>
  <si>
    <t>35km/hr</t>
  </si>
  <si>
    <t>25km/hr</t>
  </si>
  <si>
    <t>10-15km/hr</t>
  </si>
  <si>
    <t>5-10km/hr</t>
  </si>
  <si>
    <t>6-10km/hr</t>
  </si>
  <si>
    <t>2-4km/hr</t>
  </si>
  <si>
    <t>4-6km/hr</t>
  </si>
  <si>
    <t>2-3km/hr</t>
  </si>
  <si>
    <t>1-2km/hr</t>
  </si>
  <si>
    <t>Opposed Vehicle Movement Speed (Enemy Delaying)</t>
  </si>
  <si>
    <t>Opposed Vehicle Movement Speed (Enemy Defending)</t>
  </si>
  <si>
    <t>1km/hr</t>
  </si>
  <si>
    <t>1-1.5km/hr</t>
  </si>
  <si>
    <t>.5-1km/hr</t>
  </si>
  <si>
    <t>.05-1km/hr</t>
  </si>
  <si>
    <t>.05km/hr</t>
  </si>
  <si>
    <t>ROUTE MOVEMENT PLANNING</t>
  </si>
  <si>
    <t xml:space="preserve">FILL IN WHITE AREAS ONLY         </t>
  </si>
  <si>
    <t>ENTER TOTAL NUMBER OF VEHICLES IN CONVOY / SERIAL</t>
  </si>
  <si>
    <t>VEHICLE LENGTH</t>
  </si>
  <si>
    <t>BUMPER TO BUMPER                STAGING SPACE</t>
  </si>
  <si>
    <t>TOTAL VEHICLES</t>
  </si>
  <si>
    <t>TOTAL VEHICLE STAGING SPACE (FT)</t>
  </si>
  <si>
    <t>MILES</t>
  </si>
  <si>
    <t>KM</t>
  </si>
  <si>
    <t>MTVR W/ 353 TRAILER</t>
  </si>
  <si>
    <t>QUICK DISTANCE / TIME / RATE CALCULATOR</t>
  </si>
  <si>
    <t>MTVR W/ HOWITZER</t>
  </si>
  <si>
    <t>DISTANCE TO TRAVEL</t>
  </si>
  <si>
    <t>MTVR (XLWB)</t>
  </si>
  <si>
    <t>MTVR (XLWB) W/ 353 TRAILER</t>
  </si>
  <si>
    <t xml:space="preserve">RATE OF MARCH </t>
  </si>
  <si>
    <t>TIME (MINUTES)</t>
  </si>
  <si>
    <t>PASS TIME CALCULATOR</t>
  </si>
  <si>
    <t xml:space="preserve">     DENSITY</t>
  </si>
  <si>
    <t>VEHICLE GAP (METERS)</t>
  </si>
  <si>
    <t xml:space="preserve"> AVERAGE VEHICLE LENGTH (METERS)</t>
  </si>
  <si>
    <t xml:space="preserve">OTHER (QTY) </t>
  </si>
  <si>
    <t>LENGTH IN INCHES</t>
  </si>
  <si>
    <t>DENSITY OR VEHICLES PER KILOMETER</t>
  </si>
  <si>
    <t>TIME GAP</t>
  </si>
  <si>
    <t>NUMER OF MARCH UNITS</t>
  </si>
  <si>
    <t>ROAD SPACE (KILOMETERS)</t>
  </si>
  <si>
    <t>MARCH UNIT TIME GAP</t>
  </si>
  <si>
    <t>ROAD CLEARANCE TIME (MINUTES)</t>
  </si>
  <si>
    <t>NUMBER OF SERIALS</t>
  </si>
  <si>
    <t>ADD 1 MINUTE FOR EVERY 25 VEHICLES</t>
  </si>
  <si>
    <t>SERIAL TIME GAP</t>
  </si>
  <si>
    <t>Arrival time</t>
  </si>
  <si>
    <t>Minutes from SP</t>
  </si>
  <si>
    <t>Mission Complete</t>
  </si>
  <si>
    <t>TIME GAPS</t>
  </si>
  <si>
    <t>ITV</t>
  </si>
  <si>
    <t>GETT</t>
  </si>
  <si>
    <t>TRAM</t>
  </si>
  <si>
    <t>Latrines (FM 4-25.12 (Field Sanatation)</t>
  </si>
  <si>
    <t xml:space="preserve">    During short halts when troops are on a march, each soldier uses a brief relief bag or
a cat-hole latrine. The cat-hole latrine is dug approximately 1-foot (30-centimeters) deep and is completely
covered and packed down after use. In temporary bivouac areas (1 to 3 days), the straddle trench latrine is
used unless more permanent facilities are provided for the unit. When setting up a temporary camp, a deeppit
latrine and urine soakage pits are usually constructed. Alternate devices, which may be used to dispose
of human waste in the field, are the burn-out, mound, bored-hole, or pail latrines (see FM 21-10). The
burn-out latrine is the preferred method for improvised devices. If possible, urinals should be provided in
these facilities to prevent soiling the toilet seats. The numbers of latrines are based on one commode or
urinal per 25 male soldiers and one commode per 17 female soldiers.</t>
  </si>
  <si>
    <r>
      <t xml:space="preserve">    Latrines are so constructed to prevent the contamination of food and water. They are
located at least </t>
    </r>
    <r>
      <rPr>
        <b/>
        <sz val="10"/>
        <rFont val="Arial"/>
        <family val="2"/>
      </rPr>
      <t>100 yards (90 meters) downwind (prevailing wind)</t>
    </r>
    <r>
      <rPr>
        <sz val="10"/>
        <rFont val="Arial"/>
        <family val="2"/>
      </rPr>
      <t xml:space="preserve"> and down gradient from the unit food
service facility and </t>
    </r>
    <r>
      <rPr>
        <b/>
        <sz val="10"/>
        <rFont val="Arial"/>
        <family val="2"/>
      </rPr>
      <t>at least 100 feet (30 meters) from any unit ground water source</t>
    </r>
    <r>
      <rPr>
        <sz val="10"/>
        <rFont val="Arial"/>
        <family val="2"/>
      </rPr>
      <t xml:space="preserve">. They should never be placed above gradient of the unit food service facility. For further protection, latrines are not dug to the
ground water level or in places where pit contents may drain into the water source. Usually they are built </t>
    </r>
    <r>
      <rPr>
        <b/>
        <sz val="10"/>
        <rFont val="Arial"/>
        <family val="2"/>
      </rPr>
      <t>at
least 30 yards (30 meters) from the border of the unit area</t>
    </r>
    <r>
      <rPr>
        <sz val="10"/>
        <rFont val="Arial"/>
        <family val="2"/>
      </rPr>
      <t xml:space="preserve"> but within a reasonable distance for easy access. A drainage ditch is dug around the edges of the latrine enclosure to keep out rainwater and other surface water. A handwashing device is installed outside each latrine enclosure; these devices should be easy to operate and kept full of water. Each individual must wash his hands after he uses the latrine. When a latrine is filled to within 1 foot (30 centimeters) of the ground surface or when it is to be abandoned, it is closed in the following manner. The pit is filled to the ground surface in 3-inch (8-centimeter) layers; each layer is compacted. This is to prevent fly pupae from hatching and gaining access to the open air. Dirt is then compacted over the pit to form a mound at least 1-foot (30-centimeters) high. A sign is posted with the date and the words closed latrine, if the tactical situation permits.</t>
    </r>
  </si>
  <si>
    <t>LVSR</t>
  </si>
  <si>
    <t>MCT</t>
  </si>
  <si>
    <t>MEP1070</t>
  </si>
  <si>
    <t>MEP1060</t>
  </si>
  <si>
    <t>MEP531</t>
  </si>
  <si>
    <t>MEP813</t>
  </si>
  <si>
    <t>MEP816</t>
  </si>
  <si>
    <t>MEP1040</t>
  </si>
  <si>
    <t>MEP807</t>
  </si>
  <si>
    <t>-</t>
  </si>
  <si>
    <t>UGR (H&amp;S) Calculations</t>
  </si>
  <si>
    <t>TOTAL MEALs NEEDED:</t>
  </si>
  <si>
    <t>TOTAL UGRS NEEDED:</t>
  </si>
  <si>
    <t>UGR-Express Calculations</t>
  </si>
  <si>
    <t>Universal Unit Level*</t>
  </si>
  <si>
    <t>Role I &amp; II Medical</t>
  </si>
  <si>
    <t>Role III &amp; IV Medical</t>
  </si>
  <si>
    <t>Hygiene: Showers**</t>
  </si>
  <si>
    <t>Mortuary Operations</t>
  </si>
  <si>
    <t>CBRN Decontamination</t>
  </si>
  <si>
    <t>TEMPERATE CLIMATE</t>
  </si>
  <si>
    <t>COLD CLIMATE</t>
  </si>
  <si>
    <t>Hygiene: Laundry**</t>
  </si>
  <si>
    <t>Engineer Construction</t>
  </si>
  <si>
    <t>Total Potable Water</t>
  </si>
  <si>
    <t>Theater Total</t>
  </si>
  <si>
    <t>Total Non-Potable Water***</t>
  </si>
  <si>
    <t>***</t>
  </si>
  <si>
    <t>Hot Climate</t>
  </si>
  <si>
    <t>TROPICAL</t>
  </si>
  <si>
    <t>ARID</t>
  </si>
  <si>
    <t>Grand Total</t>
  </si>
  <si>
    <t>Conventional Theater</t>
  </si>
  <si>
    <r>
      <rPr>
        <u/>
        <sz val="8"/>
        <color indexed="8"/>
        <rFont val="Calibri"/>
        <family val="2"/>
        <scheme val="minor"/>
      </rPr>
      <t>DIRECTIONS</t>
    </r>
    <r>
      <rPr>
        <sz val="8"/>
        <color indexed="8"/>
        <rFont val="Calibri"/>
        <family val="2"/>
        <scheme val="minor"/>
      </rPr>
      <t>: Review listed amounts for various weather zones and functions.  In the area provided, enter the amount for that function that you wish to use for the calculation per person.  NOTE: It is dependent upon the mission if all water usage functions will be used.</t>
    </r>
  </si>
  <si>
    <t>JLTV</t>
  </si>
  <si>
    <t>BVS-10 (UK and Norway)</t>
  </si>
  <si>
    <t>SUSTAINED INTENSITY RATE</t>
  </si>
  <si>
    <t>=</t>
  </si>
  <si>
    <t>GAL FUEL</t>
  </si>
  <si>
    <t>SORTIE</t>
  </si>
  <si>
    <t>SUSTAINED</t>
  </si>
  <si>
    <t>TYPE</t>
  </si>
  <si>
    <t>PER</t>
  </si>
  <si>
    <t>LENGTH</t>
  </si>
  <si>
    <t>QTY</t>
  </si>
  <si>
    <t>GAL</t>
  </si>
  <si>
    <t>AIRCRAFT</t>
  </si>
  <si>
    <t>HOUR</t>
  </si>
  <si>
    <t>RATE</t>
  </si>
  <si>
    <t>PER/DAY</t>
  </si>
  <si>
    <t>A-6</t>
  </si>
  <si>
    <t>RF-4</t>
  </si>
  <si>
    <t>FA-18</t>
  </si>
  <si>
    <t>AV-8B</t>
  </si>
  <si>
    <t>OA-4M</t>
  </si>
  <si>
    <t>EA-6B</t>
  </si>
  <si>
    <t>KC-130</t>
  </si>
  <si>
    <t>OV-10</t>
  </si>
  <si>
    <t>CH-53D</t>
  </si>
  <si>
    <t>CH-53E</t>
  </si>
  <si>
    <t>CH-46</t>
  </si>
  <si>
    <t>MV-22</t>
  </si>
  <si>
    <t>AH-1W</t>
  </si>
  <si>
    <t>MH-60</t>
  </si>
  <si>
    <t>TOTAL PER DAY</t>
  </si>
  <si>
    <t xml:space="preserve"> 30 DAY TOTAL</t>
  </si>
  <si>
    <t>MONTHLY WARTIME FLIGHT HOURS</t>
  </si>
  <si>
    <t>MONTHLY</t>
  </si>
  <si>
    <t>FLIGHT</t>
  </si>
  <si>
    <t>HOURS</t>
  </si>
  <si>
    <t>UH-1N</t>
  </si>
  <si>
    <r>
      <t>UH-1</t>
    </r>
    <r>
      <rPr>
        <sz val="12"/>
        <color indexed="10"/>
        <rFont val="Calibri"/>
        <family val="2"/>
        <scheme val="minor"/>
      </rPr>
      <t>N</t>
    </r>
  </si>
  <si>
    <t>PAX</t>
  </si>
  <si>
    <t>Laundry</t>
  </si>
  <si>
    <t>TOTAL WATER REQT (m3):</t>
  </si>
  <si>
    <t>DAILY WATER REQT (m3):</t>
  </si>
  <si>
    <t>DAILY WATER REQT (Gal):</t>
  </si>
  <si>
    <t>TOTAL WATER REQT (Gal):</t>
  </si>
  <si>
    <r>
      <rPr>
        <b/>
        <u/>
        <sz val="8"/>
        <color indexed="8"/>
        <rFont val="Calibri"/>
        <family val="2"/>
        <scheme val="minor"/>
      </rPr>
      <t>HELPFUL INFORMATION</t>
    </r>
    <r>
      <rPr>
        <sz val="8"/>
        <color indexed="8"/>
        <rFont val="Calibri"/>
        <family val="2"/>
        <scheme val="minor"/>
      </rPr>
      <t xml:space="preserve">:                                                                                                                                                                                                                                                                                                                                                               *Includes GPMD for drinking, personal hygiene, field feeding, heat injury treatment, vehicle maintenance, and a 10% loss factor                                                                                                                                                                                                                                                                                                                                                                                        ** Central (vice personal) hygiene covers two showers and 15-lbs laundry per week per individual                                                                                                                                                                                                    *** In arid regions only potable water is used                                                                                                                                                                                                                                                                                                                                    -Information taken from the MSTPPamphlet 5-0.3 dated Jan 2017.                                                                                                                                                                                                                                                                                     -An M149 trailer carries 400 gallons of water.                                                                                                                                                                                                                                                                                                                                                         -Sixcons carry 900 gallons of water per pod.  Each vehicle carrying Sixcons must also have one pod that contains a pump.                                                                                                                                                                                                                                                                                                                                      -Water cans carry 5 gallons per can.                                                                                                                                                                                                                                                                                                                                                                -A USMC Infantry Battalion has no organic bulk liquid storage assets.                                                                 </t>
    </r>
  </si>
  <si>
    <t>LBS</t>
  </si>
  <si>
    <t>m3</t>
  </si>
  <si>
    <t>DAILY WATER REQT (Ltr):</t>
  </si>
  <si>
    <t>TOTAL WATER REQT (Ltr):</t>
  </si>
  <si>
    <t>Liters</t>
  </si>
  <si>
    <t>KG</t>
  </si>
  <si>
    <t>Width (ft)</t>
  </si>
  <si>
    <t>Length (ft)</t>
  </si>
  <si>
    <t>Square Meters (m2)</t>
  </si>
  <si>
    <t>KG to LBS</t>
  </si>
  <si>
    <t>LBS to KG</t>
  </si>
  <si>
    <r>
      <t>Square Feet (FT</t>
    </r>
    <r>
      <rPr>
        <b/>
        <vertAlign val="superscript"/>
        <sz val="10"/>
        <rFont val="Calibri"/>
        <family val="2"/>
        <scheme val="minor"/>
      </rPr>
      <t>2</t>
    </r>
    <r>
      <rPr>
        <b/>
        <sz val="10"/>
        <rFont val="Calibri"/>
        <family val="2"/>
        <scheme val="minor"/>
      </rPr>
      <t>)</t>
    </r>
  </si>
  <si>
    <r>
      <t>FT</t>
    </r>
    <r>
      <rPr>
        <vertAlign val="superscript"/>
        <sz val="10"/>
        <rFont val="Calibri"/>
        <family val="2"/>
        <scheme val="minor"/>
      </rPr>
      <t>2</t>
    </r>
  </si>
  <si>
    <r>
      <t>FUEL CONSUMPTION BASED ON DISTANCE</t>
    </r>
    <r>
      <rPr>
        <b/>
        <sz val="10"/>
        <color indexed="8"/>
        <rFont val="Calibri"/>
        <family val="2"/>
        <scheme val="minor"/>
      </rPr>
      <t xml:space="preserve"> (From MSTP Pamphlet 5-0.3/Jan 17) (Based on travel at 60 MPH (55 mph-MTVR))</t>
    </r>
  </si>
  <si>
    <t>CONVERSIONS</t>
  </si>
  <si>
    <t xml:space="preserve"> LTR to m3</t>
  </si>
  <si>
    <t xml:space="preserve"> GAL (Fuel) to LBS</t>
  </si>
  <si>
    <t xml:space="preserve"> GAL (Water) to LBS</t>
  </si>
  <si>
    <t xml:space="preserve"> GAL (liq) to m3</t>
  </si>
  <si>
    <t xml:space="preserve"> GAL (liq) to LTR</t>
  </si>
  <si>
    <t>m2</t>
  </si>
  <si>
    <t>Length (m)</t>
  </si>
  <si>
    <t>Width (m)</t>
  </si>
  <si>
    <t>DISTANCES</t>
  </si>
  <si>
    <t>Origin</t>
  </si>
  <si>
    <t>Destination</t>
  </si>
  <si>
    <t>Miles</t>
  </si>
  <si>
    <t>Km</t>
  </si>
  <si>
    <r>
      <rPr>
        <u/>
        <sz val="8"/>
        <color indexed="8"/>
        <rFont val="Calibri"/>
        <family val="2"/>
      </rPr>
      <t>DIRECTIONS</t>
    </r>
    <r>
      <rPr>
        <sz val="8"/>
        <color indexed="8"/>
        <rFont val="Calibri"/>
        <family val="2"/>
      </rPr>
      <t>: Enter in appropriate values in fields highlighted YELLOW.  All calculations will then be completed automatically.</t>
    </r>
  </si>
  <si>
    <r>
      <rPr>
        <u/>
        <sz val="8"/>
        <color indexed="8"/>
        <rFont val="Calibri"/>
        <family val="2"/>
      </rPr>
      <t>HELPFUL INFORMATION</t>
    </r>
    <r>
      <rPr>
        <sz val="8"/>
        <color indexed="8"/>
        <rFont val="Calibri"/>
        <family val="2"/>
      </rPr>
      <t xml:space="preserve">:                                                                                                                                                                                                                                        -INFORMATION TAKEN FROM MSTP PAMPHLET 5-0.3 DTD Jan 17                                                                                                                                                                         -12 MRES/CASE, 48 CASES/PALLET (576 MRES/PALLET)                                                                                                                                                                                          </t>
    </r>
  </si>
  <si>
    <t>TOTAL MRES NEEDED:</t>
  </si>
  <si>
    <t>Meal Cold Weather (MCM)</t>
  </si>
  <si>
    <t>UGR (A) Calculations**</t>
  </si>
  <si>
    <t>**Note: (1) box perishable/Requires refrigeration**</t>
  </si>
  <si>
    <t>UGR (A) Calculations^^</t>
  </si>
  <si>
    <r>
      <rPr>
        <u/>
        <sz val="8"/>
        <color indexed="8"/>
        <rFont val="Calibri"/>
        <family val="2"/>
      </rPr>
      <t>HELPFUL INFORMATION</t>
    </r>
    <r>
      <rPr>
        <sz val="8"/>
        <color indexed="8"/>
        <rFont val="Calibri"/>
        <family val="2"/>
      </rPr>
      <t xml:space="preserve">:                                                                                                                                                                                                                                        -INFORMATION TAKEN FROM MSTP PAMPHLET 5-0.3 DTD Jan 17                                                                                                                                           -50 SERVINGS/UGR,24 UGRs/PALLET    ( 600 SERVINGS/PALLET)                                                                                                                                                                                      </t>
    </r>
  </si>
  <si>
    <t>^^Note: (2) boxes semi- perishable/Requires refrigeration^^</t>
  </si>
  <si>
    <t>UGR (B) Calculations*</t>
  </si>
  <si>
    <r>
      <rPr>
        <u/>
        <sz val="8"/>
        <color indexed="8"/>
        <rFont val="Calibri"/>
        <family val="2"/>
      </rPr>
      <t>HELPFUL INFORMATION</t>
    </r>
    <r>
      <rPr>
        <sz val="8"/>
        <color indexed="8"/>
        <rFont val="Calibri"/>
        <family val="2"/>
      </rPr>
      <t xml:space="preserve">:                                                                                                                                                                                                                                        -INFORMATION TAKEN FROM MSTP PAMPHLET 5-0.3 DTD Jan 17                                                                                                                                           -50 SERVINGS/UGR,24 UGRs/PALLET    ( 400 SERVINGS/PALLET)                                                                                                                                                                                      </t>
    </r>
  </si>
  <si>
    <t>*Note: Must be cooked*</t>
  </si>
  <si>
    <r>
      <rPr>
        <u/>
        <sz val="8"/>
        <color indexed="8"/>
        <rFont val="Calibri"/>
        <family val="2"/>
      </rPr>
      <t>HELPFUL INFORMATION</t>
    </r>
    <r>
      <rPr>
        <sz val="8"/>
        <color indexed="8"/>
        <rFont val="Calibri"/>
        <family val="2"/>
      </rPr>
      <t xml:space="preserve">:                                                                                                                                                                                                                                        -INFORMATION TAKEN FROM MSTP PAMPHLET 5-0.3 DTD Jan 17                                                                                                                                                                         -50 SERVINGS/UGR, 8 UGRs/PALLET  (400 SERVINGS/PALLET)                                                                                                                                                                                         </t>
    </r>
  </si>
  <si>
    <r>
      <rPr>
        <u/>
        <sz val="8"/>
        <color indexed="8"/>
        <rFont val="Calibri"/>
        <family val="2"/>
      </rPr>
      <t>HELPFUL INFORMATION</t>
    </r>
    <r>
      <rPr>
        <sz val="8"/>
        <color indexed="8"/>
        <rFont val="Calibri"/>
        <family val="2"/>
      </rPr>
      <t xml:space="preserve">:                                                                                                                                                                                                                                        -INFORMATION TAKEN FROM MSTP PAMPHLET 5-0.3 DTD Jan 17                                                                                                                                                                         -18 SERVINGS/UGR, 18 UGRs/PALLET  (324 SERVINGS/PALLET)                                                                                                                                                                                         </t>
    </r>
  </si>
  <si>
    <t>Planned Distance (miles)</t>
  </si>
  <si>
    <t>Range (miles)</t>
  </si>
  <si>
    <t>Total Req</t>
  </si>
  <si>
    <t>**3kw trailer** B0730</t>
  </si>
  <si>
    <t>Floodlight (B0640)</t>
  </si>
  <si>
    <t>Tank Cap.</t>
  </si>
  <si>
    <t>FUEL CONSUMPTION BASED ON DISTANCE (From MSTP Pamphlet 5-0.3/Jan 17) (Based on travel at 60 MPH (55 mph-MTVR))</t>
  </si>
  <si>
    <t>Cubic Foot to Cubic Meters (m3)</t>
  </si>
  <si>
    <t>Tons to m3</t>
  </si>
  <si>
    <t>Height (ht)</t>
  </si>
  <si>
    <t>Height (m)</t>
  </si>
  <si>
    <t>Square Feet (FT3)</t>
  </si>
  <si>
    <t>FT3</t>
  </si>
  <si>
    <t>Square Meters (m3)</t>
  </si>
  <si>
    <t>Weekly Req</t>
  </si>
  <si>
    <t>Weeks</t>
  </si>
  <si>
    <t>LBS/KG</t>
  </si>
  <si>
    <t>Containerized Batch Laundry</t>
  </si>
  <si>
    <t>Batch/hr</t>
  </si>
  <si>
    <t>Conversion</t>
  </si>
  <si>
    <t>Resupply</t>
  </si>
  <si>
    <t>LVSR MKR18</t>
  </si>
  <si>
    <t>LVSR MKR18 W/PLST</t>
  </si>
  <si>
    <t>LVSR MKR16</t>
  </si>
  <si>
    <t>LVSR MKR16 W/870 TRAILER</t>
  </si>
  <si>
    <t>LVSR MKR 15</t>
  </si>
  <si>
    <t>HMMWV/W 1102 TRAILER</t>
  </si>
  <si>
    <t>MTVR W/ EET</t>
  </si>
  <si>
    <t>MTVR W/ 149 TRAILER</t>
  </si>
  <si>
    <t>MTVR (XLWB) W/ 593 TRAILER</t>
  </si>
  <si>
    <t>MTVR W/ 593 TRAILER</t>
  </si>
  <si>
    <t>HMMWV/W 1102 GEN TRAILER</t>
  </si>
  <si>
    <t>MTVR WRECKER</t>
  </si>
  <si>
    <t>MTVR DUMP</t>
  </si>
  <si>
    <t>MTVR (XLWB) W/ 149 TRAILER</t>
  </si>
  <si>
    <t>Water Storage</t>
  </si>
  <si>
    <t>Fuel Distribution</t>
  </si>
  <si>
    <t>Fuel Storage</t>
  </si>
  <si>
    <t>TEU</t>
  </si>
  <si>
    <t>Available Capacity</t>
  </si>
  <si>
    <t>TOTAL</t>
  </si>
  <si>
    <t>O/H Capacity</t>
  </si>
  <si>
    <t>M149, WATERBULL</t>
  </si>
  <si>
    <t>D08807K</t>
  </si>
  <si>
    <t>EET</t>
  </si>
  <si>
    <t>B25657K</t>
  </si>
  <si>
    <t>BACKHOE LOADER</t>
  </si>
  <si>
    <t>B24837B</t>
  </si>
  <si>
    <t>MK593 TRAILER</t>
  </si>
  <si>
    <t>D08627K</t>
  </si>
  <si>
    <t>MKR/AMKR 16</t>
  </si>
  <si>
    <t>D08877K</t>
  </si>
  <si>
    <t>MK/AMK 36</t>
  </si>
  <si>
    <t>D1214/D00157K</t>
  </si>
  <si>
    <t>MKR/AMKR 15</t>
  </si>
  <si>
    <t>D12147K/D0015</t>
  </si>
  <si>
    <t>T/E Capacity</t>
  </si>
  <si>
    <t>B00607B</t>
  </si>
  <si>
    <t>MAC50</t>
  </si>
  <si>
    <t>B00387B</t>
  </si>
  <si>
    <t>5K (LRTF)</t>
  </si>
  <si>
    <t>B25667B</t>
  </si>
  <si>
    <t>Note: TEU capacity, for anything less than a full TEU, is calculated based on how many quadcons the piece of equipment can carry. Each quadcon is worth 0.25 TEUs. Example: an MK23 can carry (2) quadcons, thus it's TEU capacity is 0.5. Troop movement is limited to (2) armadilos. Highback variants are all grouped under D1158</t>
  </si>
  <si>
    <t>EBFL/MMV</t>
  </si>
  <si>
    <t>B25617B</t>
  </si>
  <si>
    <t>KALMAR</t>
  </si>
  <si>
    <t>B03927B</t>
  </si>
  <si>
    <t>B00637B</t>
  </si>
  <si>
    <t>TRUCK,UTILITY (Highback)</t>
  </si>
  <si>
    <t>D11587K</t>
  </si>
  <si>
    <t>TRUCK,UTILITY</t>
  </si>
  <si>
    <t>TRUCK, CARGO (MK27/28, Long Bed)</t>
  </si>
  <si>
    <t>D10627K</t>
  </si>
  <si>
    <t>TRUCK,CARGO (MKR/AMKR 18)</t>
  </si>
  <si>
    <t>D08867K</t>
  </si>
  <si>
    <t>TRUCK,CARGO</t>
  </si>
  <si>
    <t>MEDIUM HEAVY EQUIPM (M870A2 trailer)</t>
  </si>
  <si>
    <t>D02357K</t>
  </si>
  <si>
    <t>MEDIUM HEAVY EQUIPM</t>
  </si>
  <si>
    <t>SEMITRAILER, AIRCRAFT REFULER, 5000 GAL</t>
  </si>
  <si>
    <t>D02157K</t>
  </si>
  <si>
    <t>SEMITRAILER, AIRCRAFT REFULER</t>
  </si>
  <si>
    <t>FLATRACK,REFUELER</t>
  </si>
  <si>
    <t>D02117K</t>
  </si>
  <si>
    <t>TRUCK,RTAA,CARGO,7T (MK 23/25, Short Bed)</t>
  </si>
  <si>
    <t>D01987K</t>
  </si>
  <si>
    <t>TRUCK,RTAA,CARGO,7T</t>
  </si>
  <si>
    <t>D00527K</t>
  </si>
  <si>
    <t>TRAILER,PALLETIZED (PLS-T)</t>
  </si>
  <si>
    <t>D00357K</t>
  </si>
  <si>
    <t>TRAILER,PALLETIZED</t>
  </si>
  <si>
    <t>TRUCK, ARMORED, CARGO (MK/AMK 27/28, Long Bed)</t>
  </si>
  <si>
    <t>D00057K</t>
  </si>
  <si>
    <t>TRUCK,ARMORED,CARGO (MK/AMK 23/25, Short Bed)</t>
  </si>
  <si>
    <t>D00037K</t>
  </si>
  <si>
    <t>TRUCK,ARMORED,CARGO</t>
  </si>
  <si>
    <t>TANK,WATER,3000 GAL (3k water bladder)</t>
  </si>
  <si>
    <t>B21307B</t>
  </si>
  <si>
    <t>TANK,WATER,3000 GAL</t>
  </si>
  <si>
    <t>TANK,WATER,MODULE (Water SIXCON)</t>
  </si>
  <si>
    <t>B20867B</t>
  </si>
  <si>
    <t>TANK,WATER,MODULE</t>
  </si>
  <si>
    <t>FUEL TANK ASSEMBLY (Fuel SIXCON)</t>
  </si>
  <si>
    <t>B20857B</t>
  </si>
  <si>
    <t>FUEL TANK ASSEMBLY</t>
  </si>
  <si>
    <t>TANK,LIQUID STORAGE (3k fuel bladder)</t>
  </si>
  <si>
    <t>B05737B</t>
  </si>
  <si>
    <t>TANK,LIQUID STORAGE</t>
  </si>
  <si>
    <t>TANK AND PUMP UNIT (GERS, Small)</t>
  </si>
  <si>
    <t>B00377B</t>
  </si>
  <si>
    <t>TANK AND PUMP UNIT,</t>
  </si>
  <si>
    <t>TANK AND PUMP UNIT (GERS, Med)</t>
  </si>
  <si>
    <t>B00367B</t>
  </si>
  <si>
    <t>Pallet Capacity (Single Stacked)</t>
  </si>
  <si>
    <t>QUADCON Capacity</t>
  </si>
  <si>
    <t>SIXCON Capacity</t>
  </si>
  <si>
    <t>Water Capacity</t>
  </si>
  <si>
    <t>Fuel Capacity</t>
  </si>
  <si>
    <t>TEU Capacity</t>
  </si>
  <si>
    <t>PAX Capacity</t>
  </si>
  <si>
    <t>NOMEN</t>
  </si>
  <si>
    <t>TAMCN</t>
  </si>
  <si>
    <t>Available</t>
  </si>
  <si>
    <t>O/H</t>
  </si>
  <si>
    <t>T/E</t>
  </si>
  <si>
    <t>Equipment Capacity Key</t>
  </si>
  <si>
    <t>MRF-E CAPACITY TOOL</t>
  </si>
  <si>
    <r>
      <rPr>
        <u/>
        <sz val="8"/>
        <color indexed="8"/>
        <rFont val="Calibri"/>
        <family val="2"/>
      </rPr>
      <t>HELPFUL INFORMATION</t>
    </r>
    <r>
      <rPr>
        <sz val="8"/>
        <color indexed="8"/>
        <rFont val="Calibri"/>
        <family val="2"/>
      </rPr>
      <t xml:space="preserve">:                                                                                                           -INFORMATION TAKEN FROM MSTP PAMPHLET 5-0.3 DTD Jan 17                                                                                                                                           -50 SERVINGS/UGR,24 UGRs/PALLET    ( 1,200 SERVINGS/PALLET)                                                                                                                                                                                      </t>
    </r>
  </si>
  <si>
    <r>
      <rPr>
        <u/>
        <sz val="8"/>
        <color indexed="8"/>
        <rFont val="Calibri"/>
        <family val="2"/>
      </rPr>
      <t>HELPFUL INFORMATION</t>
    </r>
    <r>
      <rPr>
        <sz val="8"/>
        <color indexed="8"/>
        <rFont val="Calibri"/>
        <family val="2"/>
      </rPr>
      <t xml:space="preserve">:                                                                                                                 -INFORMATION TAKEN FROM MSTP PAMPHLET 5-0.3 DTD Jan 17                                                                                                                                                                         -12 MRES/CASE, 48 CASES/PALLET (576 MCMS/PALLET)                                                                                                                                                                                           </t>
    </r>
  </si>
  <si>
    <t xml:space="preserve">TRANSPORTATION INFORMATION:                                                                                             -MTVR SHORT BED CARRIES (12) PALLETS IF DOUBLESTACKED                                                                                                                                     </t>
  </si>
  <si>
    <t xml:space="preserve">TRANSPORTATION INFORMATION:                                                                                            -MTVR SHORT BED CARRIES (12) PALLETS IF DOUBLESTACKED                                                                                                                                     </t>
  </si>
  <si>
    <t xml:space="preserve">TRANSPORTATION INFORMATION:                                                                             -MTVR SHORT BED CARRIES (12) PALLETS IF DOUBLESTACKED                                                                                                                                </t>
  </si>
  <si>
    <t xml:space="preserve">TRANSPORTATION INFORMATION:                                                                                                  -MTVR SHORT BED CARRIES (12) PALLETS IF DOUBLESTACKED                                                                                                                                       </t>
  </si>
  <si>
    <t xml:space="preserve">TRANSPORTATION INFORMATION:                                                                                               -MTVR SHORT BED CARRIES (12) PALLETS IF DOUBLESTACKED                                                                                                                                     </t>
  </si>
  <si>
    <t xml:space="preserve">TRANSPORTATION INFORMATION:                                                                                   -MTVR SHORT BED CARRIES (12) PALLETS IF DOUBLESTACKED                                                                                                                                        </t>
  </si>
  <si>
    <t xml:space="preserve">TRANSPORTATION INFORMATION:                                                                                                   -MTVR SHORT BED CARRIES (12) PALLETS IF DOUBLESTACKED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</si>
</sst>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
    <numFmt numFmtId="165" formatCode="#,##0.0_);[Red]\(#,##0.0\)"/>
    <numFmt numFmtId="166" formatCode="_(* #,##0_);_(* \(#,##0\);_(* &quot;-&quot;??_);_(@_)"/>
  </numFmts>
  <fonts count="39">
    <font>
      <sz val="10"/>
      <name val="Arial"/>
    </font>
    <font>
      <sz val="10"/>
      <name val="Courier New"/>
      <family val="3"/>
    </font>
    <font>
      <b/>
      <sz val="10"/>
      <name val="Courier New"/>
      <family val="3"/>
    </font>
    <font>
      <sz val="24"/>
      <name val="Arial Black"/>
      <family val="2"/>
    </font>
    <font>
      <b/>
      <sz val="10"/>
      <name val="Arial"/>
      <family val="2"/>
    </font>
    <font>
      <b/>
      <sz val="10"/>
      <color indexed="19"/>
      <name val="Arial"/>
      <family val="2"/>
    </font>
    <font>
      <sz val="10"/>
      <color indexed="19"/>
      <name val="Arial"/>
      <family val="2"/>
    </font>
    <font>
      <sz val="10"/>
      <name val="Arial"/>
      <family val="2"/>
    </font>
    <font>
      <sz val="8"/>
      <name val="Arial"/>
      <family val="2"/>
    </font>
    <font>
      <sz val="10"/>
      <color indexed="10"/>
      <name val="Arial"/>
      <family val="2"/>
    </font>
    <font>
      <b/>
      <sz val="8"/>
      <color indexed="81"/>
      <name val="Tahoma"/>
      <family val="2"/>
    </font>
    <font>
      <sz val="8"/>
      <color indexed="81"/>
      <name val="Tahoma"/>
      <family val="2"/>
    </font>
    <font>
      <sz val="10"/>
      <name val="Arial"/>
      <family val="2"/>
    </font>
    <font>
      <b/>
      <sz val="9"/>
      <color indexed="81"/>
      <name val="Tahoma"/>
      <family val="2"/>
    </font>
    <font>
      <sz val="10"/>
      <name val="Calibri"/>
      <family val="2"/>
      <scheme val="minor"/>
    </font>
    <font>
      <sz val="8"/>
      <color indexed="8"/>
      <name val="Calibri"/>
      <family val="2"/>
      <scheme val="minor"/>
    </font>
    <font>
      <b/>
      <sz val="10"/>
      <name val="Calibri"/>
      <family val="2"/>
      <scheme val="minor"/>
    </font>
    <font>
      <b/>
      <u/>
      <sz val="16"/>
      <color indexed="8"/>
      <name val="Calibri"/>
      <family val="2"/>
      <scheme val="minor"/>
    </font>
    <font>
      <u/>
      <sz val="8"/>
      <color indexed="8"/>
      <name val="Calibri"/>
      <family val="2"/>
      <scheme val="minor"/>
    </font>
    <font>
      <b/>
      <u/>
      <sz val="8"/>
      <color indexed="8"/>
      <name val="Calibri"/>
      <family val="2"/>
      <scheme val="minor"/>
    </font>
    <font>
      <b/>
      <sz val="8"/>
      <color indexed="8"/>
      <name val="Calibri"/>
      <family val="2"/>
      <scheme val="minor"/>
    </font>
    <font>
      <sz val="10"/>
      <color rgb="FFFF0000"/>
      <name val="Calibri"/>
      <family val="2"/>
      <scheme val="minor"/>
    </font>
    <font>
      <sz val="12"/>
      <name val="Calibri"/>
      <family val="2"/>
      <scheme val="minor"/>
    </font>
    <font>
      <sz val="12"/>
      <color indexed="12"/>
      <name val="Calibri"/>
      <family val="2"/>
      <scheme val="minor"/>
    </font>
    <font>
      <sz val="12"/>
      <color indexed="10"/>
      <name val="Calibri"/>
      <family val="2"/>
      <scheme val="minor"/>
    </font>
    <font>
      <b/>
      <vertAlign val="superscript"/>
      <sz val="10"/>
      <name val="Calibri"/>
      <family val="2"/>
      <scheme val="minor"/>
    </font>
    <font>
      <vertAlign val="superscript"/>
      <sz val="10"/>
      <name val="Calibri"/>
      <family val="2"/>
      <scheme val="minor"/>
    </font>
    <font>
      <b/>
      <u/>
      <sz val="10"/>
      <color indexed="8"/>
      <name val="Calibri"/>
      <family val="2"/>
      <scheme val="minor"/>
    </font>
    <font>
      <sz val="10"/>
      <color indexed="8"/>
      <name val="Calibri"/>
      <family val="2"/>
      <scheme val="minor"/>
    </font>
    <font>
      <b/>
      <sz val="18"/>
      <color indexed="8"/>
      <name val="Calibri"/>
      <family val="2"/>
      <scheme val="minor"/>
    </font>
    <font>
      <b/>
      <sz val="10"/>
      <color indexed="8"/>
      <name val="Calibri"/>
      <family val="2"/>
      <scheme val="minor"/>
    </font>
    <font>
      <b/>
      <sz val="12"/>
      <color indexed="8"/>
      <name val="Calibri"/>
      <family val="2"/>
      <scheme val="minor"/>
    </font>
    <font>
      <sz val="16"/>
      <color indexed="8"/>
      <name val="Calibri"/>
      <family val="2"/>
      <scheme val="minor"/>
    </font>
    <font>
      <b/>
      <u/>
      <sz val="16"/>
      <color indexed="8"/>
      <name val="Calibri"/>
      <family val="2"/>
    </font>
    <font>
      <sz val="8"/>
      <color indexed="8"/>
      <name val="Calibri"/>
      <family val="2"/>
    </font>
    <font>
      <u/>
      <sz val="8"/>
      <color indexed="8"/>
      <name val="Calibri"/>
      <family val="2"/>
    </font>
    <font>
      <b/>
      <sz val="8"/>
      <color indexed="8"/>
      <name val="Calibri"/>
      <family val="2"/>
    </font>
    <font>
      <sz val="8"/>
      <color theme="1"/>
      <name val="Andale WT"/>
      <family val="2"/>
    </font>
    <font>
      <b/>
      <sz val="10"/>
      <color theme="1"/>
      <name val="Andale WT"/>
      <family val="2"/>
    </font>
  </fonts>
  <fills count="23">
    <fill>
      <patternFill patternType="none"/>
    </fill>
    <fill>
      <patternFill patternType="gray125"/>
    </fill>
    <fill>
      <patternFill patternType="solid">
        <fgColor indexed="43"/>
        <bgColor indexed="64"/>
      </patternFill>
    </fill>
    <fill>
      <patternFill patternType="solid">
        <fgColor indexed="13"/>
        <bgColor indexed="64"/>
      </patternFill>
    </fill>
    <fill>
      <patternFill patternType="solid">
        <fgColor indexed="31"/>
        <bgColor indexed="64"/>
      </patternFill>
    </fill>
    <fill>
      <patternFill patternType="solid">
        <fgColor indexed="52"/>
        <bgColor indexed="64"/>
      </patternFill>
    </fill>
    <fill>
      <patternFill patternType="solid">
        <fgColor rgb="FFFFFF00"/>
        <bgColor indexed="64"/>
      </patternFill>
    </fill>
    <fill>
      <patternFill patternType="solid">
        <fgColor indexed="19"/>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rgb="FFFF0000"/>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6"/>
        <bgColor indexed="64"/>
      </patternFill>
    </fill>
    <fill>
      <patternFill patternType="solid">
        <fgColor rgb="FF808000"/>
        <bgColor indexed="64"/>
      </patternFill>
    </fill>
    <fill>
      <patternFill patternType="solid">
        <fgColor theme="5"/>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12" fillId="0" borderId="0" applyFont="0" applyFill="0" applyBorder="0" applyAlignment="0" applyProtection="0"/>
  </cellStyleXfs>
  <cellXfs count="658">
    <xf numFmtId="0" fontId="0" fillId="0" borderId="0" xfId="0"/>
    <xf numFmtId="0" fontId="1" fillId="0" borderId="0" xfId="0" applyFont="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wrapText="1"/>
    </xf>
    <xf numFmtId="0" fontId="1" fillId="0" borderId="0" xfId="0" applyFont="1" applyAlignment="1">
      <alignment horizontal="center" vertical="center"/>
    </xf>
    <xf numFmtId="0" fontId="1" fillId="0" borderId="0" xfId="0" applyFont="1" applyAlignment="1">
      <alignment horizontal="center"/>
    </xf>
    <xf numFmtId="0" fontId="0" fillId="7" borderId="0" xfId="0" applyFill="1"/>
    <xf numFmtId="0" fontId="5" fillId="7" borderId="0" xfId="0" applyFont="1" applyFill="1" applyBorder="1" applyAlignment="1">
      <alignment horizontal="center"/>
    </xf>
    <xf numFmtId="0" fontId="4" fillId="7" borderId="4" xfId="0" applyFont="1" applyFill="1" applyBorder="1" applyAlignment="1">
      <alignment horizontal="center"/>
    </xf>
    <xf numFmtId="0" fontId="4" fillId="7" borderId="0" xfId="0" applyFont="1" applyFill="1" applyBorder="1" applyAlignment="1">
      <alignment horizontal="center"/>
    </xf>
    <xf numFmtId="0" fontId="0" fillId="0" borderId="30" xfId="0" applyFill="1" applyBorder="1"/>
    <xf numFmtId="0" fontId="0" fillId="7" borderId="0" xfId="0" applyFill="1" applyBorder="1"/>
    <xf numFmtId="0" fontId="0" fillId="7" borderId="18" xfId="0" applyFill="1" applyBorder="1"/>
    <xf numFmtId="0" fontId="7" fillId="7" borderId="17" xfId="0" applyFont="1" applyFill="1" applyBorder="1"/>
    <xf numFmtId="0" fontId="0" fillId="7" borderId="0" xfId="0" applyFill="1" applyAlignment="1"/>
    <xf numFmtId="0" fontId="6" fillId="7" borderId="0" xfId="0" applyFont="1" applyFill="1" applyBorder="1"/>
    <xf numFmtId="18" fontId="0" fillId="7" borderId="0" xfId="0" applyNumberFormat="1" applyFill="1"/>
    <xf numFmtId="0" fontId="0" fillId="7" borderId="5" xfId="0" applyFill="1" applyBorder="1"/>
    <xf numFmtId="0" fontId="0" fillId="7" borderId="16" xfId="0" applyFill="1" applyBorder="1"/>
    <xf numFmtId="2" fontId="0" fillId="7" borderId="16" xfId="0" applyNumberFormat="1" applyFill="1" applyBorder="1"/>
    <xf numFmtId="0" fontId="0" fillId="7" borderId="6" xfId="0" applyFill="1" applyBorder="1"/>
    <xf numFmtId="20" fontId="0" fillId="7" borderId="0" xfId="0" applyNumberFormat="1" applyFill="1"/>
    <xf numFmtId="0" fontId="0" fillId="7" borderId="0" xfId="0" applyFill="1" applyAlignment="1">
      <alignment horizontal="left"/>
    </xf>
    <xf numFmtId="2" fontId="0" fillId="0" borderId="17" xfId="0" applyNumberFormat="1" applyFill="1" applyBorder="1"/>
    <xf numFmtId="0" fontId="0" fillId="7" borderId="17" xfId="0" applyFill="1" applyBorder="1"/>
    <xf numFmtId="0" fontId="0" fillId="0" borderId="17" xfId="0" applyFill="1" applyBorder="1"/>
    <xf numFmtId="0" fontId="9" fillId="7" borderId="17" xfId="0" applyFont="1" applyFill="1" applyBorder="1"/>
    <xf numFmtId="0" fontId="6" fillId="7" borderId="5" xfId="0" applyFont="1" applyFill="1" applyBorder="1" applyAlignment="1">
      <alignment horizontal="center"/>
    </xf>
    <xf numFmtId="0" fontId="6" fillId="7" borderId="0" xfId="0" applyFont="1" applyFill="1" applyAlignment="1">
      <alignment horizontal="center"/>
    </xf>
    <xf numFmtId="2" fontId="7" fillId="7" borderId="5" xfId="0" applyNumberFormat="1" applyFont="1" applyFill="1" applyBorder="1"/>
    <xf numFmtId="0" fontId="4" fillId="7" borderId="0" xfId="0" applyFont="1" applyFill="1" applyBorder="1"/>
    <xf numFmtId="2" fontId="0" fillId="7" borderId="0" xfId="0" applyNumberFormat="1" applyFill="1" applyBorder="1"/>
    <xf numFmtId="2" fontId="0" fillId="7" borderId="17" xfId="0" applyNumberFormat="1" applyFill="1" applyBorder="1"/>
    <xf numFmtId="0" fontId="4" fillId="6" borderId="1" xfId="0" applyFont="1" applyFill="1" applyBorder="1" applyAlignment="1">
      <alignment horizontal="center"/>
    </xf>
    <xf numFmtId="0" fontId="7" fillId="0" borderId="1" xfId="0" applyFont="1" applyBorder="1" applyAlignment="1">
      <alignment vertical="center" wrapText="1"/>
    </xf>
    <xf numFmtId="0" fontId="14" fillId="10" borderId="0" xfId="0" applyFont="1" applyFill="1" applyAlignment="1">
      <alignment vertical="center"/>
    </xf>
    <xf numFmtId="0" fontId="15" fillId="10" borderId="0" xfId="0" applyFont="1" applyFill="1" applyBorder="1" applyAlignment="1">
      <alignment horizontal="left" vertical="center" wrapText="1"/>
    </xf>
    <xf numFmtId="0" fontId="14" fillId="0" borderId="0" xfId="0" applyFont="1" applyFill="1" applyAlignment="1">
      <alignment vertical="center"/>
    </xf>
    <xf numFmtId="0" fontId="14" fillId="0" borderId="0" xfId="0" applyFont="1" applyAlignment="1">
      <alignment vertical="center"/>
    </xf>
    <xf numFmtId="0" fontId="19" fillId="4" borderId="5" xfId="0" applyFont="1" applyFill="1" applyBorder="1" applyAlignment="1">
      <alignment horizontal="center" vertical="center"/>
    </xf>
    <xf numFmtId="0" fontId="19" fillId="4" borderId="6" xfId="0" applyFont="1" applyFill="1" applyBorder="1" applyAlignment="1">
      <alignment horizontal="center" vertical="center"/>
    </xf>
    <xf numFmtId="0" fontId="19" fillId="4" borderId="16" xfId="0" applyFont="1" applyFill="1" applyBorder="1" applyAlignment="1">
      <alignment horizontal="center" vertical="center"/>
    </xf>
    <xf numFmtId="0" fontId="14" fillId="4" borderId="15" xfId="0" applyFont="1" applyFill="1" applyBorder="1" applyAlignment="1">
      <alignment horizontal="center" vertical="center"/>
    </xf>
    <xf numFmtId="0" fontId="14" fillId="4" borderId="4" xfId="0" applyFont="1" applyFill="1" applyBorder="1" applyAlignment="1">
      <alignment horizontal="center" vertical="center"/>
    </xf>
    <xf numFmtId="0" fontId="14" fillId="4" borderId="3" xfId="0" applyFont="1" applyFill="1" applyBorder="1" applyAlignment="1">
      <alignment horizontal="center" vertical="center"/>
    </xf>
    <xf numFmtId="0" fontId="14" fillId="4" borderId="0" xfId="0" applyFont="1" applyFill="1" applyBorder="1" applyAlignment="1">
      <alignment horizontal="center" vertical="center"/>
    </xf>
    <xf numFmtId="0" fontId="14" fillId="4" borderId="18" xfId="0" applyFont="1" applyFill="1" applyBorder="1" applyAlignment="1">
      <alignment horizontal="center" vertical="center"/>
    </xf>
    <xf numFmtId="0" fontId="14" fillId="4" borderId="17" xfId="0" applyFont="1" applyFill="1" applyBorder="1" applyAlignment="1">
      <alignment horizontal="center" vertical="center"/>
    </xf>
    <xf numFmtId="0" fontId="14" fillId="4" borderId="17" xfId="0" applyFont="1" applyFill="1" applyBorder="1" applyAlignment="1">
      <alignment horizontal="left" vertical="center"/>
    </xf>
    <xf numFmtId="0" fontId="14" fillId="4" borderId="0" xfId="0" applyFont="1" applyFill="1" applyBorder="1" applyAlignment="1">
      <alignment horizontal="left" vertical="center"/>
    </xf>
    <xf numFmtId="0" fontId="14" fillId="4" borderId="18" xfId="0" applyFont="1" applyFill="1" applyBorder="1" applyAlignment="1">
      <alignment horizontal="left" vertical="center"/>
    </xf>
    <xf numFmtId="0" fontId="16" fillId="4" borderId="16"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5" xfId="0" applyFont="1" applyFill="1" applyBorder="1" applyAlignment="1">
      <alignment horizontal="center" vertical="center"/>
    </xf>
    <xf numFmtId="0" fontId="16" fillId="4" borderId="0" xfId="0" applyFont="1" applyFill="1" applyBorder="1" applyAlignment="1">
      <alignment horizontal="center" vertical="center"/>
    </xf>
    <xf numFmtId="0" fontId="14" fillId="4" borderId="12" xfId="0" applyFont="1" applyFill="1" applyBorder="1" applyAlignment="1">
      <alignment vertical="center"/>
    </xf>
    <xf numFmtId="0" fontId="14" fillId="4" borderId="13" xfId="0" applyFont="1" applyFill="1" applyBorder="1" applyAlignment="1">
      <alignment horizontal="right" vertical="center"/>
    </xf>
    <xf numFmtId="2" fontId="14" fillId="4" borderId="12" xfId="0" applyNumberFormat="1" applyFont="1" applyFill="1" applyBorder="1" applyAlignment="1">
      <alignment horizontal="center" vertical="center"/>
    </xf>
    <xf numFmtId="2" fontId="14" fillId="4" borderId="13" xfId="0" applyNumberFormat="1" applyFont="1" applyFill="1" applyBorder="1" applyAlignment="1">
      <alignment horizontal="center" vertical="center"/>
    </xf>
    <xf numFmtId="2" fontId="14" fillId="4" borderId="14" xfId="0" applyNumberFormat="1" applyFont="1" applyFill="1" applyBorder="1" applyAlignment="1">
      <alignment horizontal="center" vertical="center"/>
    </xf>
    <xf numFmtId="2" fontId="14" fillId="4" borderId="16" xfId="0" applyNumberFormat="1" applyFont="1" applyFill="1" applyBorder="1" applyAlignment="1">
      <alignment horizontal="center" vertical="center"/>
    </xf>
    <xf numFmtId="2" fontId="21" fillId="4" borderId="5" xfId="0" applyNumberFormat="1" applyFont="1" applyFill="1" applyBorder="1" applyAlignment="1">
      <alignment horizontal="center" vertical="center"/>
    </xf>
    <xf numFmtId="2" fontId="21" fillId="4" borderId="6" xfId="0" applyNumberFormat="1" applyFont="1" applyFill="1" applyBorder="1" applyAlignment="1">
      <alignment horizontal="center" vertical="center"/>
    </xf>
    <xf numFmtId="0" fontId="14" fillId="0" borderId="0" xfId="0" applyNumberFormat="1" applyFont="1" applyProtection="1">
      <protection locked="0"/>
    </xf>
    <xf numFmtId="0" fontId="22" fillId="0" borderId="0" xfId="0" applyFont="1" applyAlignment="1">
      <alignment horizontal="center"/>
    </xf>
    <xf numFmtId="0" fontId="14" fillId="0" borderId="0" xfId="0" applyFont="1" applyAlignment="1"/>
    <xf numFmtId="0" fontId="23" fillId="0" borderId="0" xfId="0" applyFont="1" applyAlignment="1" applyProtection="1">
      <protection locked="0"/>
    </xf>
    <xf numFmtId="0" fontId="22" fillId="0" borderId="0" xfId="0" applyFont="1" applyAlignment="1">
      <alignment horizontal="fill"/>
    </xf>
    <xf numFmtId="0" fontId="23" fillId="0" borderId="0" xfId="0" applyFont="1" applyAlignment="1" applyProtection="1">
      <alignment horizontal="fill"/>
      <protection locked="0"/>
    </xf>
    <xf numFmtId="0" fontId="23" fillId="0" borderId="0" xfId="0" applyFont="1" applyAlignment="1" applyProtection="1"/>
    <xf numFmtId="0" fontId="23" fillId="0" borderId="0" xfId="0" applyFont="1" applyAlignment="1" applyProtection="1">
      <alignment horizontal="center"/>
    </xf>
    <xf numFmtId="0" fontId="23" fillId="0" borderId="0" xfId="0" applyFont="1" applyAlignment="1" applyProtection="1">
      <alignment horizontal="fill"/>
    </xf>
    <xf numFmtId="0" fontId="22" fillId="0" borderId="0" xfId="0" applyNumberFormat="1" applyFont="1" applyAlignment="1">
      <alignment horizontal="center"/>
    </xf>
    <xf numFmtId="0" fontId="23" fillId="0" borderId="0" xfId="0" applyNumberFormat="1" applyFont="1" applyAlignment="1" applyProtection="1">
      <protection locked="0"/>
    </xf>
    <xf numFmtId="3" fontId="14" fillId="0" borderId="0" xfId="0" applyNumberFormat="1" applyFont="1"/>
    <xf numFmtId="164" fontId="14" fillId="0" borderId="0" xfId="0" applyNumberFormat="1" applyFont="1"/>
    <xf numFmtId="0" fontId="14" fillId="6" borderId="0" xfId="0" applyFont="1" applyFill="1" applyAlignment="1"/>
    <xf numFmtId="164" fontId="14" fillId="6" borderId="0" xfId="0" applyNumberFormat="1" applyFont="1" applyFill="1"/>
    <xf numFmtId="0" fontId="22" fillId="0" borderId="0" xfId="0" applyNumberFormat="1" applyFont="1" applyAlignment="1">
      <alignment horizontal="fill"/>
    </xf>
    <xf numFmtId="0" fontId="23" fillId="0" borderId="0" xfId="0" applyNumberFormat="1" applyFont="1" applyAlignment="1" applyProtection="1">
      <alignment horizontal="fill"/>
    </xf>
    <xf numFmtId="3" fontId="22" fillId="0" borderId="0" xfId="0" applyNumberFormat="1" applyFont="1" applyAlignment="1">
      <alignment horizontal="fill"/>
    </xf>
    <xf numFmtId="0" fontId="23" fillId="0" borderId="0" xfId="0" applyNumberFormat="1" applyFont="1" applyProtection="1"/>
    <xf numFmtId="0" fontId="23" fillId="0" borderId="0" xfId="0" applyNumberFormat="1" applyFont="1" applyProtection="1">
      <protection locked="0"/>
    </xf>
    <xf numFmtId="0" fontId="14" fillId="0" borderId="1" xfId="0" applyFont="1" applyBorder="1" applyAlignment="1">
      <alignment vertical="center"/>
    </xf>
    <xf numFmtId="0" fontId="14" fillId="0" borderId="1" xfId="0" applyFont="1" applyBorder="1" applyAlignment="1">
      <alignment horizontal="center" vertical="center"/>
    </xf>
    <xf numFmtId="0" fontId="14" fillId="6" borderId="1" xfId="0" applyFont="1" applyFill="1" applyBorder="1" applyAlignment="1">
      <alignment horizontal="center" vertical="center"/>
    </xf>
    <xf numFmtId="0" fontId="14" fillId="0" borderId="0" xfId="0" applyFont="1" applyAlignment="1">
      <alignment horizontal="center" vertical="center"/>
    </xf>
    <xf numFmtId="0" fontId="14" fillId="11" borderId="12" xfId="0" applyFont="1" applyFill="1" applyBorder="1" applyAlignment="1">
      <alignment vertical="center"/>
    </xf>
    <xf numFmtId="0" fontId="14" fillId="11" borderId="13" xfId="0" applyFont="1" applyFill="1" applyBorder="1" applyAlignment="1">
      <alignment horizontal="right" vertical="center"/>
    </xf>
    <xf numFmtId="0" fontId="14" fillId="11" borderId="13" xfId="0" applyFont="1" applyFill="1" applyBorder="1" applyAlignment="1">
      <alignment vertical="center"/>
    </xf>
    <xf numFmtId="43" fontId="14" fillId="10" borderId="0" xfId="0" applyNumberFormat="1" applyFont="1" applyFill="1" applyAlignment="1">
      <alignment vertical="center"/>
    </xf>
    <xf numFmtId="38" fontId="14" fillId="10" borderId="0" xfId="1" applyNumberFormat="1" applyFont="1" applyFill="1" applyBorder="1" applyAlignment="1">
      <alignment horizontal="center" vertical="center"/>
    </xf>
    <xf numFmtId="0" fontId="15" fillId="10" borderId="0" xfId="0" applyFont="1" applyFill="1" applyBorder="1" applyAlignment="1">
      <alignment horizontal="center" vertical="center" wrapText="1"/>
    </xf>
    <xf numFmtId="0" fontId="14" fillId="10" borderId="3" xfId="0" applyFont="1" applyFill="1" applyBorder="1" applyAlignment="1">
      <alignment vertical="center"/>
    </xf>
    <xf numFmtId="0" fontId="14" fillId="10" borderId="17" xfId="0" applyFont="1" applyFill="1" applyBorder="1" applyAlignment="1">
      <alignment vertical="center"/>
    </xf>
    <xf numFmtId="0" fontId="14" fillId="10" borderId="5" xfId="0" applyFont="1" applyFill="1" applyBorder="1" applyAlignment="1">
      <alignment vertical="center"/>
    </xf>
    <xf numFmtId="0" fontId="14" fillId="10" borderId="0" xfId="0" applyFont="1" applyFill="1" applyBorder="1" applyAlignment="1">
      <alignment vertical="center"/>
    </xf>
    <xf numFmtId="0" fontId="14" fillId="14" borderId="1" xfId="0" applyFont="1" applyFill="1" applyBorder="1" applyAlignment="1">
      <alignment vertical="center"/>
    </xf>
    <xf numFmtId="49" fontId="14" fillId="14" borderId="1" xfId="0" applyNumberFormat="1" applyFont="1" applyFill="1" applyBorder="1" applyAlignment="1">
      <alignment horizontal="center" vertical="center"/>
    </xf>
    <xf numFmtId="0" fontId="16" fillId="14" borderId="1" xfId="0" applyFont="1" applyFill="1" applyBorder="1" applyAlignment="1">
      <alignment horizontal="center" vertical="center"/>
    </xf>
    <xf numFmtId="0" fontId="27" fillId="5" borderId="0" xfId="0" applyFont="1" applyFill="1" applyBorder="1" applyAlignment="1">
      <alignment horizontal="left" vertical="center" wrapText="1"/>
    </xf>
    <xf numFmtId="0" fontId="27" fillId="5" borderId="0" xfId="0" applyFont="1" applyFill="1" applyBorder="1" applyAlignment="1">
      <alignment horizontal="center" vertical="center" wrapText="1"/>
    </xf>
    <xf numFmtId="1" fontId="27" fillId="5" borderId="0" xfId="0" applyNumberFormat="1" applyFont="1" applyFill="1" applyBorder="1" applyAlignment="1">
      <alignment horizontal="center" vertical="center" wrapText="1"/>
    </xf>
    <xf numFmtId="2" fontId="27" fillId="5" borderId="0" xfId="0" applyNumberFormat="1" applyFont="1" applyFill="1" applyBorder="1" applyAlignment="1">
      <alignment horizontal="center" vertical="center" wrapText="1"/>
    </xf>
    <xf numFmtId="4" fontId="27" fillId="5" borderId="0" xfId="0" applyNumberFormat="1" applyFont="1" applyFill="1" applyBorder="1" applyAlignment="1">
      <alignment horizontal="center" vertical="center" wrapText="1"/>
    </xf>
    <xf numFmtId="0" fontId="27" fillId="5" borderId="0" xfId="0" applyFont="1" applyFill="1" applyBorder="1" applyAlignment="1">
      <alignment vertical="center" wrapText="1"/>
    </xf>
    <xf numFmtId="164" fontId="14" fillId="14" borderId="1" xfId="0" applyNumberFormat="1" applyFont="1" applyFill="1" applyBorder="1" applyAlignment="1">
      <alignment horizontal="center" vertical="center"/>
    </xf>
    <xf numFmtId="164" fontId="14" fillId="6" borderId="1" xfId="0" applyNumberFormat="1" applyFont="1" applyFill="1" applyBorder="1" applyAlignment="1">
      <alignment horizontal="center" vertical="center"/>
    </xf>
    <xf numFmtId="164" fontId="16" fillId="14" borderId="1" xfId="0" applyNumberFormat="1" applyFont="1" applyFill="1" applyBorder="1" applyAlignment="1">
      <alignment horizontal="center" vertical="center"/>
    </xf>
    <xf numFmtId="1" fontId="14" fillId="6" borderId="1" xfId="0" applyNumberFormat="1" applyFont="1" applyFill="1" applyBorder="1" applyAlignment="1">
      <alignment horizontal="center" vertical="center"/>
    </xf>
    <xf numFmtId="165" fontId="16" fillId="14" borderId="1" xfId="0" applyNumberFormat="1" applyFont="1" applyFill="1" applyBorder="1" applyAlignment="1">
      <alignment horizontal="center" vertical="center"/>
    </xf>
    <xf numFmtId="0" fontId="14" fillId="10" borderId="15" xfId="0" applyFont="1" applyFill="1" applyBorder="1" applyAlignment="1">
      <alignment vertical="center"/>
    </xf>
    <xf numFmtId="0" fontId="14" fillId="10" borderId="4" xfId="0" applyFont="1" applyFill="1" applyBorder="1" applyAlignment="1">
      <alignment vertical="center"/>
    </xf>
    <xf numFmtId="0" fontId="14" fillId="10" borderId="18" xfId="0" applyFont="1" applyFill="1" applyBorder="1" applyAlignment="1">
      <alignment vertical="center"/>
    </xf>
    <xf numFmtId="0" fontId="14" fillId="10" borderId="16" xfId="0" applyFont="1" applyFill="1" applyBorder="1" applyAlignment="1">
      <alignment vertical="center"/>
    </xf>
    <xf numFmtId="0" fontId="14" fillId="10" borderId="16" xfId="0" applyFont="1" applyFill="1" applyBorder="1" applyAlignment="1">
      <alignment horizontal="center" vertical="center"/>
    </xf>
    <xf numFmtId="0" fontId="14" fillId="10" borderId="6" xfId="0" applyFont="1" applyFill="1" applyBorder="1" applyAlignment="1">
      <alignment vertical="center"/>
    </xf>
    <xf numFmtId="38" fontId="14" fillId="0" borderId="1" xfId="0" applyNumberFormat="1" applyFont="1" applyBorder="1" applyAlignment="1">
      <alignment horizontal="center" vertical="center"/>
    </xf>
    <xf numFmtId="0" fontId="14" fillId="0" borderId="1" xfId="0" applyFont="1" applyBorder="1" applyAlignment="1">
      <alignment horizontal="center" vertical="center"/>
    </xf>
    <xf numFmtId="0" fontId="0" fillId="10" borderId="0" xfId="0" applyFill="1"/>
    <xf numFmtId="0" fontId="0" fillId="2" borderId="0" xfId="0" applyFill="1" applyBorder="1"/>
    <xf numFmtId="0" fontId="34" fillId="2" borderId="18" xfId="0" applyFont="1" applyFill="1" applyBorder="1" applyAlignment="1">
      <alignment vertical="top" wrapText="1"/>
    </xf>
    <xf numFmtId="0" fontId="34" fillId="10" borderId="0" xfId="0" applyFont="1" applyFill="1" applyAlignment="1">
      <alignment vertical="top" wrapText="1"/>
    </xf>
    <xf numFmtId="0" fontId="34" fillId="0" borderId="0" xfId="0" applyFont="1" applyAlignment="1">
      <alignment vertical="top" wrapText="1"/>
    </xf>
    <xf numFmtId="0" fontId="0" fillId="2" borderId="18" xfId="0" applyFill="1" applyBorder="1"/>
    <xf numFmtId="0" fontId="0" fillId="2" borderId="17" xfId="0" applyFill="1" applyBorder="1"/>
    <xf numFmtId="0" fontId="0" fillId="2" borderId="4" xfId="0" applyFill="1" applyBorder="1"/>
    <xf numFmtId="0" fontId="34" fillId="2" borderId="0" xfId="0" applyFont="1" applyFill="1" applyBorder="1" applyAlignment="1">
      <alignment vertical="center" wrapText="1"/>
    </xf>
    <xf numFmtId="0" fontId="0" fillId="2" borderId="18" xfId="0" applyFill="1" applyBorder="1" applyAlignment="1">
      <alignment horizontal="center"/>
    </xf>
    <xf numFmtId="0" fontId="0" fillId="2" borderId="6" xfId="0" applyFill="1" applyBorder="1" applyAlignment="1">
      <alignment horizontal="center"/>
    </xf>
    <xf numFmtId="0" fontId="0" fillId="2" borderId="5" xfId="0" applyFill="1" applyBorder="1"/>
    <xf numFmtId="0" fontId="0" fillId="2" borderId="16" xfId="0" applyFill="1" applyBorder="1"/>
    <xf numFmtId="0" fontId="0" fillId="2" borderId="13" xfId="0" applyFill="1" applyBorder="1" applyAlignment="1"/>
    <xf numFmtId="0" fontId="0" fillId="2" borderId="6" xfId="0" applyFill="1" applyBorder="1"/>
    <xf numFmtId="0" fontId="0" fillId="15" borderId="0" xfId="0" applyFill="1" applyBorder="1"/>
    <xf numFmtId="0" fontId="34" fillId="15" borderId="18" xfId="0" applyFont="1" applyFill="1" applyBorder="1" applyAlignment="1">
      <alignment vertical="top" wrapText="1"/>
    </xf>
    <xf numFmtId="0" fontId="0" fillId="15" borderId="18" xfId="0" applyFill="1" applyBorder="1"/>
    <xf numFmtId="0" fontId="0" fillId="15" borderId="17" xfId="0" applyFill="1" applyBorder="1"/>
    <xf numFmtId="0" fontId="0" fillId="15" borderId="4" xfId="0" applyFill="1" applyBorder="1"/>
    <xf numFmtId="0" fontId="34" fillId="15" borderId="0" xfId="0" applyFont="1" applyFill="1" applyBorder="1" applyAlignment="1">
      <alignment vertical="center" wrapText="1"/>
    </xf>
    <xf numFmtId="0" fontId="0" fillId="15" borderId="18" xfId="0" applyFill="1" applyBorder="1" applyAlignment="1">
      <alignment horizontal="center"/>
    </xf>
    <xf numFmtId="0" fontId="0" fillId="15" borderId="6" xfId="0" applyFill="1" applyBorder="1" applyAlignment="1">
      <alignment horizontal="center"/>
    </xf>
    <xf numFmtId="0" fontId="0" fillId="15" borderId="5" xfId="0" applyFill="1" applyBorder="1"/>
    <xf numFmtId="0" fontId="0" fillId="15" borderId="16" xfId="0" applyFill="1" applyBorder="1"/>
    <xf numFmtId="0" fontId="0" fillId="15" borderId="13" xfId="0" applyFill="1" applyBorder="1" applyAlignment="1"/>
    <xf numFmtId="0" fontId="0" fillId="15" borderId="6" xfId="0" applyFill="1" applyBorder="1"/>
    <xf numFmtId="0" fontId="0" fillId="16" borderId="0" xfId="0" applyFill="1" applyBorder="1"/>
    <xf numFmtId="0" fontId="34" fillId="16" borderId="18" xfId="0" applyFont="1" applyFill="1" applyBorder="1" applyAlignment="1">
      <alignment vertical="top" wrapText="1"/>
    </xf>
    <xf numFmtId="0" fontId="0" fillId="16" borderId="18" xfId="0" applyFill="1" applyBorder="1"/>
    <xf numFmtId="0" fontId="0" fillId="16" borderId="17" xfId="0" applyFill="1" applyBorder="1"/>
    <xf numFmtId="0" fontId="0" fillId="16" borderId="4" xfId="0" applyFill="1" applyBorder="1"/>
    <xf numFmtId="0" fontId="34" fillId="16" borderId="0" xfId="0" applyFont="1" applyFill="1" applyBorder="1" applyAlignment="1">
      <alignment vertical="center" wrapText="1"/>
    </xf>
    <xf numFmtId="0" fontId="0" fillId="16" borderId="18" xfId="0" applyFill="1" applyBorder="1" applyAlignment="1">
      <alignment horizontal="center"/>
    </xf>
    <xf numFmtId="0" fontId="0" fillId="16" borderId="6" xfId="0" applyFill="1" applyBorder="1" applyAlignment="1">
      <alignment horizontal="center"/>
    </xf>
    <xf numFmtId="0" fontId="0" fillId="16" borderId="5" xfId="0" applyFill="1" applyBorder="1"/>
    <xf numFmtId="0" fontId="0" fillId="16" borderId="16" xfId="0" applyFill="1" applyBorder="1"/>
    <xf numFmtId="0" fontId="0" fillId="16" borderId="13" xfId="0" applyFill="1" applyBorder="1" applyAlignment="1"/>
    <xf numFmtId="0" fontId="0" fillId="16" borderId="6" xfId="0" applyFill="1" applyBorder="1"/>
    <xf numFmtId="0" fontId="0" fillId="17" borderId="0" xfId="0" applyFill="1" applyBorder="1"/>
    <xf numFmtId="0" fontId="34" fillId="17" borderId="18" xfId="0" applyFont="1" applyFill="1" applyBorder="1" applyAlignment="1">
      <alignment vertical="top" wrapText="1"/>
    </xf>
    <xf numFmtId="0" fontId="0" fillId="17" borderId="18" xfId="0" applyFill="1" applyBorder="1"/>
    <xf numFmtId="0" fontId="0" fillId="17" borderId="17" xfId="0" applyFill="1" applyBorder="1"/>
    <xf numFmtId="0" fontId="0" fillId="17" borderId="4" xfId="0" applyFill="1" applyBorder="1"/>
    <xf numFmtId="0" fontId="34" fillId="17" borderId="0" xfId="0" applyFont="1" applyFill="1" applyBorder="1" applyAlignment="1">
      <alignment vertical="center" wrapText="1"/>
    </xf>
    <xf numFmtId="0" fontId="0" fillId="17" borderId="18" xfId="0" applyFill="1" applyBorder="1" applyAlignment="1">
      <alignment horizontal="center"/>
    </xf>
    <xf numFmtId="0" fontId="0" fillId="17" borderId="6" xfId="0" applyFill="1" applyBorder="1" applyAlignment="1">
      <alignment horizontal="center"/>
    </xf>
    <xf numFmtId="0" fontId="0" fillId="17" borderId="5" xfId="0" applyFill="1" applyBorder="1"/>
    <xf numFmtId="0" fontId="0" fillId="17" borderId="16" xfId="0" applyFill="1" applyBorder="1"/>
    <xf numFmtId="0" fontId="0" fillId="17" borderId="13" xfId="0" applyFill="1" applyBorder="1" applyAlignment="1"/>
    <xf numFmtId="0" fontId="0" fillId="17" borderId="6" xfId="0" applyFill="1" applyBorder="1"/>
    <xf numFmtId="0" fontId="0" fillId="18" borderId="0" xfId="0" applyFill="1" applyBorder="1"/>
    <xf numFmtId="0" fontId="34" fillId="18" borderId="18" xfId="0" applyFont="1" applyFill="1" applyBorder="1" applyAlignment="1">
      <alignment vertical="top" wrapText="1"/>
    </xf>
    <xf numFmtId="0" fontId="0" fillId="18" borderId="18" xfId="0" applyFill="1" applyBorder="1"/>
    <xf numFmtId="0" fontId="0" fillId="18" borderId="17" xfId="0" applyFill="1" applyBorder="1"/>
    <xf numFmtId="0" fontId="0" fillId="18" borderId="4" xfId="0" applyFill="1" applyBorder="1"/>
    <xf numFmtId="0" fontId="34" fillId="18" borderId="0" xfId="0" applyFont="1" applyFill="1" applyBorder="1" applyAlignment="1">
      <alignment vertical="center" wrapText="1"/>
    </xf>
    <xf numFmtId="0" fontId="0" fillId="18" borderId="18" xfId="0" applyFill="1" applyBorder="1" applyAlignment="1">
      <alignment horizontal="center"/>
    </xf>
    <xf numFmtId="0" fontId="0" fillId="18" borderId="6" xfId="0" applyFill="1" applyBorder="1" applyAlignment="1">
      <alignment horizontal="center"/>
    </xf>
    <xf numFmtId="0" fontId="0" fillId="18" borderId="5" xfId="0" applyFill="1" applyBorder="1"/>
    <xf numFmtId="0" fontId="0" fillId="18" borderId="16" xfId="0" applyFill="1" applyBorder="1"/>
    <xf numFmtId="0" fontId="0" fillId="18" borderId="13" xfId="0" applyFill="1" applyBorder="1" applyAlignment="1"/>
    <xf numFmtId="0" fontId="0" fillId="18" borderId="6" xfId="0" applyFill="1" applyBorder="1"/>
    <xf numFmtId="0" fontId="0" fillId="19" borderId="0" xfId="0" applyFill="1" applyBorder="1"/>
    <xf numFmtId="0" fontId="34" fillId="19" borderId="18" xfId="0" applyFont="1" applyFill="1" applyBorder="1" applyAlignment="1">
      <alignment vertical="top" wrapText="1"/>
    </xf>
    <xf numFmtId="0" fontId="0" fillId="19" borderId="18" xfId="0" applyFill="1" applyBorder="1"/>
    <xf numFmtId="0" fontId="0" fillId="19" borderId="17" xfId="0" applyFill="1" applyBorder="1"/>
    <xf numFmtId="0" fontId="0" fillId="19" borderId="4" xfId="0" applyFill="1" applyBorder="1"/>
    <xf numFmtId="0" fontId="34" fillId="19" borderId="0" xfId="0" applyFont="1" applyFill="1" applyBorder="1" applyAlignment="1">
      <alignment vertical="center" wrapText="1"/>
    </xf>
    <xf numFmtId="0" fontId="0" fillId="19" borderId="18" xfId="0" applyFill="1" applyBorder="1" applyAlignment="1">
      <alignment horizontal="center"/>
    </xf>
    <xf numFmtId="0" fontId="0" fillId="19" borderId="6" xfId="0" applyFill="1" applyBorder="1" applyAlignment="1">
      <alignment horizontal="center"/>
    </xf>
    <xf numFmtId="0" fontId="0" fillId="19" borderId="5" xfId="0" applyFill="1" applyBorder="1"/>
    <xf numFmtId="0" fontId="0" fillId="19" borderId="16" xfId="0" applyFill="1" applyBorder="1"/>
    <xf numFmtId="0" fontId="0" fillId="19" borderId="13" xfId="0" applyFill="1" applyBorder="1" applyAlignment="1"/>
    <xf numFmtId="0" fontId="0" fillId="19" borderId="6" xfId="0" applyFill="1" applyBorder="1"/>
    <xf numFmtId="0" fontId="0" fillId="8" borderId="0" xfId="0" applyFill="1" applyBorder="1"/>
    <xf numFmtId="0" fontId="34" fillId="8" borderId="18" xfId="0" applyFont="1" applyFill="1" applyBorder="1" applyAlignment="1">
      <alignment vertical="top" wrapText="1"/>
    </xf>
    <xf numFmtId="0" fontId="0" fillId="8" borderId="18" xfId="0" applyFill="1" applyBorder="1"/>
    <xf numFmtId="0" fontId="0" fillId="8" borderId="17" xfId="0" applyFill="1" applyBorder="1"/>
    <xf numFmtId="0" fontId="0" fillId="8" borderId="4" xfId="0" applyFill="1" applyBorder="1"/>
    <xf numFmtId="0" fontId="34" fillId="8" borderId="0" xfId="0" applyFont="1" applyFill="1" applyBorder="1" applyAlignment="1">
      <alignment vertical="center" wrapText="1"/>
    </xf>
    <xf numFmtId="0" fontId="0" fillId="8" borderId="18" xfId="0" applyFill="1" applyBorder="1" applyAlignment="1">
      <alignment horizontal="center"/>
    </xf>
    <xf numFmtId="0" fontId="0" fillId="8" borderId="6" xfId="0" applyFill="1" applyBorder="1" applyAlignment="1">
      <alignment horizontal="center"/>
    </xf>
    <xf numFmtId="0" fontId="0" fillId="8" borderId="5" xfId="0" applyFill="1" applyBorder="1"/>
    <xf numFmtId="0" fontId="0" fillId="8" borderId="16" xfId="0" applyFill="1" applyBorder="1"/>
    <xf numFmtId="0" fontId="0" fillId="8" borderId="13" xfId="0" applyFill="1" applyBorder="1" applyAlignment="1"/>
    <xf numFmtId="0" fontId="0" fillId="8" borderId="6" xfId="0" applyFill="1" applyBorder="1"/>
    <xf numFmtId="0" fontId="28" fillId="3" borderId="1" xfId="0" applyFont="1" applyFill="1" applyBorder="1" applyAlignment="1" applyProtection="1">
      <alignment horizontal="center" vertical="center"/>
      <protection locked="0"/>
    </xf>
    <xf numFmtId="1" fontId="28" fillId="5" borderId="1" xfId="0" applyNumberFormat="1" applyFont="1" applyFill="1" applyBorder="1" applyAlignment="1">
      <alignment horizontal="center" vertical="center"/>
    </xf>
    <xf numFmtId="2" fontId="28" fillId="5" borderId="1" xfId="0" applyNumberFormat="1" applyFont="1" applyFill="1" applyBorder="1" applyAlignment="1">
      <alignment horizontal="center" vertical="center"/>
    </xf>
    <xf numFmtId="3" fontId="28" fillId="5" borderId="1" xfId="0" applyNumberFormat="1" applyFont="1" applyFill="1" applyBorder="1" applyAlignment="1">
      <alignment horizontal="center" vertical="center"/>
    </xf>
    <xf numFmtId="0" fontId="28" fillId="5" borderId="1" xfId="0" applyFont="1" applyFill="1" applyBorder="1" applyAlignment="1">
      <alignment vertical="center"/>
    </xf>
    <xf numFmtId="0" fontId="28" fillId="5" borderId="1" xfId="0" applyFont="1" applyFill="1" applyBorder="1" applyAlignment="1">
      <alignment horizontal="left" vertical="center"/>
    </xf>
    <xf numFmtId="0" fontId="27" fillId="5" borderId="0" xfId="0" applyFont="1" applyFill="1" applyBorder="1" applyAlignment="1">
      <alignment horizontal="center" vertical="center"/>
    </xf>
    <xf numFmtId="0" fontId="16" fillId="12" borderId="1" xfId="0" applyFont="1" applyFill="1" applyBorder="1" applyAlignment="1">
      <alignment horizontal="center" vertical="center"/>
    </xf>
    <xf numFmtId="0" fontId="14" fillId="0" borderId="0" xfId="0" applyFont="1" applyBorder="1" applyAlignment="1">
      <alignment vertical="center"/>
    </xf>
    <xf numFmtId="0" fontId="28" fillId="5" borderId="0" xfId="0" applyFont="1" applyFill="1" applyBorder="1" applyAlignment="1">
      <alignment horizontal="center" vertical="center"/>
    </xf>
    <xf numFmtId="0" fontId="14" fillId="10" borderId="1" xfId="0" applyFont="1" applyFill="1" applyBorder="1" applyAlignment="1">
      <alignment vertical="center"/>
    </xf>
    <xf numFmtId="0" fontId="14" fillId="10" borderId="1" xfId="0" applyFont="1" applyFill="1" applyBorder="1" applyAlignment="1">
      <alignment horizontal="center" vertical="center"/>
    </xf>
    <xf numFmtId="0" fontId="28" fillId="0" borderId="0" xfId="0" applyFont="1" applyAlignment="1">
      <alignment vertical="center"/>
    </xf>
    <xf numFmtId="1" fontId="28" fillId="0" borderId="0" xfId="0" applyNumberFormat="1" applyFont="1" applyAlignment="1">
      <alignment vertical="center"/>
    </xf>
    <xf numFmtId="2" fontId="28" fillId="0" borderId="0" xfId="0" applyNumberFormat="1" applyFont="1" applyAlignment="1">
      <alignment vertical="center"/>
    </xf>
    <xf numFmtId="4" fontId="28" fillId="0" borderId="0" xfId="0" applyNumberFormat="1" applyFont="1" applyAlignment="1">
      <alignment vertical="center"/>
    </xf>
    <xf numFmtId="0" fontId="28" fillId="10" borderId="0" xfId="0" applyFont="1" applyFill="1" applyAlignment="1">
      <alignment vertical="center"/>
    </xf>
    <xf numFmtId="1" fontId="28" fillId="10" borderId="0" xfId="0" applyNumberFormat="1" applyFont="1" applyFill="1" applyAlignment="1">
      <alignment vertical="center"/>
    </xf>
    <xf numFmtId="2" fontId="28" fillId="10" borderId="0" xfId="0" applyNumberFormat="1" applyFont="1" applyFill="1" applyAlignment="1">
      <alignment vertical="center"/>
    </xf>
    <xf numFmtId="4" fontId="28" fillId="10" borderId="0" xfId="0" applyNumberFormat="1" applyFont="1" applyFill="1" applyAlignment="1">
      <alignment vertical="center"/>
    </xf>
    <xf numFmtId="0" fontId="28" fillId="0" borderId="0" xfId="0" applyFont="1" applyFill="1" applyAlignment="1">
      <alignment vertical="center"/>
    </xf>
    <xf numFmtId="0" fontId="28" fillId="10" borderId="0" xfId="0" applyFont="1" applyFill="1" applyBorder="1" applyAlignment="1">
      <alignment vertical="center"/>
    </xf>
    <xf numFmtId="0" fontId="28" fillId="5" borderId="17" xfId="0" applyFont="1" applyFill="1" applyBorder="1" applyAlignment="1">
      <alignment vertical="center"/>
    </xf>
    <xf numFmtId="0" fontId="28" fillId="5" borderId="18" xfId="0" applyFont="1" applyFill="1" applyBorder="1" applyAlignment="1">
      <alignment vertical="center"/>
    </xf>
    <xf numFmtId="0" fontId="28" fillId="5" borderId="1" xfId="0" applyFont="1" applyFill="1" applyBorder="1" applyAlignment="1">
      <alignment horizontal="center" vertical="center"/>
    </xf>
    <xf numFmtId="0" fontId="28" fillId="10" borderId="17" xfId="0" applyFont="1" applyFill="1" applyBorder="1" applyAlignment="1">
      <alignment vertical="center"/>
    </xf>
    <xf numFmtId="0" fontId="28" fillId="10" borderId="18" xfId="0" applyFont="1" applyFill="1" applyBorder="1" applyAlignment="1">
      <alignment vertical="center"/>
    </xf>
    <xf numFmtId="0" fontId="28" fillId="5" borderId="0" xfId="0" applyFont="1" applyFill="1" applyBorder="1" applyAlignment="1">
      <alignment vertical="center"/>
    </xf>
    <xf numFmtId="1" fontId="28" fillId="5" borderId="0" xfId="0" applyNumberFormat="1" applyFont="1" applyFill="1" applyBorder="1" applyAlignment="1">
      <alignment horizontal="center" vertical="center"/>
    </xf>
    <xf numFmtId="0" fontId="28" fillId="5" borderId="5" xfId="0" applyFont="1" applyFill="1" applyBorder="1" applyAlignment="1">
      <alignment vertical="center"/>
    </xf>
    <xf numFmtId="0" fontId="28" fillId="5" borderId="16" xfId="0" applyFont="1" applyFill="1" applyBorder="1" applyAlignment="1">
      <alignment vertical="center"/>
    </xf>
    <xf numFmtId="0" fontId="28" fillId="5" borderId="6" xfId="0" applyFont="1" applyFill="1" applyBorder="1" applyAlignment="1">
      <alignment vertical="center"/>
    </xf>
    <xf numFmtId="164" fontId="28" fillId="5" borderId="1" xfId="0" applyNumberFormat="1" applyFont="1" applyFill="1" applyBorder="1" applyAlignment="1">
      <alignment horizontal="center" vertical="center"/>
    </xf>
    <xf numFmtId="0" fontId="28" fillId="10" borderId="16" xfId="0" applyFont="1" applyFill="1" applyBorder="1" applyAlignment="1">
      <alignment vertical="center"/>
    </xf>
    <xf numFmtId="0" fontId="28" fillId="5" borderId="0" xfId="0" applyFont="1" applyFill="1" applyBorder="1" applyAlignment="1">
      <alignment horizontal="left" vertical="center"/>
    </xf>
    <xf numFmtId="1" fontId="28" fillId="5" borderId="16" xfId="0" applyNumberFormat="1" applyFont="1" applyFill="1" applyBorder="1" applyAlignment="1">
      <alignment vertical="center"/>
    </xf>
    <xf numFmtId="0" fontId="28" fillId="10" borderId="5" xfId="0" applyFont="1" applyFill="1" applyBorder="1" applyAlignment="1">
      <alignment vertical="center"/>
    </xf>
    <xf numFmtId="0" fontId="28" fillId="10" borderId="6" xfId="0" applyFont="1" applyFill="1" applyBorder="1" applyAlignment="1">
      <alignment vertical="center"/>
    </xf>
    <xf numFmtId="4" fontId="28" fillId="10" borderId="1" xfId="0" applyNumberFormat="1" applyFont="1" applyFill="1" applyBorder="1" applyAlignment="1">
      <alignment horizontal="center" vertical="center"/>
    </xf>
    <xf numFmtId="4" fontId="28" fillId="10" borderId="0" xfId="0" applyNumberFormat="1" applyFont="1" applyFill="1" applyBorder="1" applyAlignment="1">
      <alignment horizontal="center" vertical="center"/>
    </xf>
    <xf numFmtId="0" fontId="6" fillId="0" borderId="0" xfId="0" applyFont="1" applyFill="1" applyBorder="1" applyAlignment="1">
      <alignment horizontal="center"/>
    </xf>
    <xf numFmtId="0" fontId="0" fillId="21" borderId="0" xfId="0" applyFill="1"/>
    <xf numFmtId="0" fontId="6" fillId="21" borderId="17" xfId="0" applyFont="1" applyFill="1" applyBorder="1" applyAlignment="1">
      <alignment horizontal="center"/>
    </xf>
    <xf numFmtId="3" fontId="0" fillId="0" borderId="1" xfId="0" applyNumberFormat="1" applyBorder="1"/>
    <xf numFmtId="0" fontId="37" fillId="0" borderId="1" xfId="0" applyFont="1" applyFill="1" applyBorder="1" applyAlignment="1">
      <alignment vertical="top"/>
    </xf>
    <xf numFmtId="2" fontId="0" fillId="0" borderId="1" xfId="0" applyNumberFormat="1" applyBorder="1"/>
    <xf numFmtId="0" fontId="0" fillId="0" borderId="1" xfId="0" applyBorder="1"/>
    <xf numFmtId="166" fontId="0" fillId="0" borderId="1" xfId="1" applyNumberFormat="1" applyFont="1" applyBorder="1"/>
    <xf numFmtId="0" fontId="0" fillId="0" borderId="0" xfId="0" applyBorder="1"/>
    <xf numFmtId="164" fontId="0" fillId="0" borderId="1" xfId="0" applyNumberFormat="1" applyBorder="1"/>
    <xf numFmtId="0" fontId="37" fillId="0" borderId="1" xfId="0" applyFont="1" applyFill="1" applyBorder="1" applyAlignment="1">
      <alignment vertical="top" wrapText="1"/>
    </xf>
    <xf numFmtId="0" fontId="0" fillId="0" borderId="2" xfId="0" applyFill="1" applyBorder="1" applyAlignment="1">
      <alignment horizontal="center" wrapText="1"/>
    </xf>
    <xf numFmtId="0" fontId="0" fillId="0" borderId="2" xfId="0" applyFill="1" applyBorder="1" applyAlignment="1">
      <alignment horizontal="center"/>
    </xf>
    <xf numFmtId="0" fontId="0" fillId="0" borderId="1" xfId="0" applyFill="1" applyBorder="1" applyAlignment="1">
      <alignment horizontal="center"/>
    </xf>
    <xf numFmtId="3" fontId="38" fillId="22" borderId="1" xfId="0" applyNumberFormat="1" applyFont="1" applyFill="1" applyBorder="1" applyAlignment="1">
      <alignment horizontal="center" vertical="top"/>
    </xf>
    <xf numFmtId="3" fontId="38" fillId="20" borderId="1" xfId="0" applyNumberFormat="1" applyFont="1" applyFill="1" applyBorder="1" applyAlignment="1">
      <alignment horizontal="right" vertical="top"/>
    </xf>
    <xf numFmtId="3" fontId="38" fillId="20" borderId="1" xfId="0" applyNumberFormat="1" applyFont="1" applyFill="1" applyBorder="1" applyAlignment="1">
      <alignment horizontal="center" vertical="top"/>
    </xf>
    <xf numFmtId="3" fontId="38" fillId="6" borderId="1" xfId="0" applyNumberFormat="1" applyFont="1" applyFill="1" applyBorder="1" applyAlignment="1">
      <alignment horizontal="center" vertical="top"/>
    </xf>
    <xf numFmtId="3" fontId="38" fillId="6" borderId="1" xfId="0" applyNumberFormat="1" applyFont="1" applyFill="1" applyBorder="1" applyAlignment="1">
      <alignment horizontal="right" vertical="top"/>
    </xf>
    <xf numFmtId="0" fontId="14" fillId="3" borderId="1" xfId="0" applyFont="1" applyFill="1" applyBorder="1" applyAlignment="1" applyProtection="1">
      <alignment horizontal="center" vertical="center"/>
      <protection locked="0"/>
    </xf>
    <xf numFmtId="1" fontId="14" fillId="5" borderId="1" xfId="0" applyNumberFormat="1" applyFont="1" applyFill="1" applyBorder="1" applyAlignment="1">
      <alignment horizontal="center" vertical="center"/>
    </xf>
    <xf numFmtId="2" fontId="14" fillId="5" borderId="1" xfId="0" applyNumberFormat="1" applyFont="1" applyFill="1" applyBorder="1" applyAlignment="1">
      <alignment horizontal="center" vertical="center"/>
    </xf>
    <xf numFmtId="0" fontId="14" fillId="5" borderId="1" xfId="0" applyFont="1" applyFill="1" applyBorder="1" applyAlignment="1">
      <alignment vertical="center"/>
    </xf>
    <xf numFmtId="3" fontId="14" fillId="5" borderId="1" xfId="0" applyNumberFormat="1" applyFont="1" applyFill="1" applyBorder="1" applyAlignment="1">
      <alignment horizontal="center" vertical="center"/>
    </xf>
    <xf numFmtId="0" fontId="14" fillId="5" borderId="1" xfId="0" applyFont="1" applyFill="1" applyBorder="1" applyAlignment="1">
      <alignment horizontal="center" vertical="center"/>
    </xf>
    <xf numFmtId="0" fontId="16" fillId="12" borderId="28" xfId="0" applyFont="1" applyFill="1" applyBorder="1" applyAlignment="1">
      <alignment horizontal="center" vertical="center"/>
    </xf>
    <xf numFmtId="0" fontId="16" fillId="12" borderId="29" xfId="0" applyFont="1" applyFill="1" applyBorder="1" applyAlignment="1">
      <alignment horizontal="center" vertical="center"/>
    </xf>
    <xf numFmtId="0" fontId="16" fillId="12" borderId="1" xfId="0" applyFont="1" applyFill="1" applyBorder="1" applyAlignment="1">
      <alignment horizontal="center" vertical="center"/>
    </xf>
    <xf numFmtId="0" fontId="16" fillId="12" borderId="12" xfId="0" applyFont="1" applyFill="1" applyBorder="1" applyAlignment="1">
      <alignment horizontal="center" vertical="center"/>
    </xf>
    <xf numFmtId="0" fontId="16" fillId="12" borderId="13" xfId="0" applyFont="1" applyFill="1" applyBorder="1" applyAlignment="1">
      <alignment horizontal="center" vertical="center"/>
    </xf>
    <xf numFmtId="0" fontId="16" fillId="12" borderId="14" xfId="0" applyFont="1" applyFill="1" applyBorder="1" applyAlignment="1">
      <alignment horizontal="center" vertical="center"/>
    </xf>
    <xf numFmtId="0" fontId="14" fillId="0" borderId="1" xfId="0" applyFont="1" applyBorder="1" applyAlignment="1">
      <alignment horizontal="center" vertical="center"/>
    </xf>
    <xf numFmtId="49" fontId="16" fillId="12" borderId="1" xfId="0" applyNumberFormat="1" applyFont="1" applyFill="1" applyBorder="1" applyAlignment="1">
      <alignment horizontal="center" vertical="center"/>
    </xf>
    <xf numFmtId="0" fontId="14" fillId="6" borderId="28" xfId="0" applyFont="1" applyFill="1" applyBorder="1" applyAlignment="1">
      <alignment horizontal="center" vertical="center"/>
    </xf>
    <xf numFmtId="0" fontId="14" fillId="6" borderId="29" xfId="0" applyFont="1" applyFill="1" applyBorder="1" applyAlignment="1">
      <alignment horizontal="center" vertical="center"/>
    </xf>
    <xf numFmtId="0" fontId="16" fillId="14" borderId="28" xfId="0" applyFont="1" applyFill="1" applyBorder="1" applyAlignment="1">
      <alignment horizontal="center" vertical="center"/>
    </xf>
    <xf numFmtId="0" fontId="16" fillId="14" borderId="29" xfId="0" applyFont="1" applyFill="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4" fillId="7" borderId="3" xfId="0" applyFont="1" applyFill="1" applyBorder="1" applyAlignment="1">
      <alignment horizontal="center"/>
    </xf>
    <xf numFmtId="0" fontId="4" fillId="0" borderId="15" xfId="0" applyFont="1" applyBorder="1" applyAlignment="1">
      <alignment horizontal="center"/>
    </xf>
    <xf numFmtId="0" fontId="4" fillId="7" borderId="4" xfId="0" applyFont="1" applyFill="1" applyBorder="1" applyAlignment="1">
      <alignment horizontal="center" textRotation="90"/>
    </xf>
    <xf numFmtId="0" fontId="4" fillId="0" borderId="18" xfId="0" applyFont="1" applyBorder="1" applyAlignment="1">
      <alignment horizontal="center" textRotation="90"/>
    </xf>
    <xf numFmtId="0" fontId="4" fillId="0" borderId="6" xfId="0" applyFont="1" applyBorder="1" applyAlignment="1">
      <alignment horizontal="center" textRotation="90"/>
    </xf>
    <xf numFmtId="0" fontId="0" fillId="7" borderId="0" xfId="0" applyFill="1" applyBorder="1" applyAlignment="1"/>
    <xf numFmtId="0" fontId="4" fillId="7" borderId="15" xfId="0" applyFont="1" applyFill="1" applyBorder="1" applyAlignment="1">
      <alignment horizontal="center"/>
    </xf>
    <xf numFmtId="0" fontId="4" fillId="7" borderId="4" xfId="0" applyFont="1" applyFill="1" applyBorder="1" applyAlignment="1">
      <alignment horizontal="center"/>
    </xf>
    <xf numFmtId="0" fontId="8" fillId="7" borderId="0" xfId="0" applyFont="1" applyFill="1" applyBorder="1" applyAlignment="1">
      <alignment horizontal="center" textRotation="90" wrapText="1"/>
    </xf>
    <xf numFmtId="0" fontId="3" fillId="7" borderId="0" xfId="0" applyFont="1" applyFill="1" applyAlignment="1">
      <alignment horizontal="center"/>
    </xf>
    <xf numFmtId="0" fontId="0" fillId="0" borderId="0" xfId="0" applyAlignment="1"/>
    <xf numFmtId="0" fontId="4" fillId="7" borderId="0" xfId="0" applyFont="1" applyFill="1" applyBorder="1" applyAlignment="1">
      <alignment horizontal="center"/>
    </xf>
    <xf numFmtId="0" fontId="4" fillId="7" borderId="3" xfId="0" applyFont="1" applyFill="1" applyBorder="1" applyAlignment="1">
      <alignment horizontal="center" wrapText="1"/>
    </xf>
    <xf numFmtId="0" fontId="4" fillId="0" borderId="15" xfId="0" applyFont="1" applyBorder="1" applyAlignment="1">
      <alignment horizontal="center" wrapText="1"/>
    </xf>
    <xf numFmtId="0" fontId="4" fillId="0" borderId="4" xfId="0" applyFont="1" applyBorder="1" applyAlignment="1">
      <alignment horizontal="center" wrapText="1"/>
    </xf>
    <xf numFmtId="0" fontId="4" fillId="7" borderId="15" xfId="0" applyFont="1" applyFill="1" applyBorder="1" applyAlignment="1">
      <alignment horizontal="center" wrapText="1"/>
    </xf>
    <xf numFmtId="0" fontId="4" fillId="0" borderId="4" xfId="0" applyFont="1" applyBorder="1" applyAlignment="1">
      <alignment horizontal="center"/>
    </xf>
    <xf numFmtId="0" fontId="27" fillId="5" borderId="3" xfId="0" applyFont="1" applyFill="1" applyBorder="1" applyAlignment="1">
      <alignment horizontal="center" vertical="center"/>
    </xf>
    <xf numFmtId="0" fontId="27" fillId="5" borderId="15" xfId="0" applyFont="1" applyFill="1" applyBorder="1" applyAlignment="1">
      <alignment horizontal="center" vertical="center"/>
    </xf>
    <xf numFmtId="0" fontId="27" fillId="5" borderId="4" xfId="0" applyFont="1" applyFill="1" applyBorder="1" applyAlignment="1">
      <alignment horizontal="center" vertical="center"/>
    </xf>
    <xf numFmtId="0" fontId="29" fillId="5" borderId="19" xfId="0" applyFont="1" applyFill="1" applyBorder="1" applyAlignment="1">
      <alignment horizontal="center" vertical="center"/>
    </xf>
    <xf numFmtId="0" fontId="29" fillId="5" borderId="20" xfId="0" applyFont="1" applyFill="1" applyBorder="1" applyAlignment="1">
      <alignment horizontal="center" vertical="center"/>
    </xf>
    <xf numFmtId="0" fontId="29" fillId="5" borderId="23" xfId="0" applyFont="1" applyFill="1" applyBorder="1" applyAlignment="1">
      <alignment horizontal="center" vertical="center"/>
    </xf>
    <xf numFmtId="0" fontId="29" fillId="5" borderId="7" xfId="0" applyFont="1" applyFill="1" applyBorder="1" applyAlignment="1">
      <alignment horizontal="center" vertical="center"/>
    </xf>
    <xf numFmtId="0" fontId="29" fillId="5" borderId="1" xfId="0" applyFont="1" applyFill="1" applyBorder="1" applyAlignment="1">
      <alignment horizontal="center" vertical="center"/>
    </xf>
    <xf numFmtId="0" fontId="29" fillId="5" borderId="8" xfId="0" applyFont="1" applyFill="1" applyBorder="1" applyAlignment="1">
      <alignment horizontal="center" vertical="center"/>
    </xf>
    <xf numFmtId="0" fontId="29" fillId="5" borderId="21" xfId="0" applyFont="1" applyFill="1" applyBorder="1" applyAlignment="1">
      <alignment horizontal="center" vertical="center"/>
    </xf>
    <xf numFmtId="0" fontId="29" fillId="5" borderId="2" xfId="0" applyFont="1" applyFill="1" applyBorder="1" applyAlignment="1">
      <alignment horizontal="center" vertical="center"/>
    </xf>
    <xf numFmtId="0" fontId="29" fillId="5" borderId="22" xfId="0" applyFont="1" applyFill="1" applyBorder="1" applyAlignment="1">
      <alignment horizontal="center" vertical="center"/>
    </xf>
    <xf numFmtId="0" fontId="29" fillId="10" borderId="3" xfId="0" applyFont="1" applyFill="1" applyBorder="1" applyAlignment="1">
      <alignment horizontal="center" vertical="center"/>
    </xf>
    <xf numFmtId="0" fontId="29" fillId="10" borderId="15" xfId="0" applyFont="1" applyFill="1" applyBorder="1" applyAlignment="1">
      <alignment horizontal="center" vertical="center"/>
    </xf>
    <xf numFmtId="0" fontId="29" fillId="10" borderId="4" xfId="0" applyFont="1" applyFill="1" applyBorder="1" applyAlignment="1">
      <alignment horizontal="center" vertical="center"/>
    </xf>
    <xf numFmtId="0" fontId="29" fillId="10" borderId="17" xfId="0" applyFont="1" applyFill="1" applyBorder="1" applyAlignment="1">
      <alignment horizontal="center" vertical="center"/>
    </xf>
    <xf numFmtId="0" fontId="29" fillId="10" borderId="0" xfId="0" applyFont="1" applyFill="1" applyBorder="1" applyAlignment="1">
      <alignment horizontal="center" vertical="center"/>
    </xf>
    <xf numFmtId="0" fontId="29" fillId="10" borderId="18" xfId="0" applyFont="1" applyFill="1" applyBorder="1" applyAlignment="1">
      <alignment horizontal="center" vertical="center"/>
    </xf>
    <xf numFmtId="0" fontId="29" fillId="13" borderId="19" xfId="0" applyFont="1" applyFill="1" applyBorder="1" applyAlignment="1">
      <alignment horizontal="center" vertical="center"/>
    </xf>
    <xf numFmtId="0" fontId="29" fillId="13" borderId="20" xfId="0" applyFont="1" applyFill="1" applyBorder="1" applyAlignment="1">
      <alignment horizontal="center" vertical="center"/>
    </xf>
    <xf numFmtId="0" fontId="29" fillId="13" borderId="23" xfId="0" applyFont="1" applyFill="1" applyBorder="1" applyAlignment="1">
      <alignment horizontal="center" vertical="center"/>
    </xf>
    <xf numFmtId="0" fontId="29" fillId="13" borderId="7" xfId="0" applyFont="1" applyFill="1" applyBorder="1" applyAlignment="1">
      <alignment horizontal="center" vertical="center"/>
    </xf>
    <xf numFmtId="0" fontId="29" fillId="13" borderId="1" xfId="0" applyFont="1" applyFill="1" applyBorder="1" applyAlignment="1">
      <alignment horizontal="center" vertical="center"/>
    </xf>
    <xf numFmtId="0" fontId="29" fillId="13" borderId="8" xfId="0" applyFont="1" applyFill="1" applyBorder="1" applyAlignment="1">
      <alignment horizontal="center" vertical="center"/>
    </xf>
    <xf numFmtId="0" fontId="29" fillId="13" borderId="21" xfId="0" applyFont="1" applyFill="1" applyBorder="1" applyAlignment="1">
      <alignment horizontal="center" vertical="center"/>
    </xf>
    <xf numFmtId="0" fontId="29" fillId="13" borderId="2" xfId="0" applyFont="1" applyFill="1" applyBorder="1" applyAlignment="1">
      <alignment horizontal="center" vertical="center"/>
    </xf>
    <xf numFmtId="0" fontId="29" fillId="13" borderId="22" xfId="0" applyFont="1" applyFill="1" applyBorder="1" applyAlignment="1">
      <alignment horizontal="center" vertical="center"/>
    </xf>
    <xf numFmtId="38" fontId="32" fillId="13" borderId="3" xfId="0" applyNumberFormat="1" applyFont="1" applyFill="1" applyBorder="1" applyAlignment="1">
      <alignment horizontal="center" vertical="center"/>
    </xf>
    <xf numFmtId="38" fontId="32" fillId="13" borderId="15" xfId="0" applyNumberFormat="1" applyFont="1" applyFill="1" applyBorder="1" applyAlignment="1">
      <alignment horizontal="center" vertical="center"/>
    </xf>
    <xf numFmtId="38" fontId="32" fillId="13" borderId="4" xfId="0" applyNumberFormat="1" applyFont="1" applyFill="1" applyBorder="1" applyAlignment="1">
      <alignment horizontal="center" vertical="center"/>
    </xf>
    <xf numFmtId="38" fontId="32" fillId="13" borderId="17" xfId="0" applyNumberFormat="1" applyFont="1" applyFill="1" applyBorder="1" applyAlignment="1">
      <alignment horizontal="center" vertical="center"/>
    </xf>
    <xf numFmtId="38" fontId="32" fillId="13" borderId="0" xfId="0" applyNumberFormat="1" applyFont="1" applyFill="1" applyBorder="1" applyAlignment="1">
      <alignment horizontal="center" vertical="center"/>
    </xf>
    <xf numFmtId="38" fontId="32" fillId="13" borderId="18" xfId="0" applyNumberFormat="1" applyFont="1" applyFill="1" applyBorder="1" applyAlignment="1">
      <alignment horizontal="center" vertical="center"/>
    </xf>
    <xf numFmtId="0" fontId="31" fillId="13" borderId="5" xfId="0" applyFont="1" applyFill="1" applyBorder="1" applyAlignment="1">
      <alignment horizontal="center" vertical="center"/>
    </xf>
    <xf numFmtId="0" fontId="31" fillId="13" borderId="16" xfId="0" applyFont="1" applyFill="1" applyBorder="1" applyAlignment="1">
      <alignment horizontal="center" vertical="center"/>
    </xf>
    <xf numFmtId="0" fontId="31" fillId="13" borderId="6" xfId="0" applyFont="1" applyFill="1" applyBorder="1" applyAlignment="1">
      <alignment horizontal="center" vertical="center"/>
    </xf>
    <xf numFmtId="2" fontId="28" fillId="5" borderId="0" xfId="0" applyNumberFormat="1" applyFont="1" applyFill="1" applyBorder="1" applyAlignment="1">
      <alignment horizontal="center" vertical="center"/>
    </xf>
    <xf numFmtId="2" fontId="28" fillId="5" borderId="16" xfId="0" applyNumberFormat="1" applyFont="1" applyFill="1" applyBorder="1" applyAlignment="1">
      <alignment horizontal="center" vertical="center"/>
    </xf>
    <xf numFmtId="3" fontId="32" fillId="5" borderId="3" xfId="0" applyNumberFormat="1" applyFont="1" applyFill="1" applyBorder="1" applyAlignment="1">
      <alignment horizontal="center" vertical="center"/>
    </xf>
    <xf numFmtId="38" fontId="32" fillId="5" borderId="15" xfId="0" applyNumberFormat="1" applyFont="1" applyFill="1" applyBorder="1" applyAlignment="1">
      <alignment horizontal="center" vertical="center"/>
    </xf>
    <xf numFmtId="38" fontId="32" fillId="5" borderId="4" xfId="0" applyNumberFormat="1" applyFont="1" applyFill="1" applyBorder="1" applyAlignment="1">
      <alignment horizontal="center" vertical="center"/>
    </xf>
    <xf numFmtId="38" fontId="32" fillId="5" borderId="17" xfId="0" applyNumberFormat="1" applyFont="1" applyFill="1" applyBorder="1" applyAlignment="1">
      <alignment horizontal="center" vertical="center"/>
    </xf>
    <xf numFmtId="38" fontId="32" fillId="5" borderId="0" xfId="0" applyNumberFormat="1" applyFont="1" applyFill="1" applyBorder="1" applyAlignment="1">
      <alignment horizontal="center" vertical="center"/>
    </xf>
    <xf numFmtId="38" fontId="32" fillId="5" borderId="18" xfId="0" applyNumberFormat="1" applyFont="1" applyFill="1" applyBorder="1" applyAlignment="1">
      <alignment horizontal="center" vertical="center"/>
    </xf>
    <xf numFmtId="0" fontId="31" fillId="5" borderId="5" xfId="0" applyFont="1" applyFill="1" applyBorder="1" applyAlignment="1">
      <alignment horizontal="center" vertical="center"/>
    </xf>
    <xf numFmtId="0" fontId="31" fillId="5" borderId="16" xfId="0" applyFont="1" applyFill="1" applyBorder="1" applyAlignment="1">
      <alignment horizontal="center" vertical="center"/>
    </xf>
    <xf numFmtId="0" fontId="31" fillId="5" borderId="6" xfId="0" applyFont="1" applyFill="1" applyBorder="1" applyAlignment="1">
      <alignment horizontal="center" vertical="center"/>
    </xf>
    <xf numFmtId="0" fontId="31" fillId="11" borderId="5" xfId="0" applyFont="1" applyFill="1" applyBorder="1" applyAlignment="1">
      <alignment horizontal="center" vertical="center"/>
    </xf>
    <xf numFmtId="0" fontId="31" fillId="11" borderId="16" xfId="0" applyFont="1" applyFill="1" applyBorder="1" applyAlignment="1">
      <alignment horizontal="center" vertical="center"/>
    </xf>
    <xf numFmtId="0" fontId="31" fillId="11" borderId="6" xfId="0" applyFont="1" applyFill="1" applyBorder="1" applyAlignment="1">
      <alignment horizontal="center" vertical="center"/>
    </xf>
    <xf numFmtId="38" fontId="32" fillId="6" borderId="3" xfId="0" applyNumberFormat="1" applyFont="1" applyFill="1" applyBorder="1" applyAlignment="1">
      <alignment horizontal="center" vertical="center"/>
    </xf>
    <xf numFmtId="38" fontId="32" fillId="6" borderId="15" xfId="0" applyNumberFormat="1" applyFont="1" applyFill="1" applyBorder="1" applyAlignment="1">
      <alignment horizontal="center" vertical="center"/>
    </xf>
    <xf numFmtId="38" fontId="32" fillId="6" borderId="4" xfId="0" applyNumberFormat="1" applyFont="1" applyFill="1" applyBorder="1" applyAlignment="1">
      <alignment horizontal="center" vertical="center"/>
    </xf>
    <xf numFmtId="38" fontId="32" fillId="6" borderId="17" xfId="0" applyNumberFormat="1" applyFont="1" applyFill="1" applyBorder="1" applyAlignment="1">
      <alignment horizontal="center" vertical="center"/>
    </xf>
    <xf numFmtId="38" fontId="32" fillId="6" borderId="0" xfId="0" applyNumberFormat="1" applyFont="1" applyFill="1" applyBorder="1" applyAlignment="1">
      <alignment horizontal="center" vertical="center"/>
    </xf>
    <xf numFmtId="38" fontId="32" fillId="6" borderId="18" xfId="0" applyNumberFormat="1" applyFont="1" applyFill="1" applyBorder="1" applyAlignment="1">
      <alignment horizontal="center" vertical="center"/>
    </xf>
    <xf numFmtId="0" fontId="29" fillId="11" borderId="19" xfId="0" applyFont="1" applyFill="1" applyBorder="1" applyAlignment="1">
      <alignment horizontal="center" vertical="center"/>
    </xf>
    <xf numFmtId="0" fontId="29" fillId="11" borderId="20" xfId="0" applyFont="1" applyFill="1" applyBorder="1" applyAlignment="1">
      <alignment horizontal="center" vertical="center"/>
    </xf>
    <xf numFmtId="0" fontId="29" fillId="11" borderId="23" xfId="0" applyFont="1" applyFill="1" applyBorder="1" applyAlignment="1">
      <alignment horizontal="center" vertical="center"/>
    </xf>
    <xf numFmtId="0" fontId="29" fillId="11" borderId="7" xfId="0" applyFont="1" applyFill="1" applyBorder="1" applyAlignment="1">
      <alignment horizontal="center" vertical="center"/>
    </xf>
    <xf numFmtId="0" fontId="29" fillId="11" borderId="1" xfId="0" applyFont="1" applyFill="1" applyBorder="1" applyAlignment="1">
      <alignment horizontal="center" vertical="center"/>
    </xf>
    <xf numFmtId="0" fontId="29" fillId="11" borderId="8" xfId="0" applyFont="1" applyFill="1" applyBorder="1" applyAlignment="1">
      <alignment horizontal="center" vertical="center"/>
    </xf>
    <xf numFmtId="0" fontId="29" fillId="11" borderId="21" xfId="0" applyFont="1" applyFill="1" applyBorder="1" applyAlignment="1">
      <alignment horizontal="center" vertical="center"/>
    </xf>
    <xf numFmtId="0" fontId="29" fillId="11" borderId="2" xfId="0" applyFont="1" applyFill="1" applyBorder="1" applyAlignment="1">
      <alignment horizontal="center" vertical="center"/>
    </xf>
    <xf numFmtId="0" fontId="29" fillId="11" borderId="22" xfId="0" applyFont="1" applyFill="1" applyBorder="1" applyAlignment="1">
      <alignment horizontal="center" vertical="center"/>
    </xf>
    <xf numFmtId="38" fontId="32" fillId="11" borderId="3" xfId="0" applyNumberFormat="1" applyFont="1" applyFill="1" applyBorder="1" applyAlignment="1">
      <alignment horizontal="center" vertical="center"/>
    </xf>
    <xf numFmtId="38" fontId="32" fillId="11" borderId="15" xfId="0" applyNumberFormat="1" applyFont="1" applyFill="1" applyBorder="1" applyAlignment="1">
      <alignment horizontal="center" vertical="center"/>
    </xf>
    <xf numFmtId="38" fontId="32" fillId="11" borderId="4" xfId="0" applyNumberFormat="1" applyFont="1" applyFill="1" applyBorder="1" applyAlignment="1">
      <alignment horizontal="center" vertical="center"/>
    </xf>
    <xf numFmtId="38" fontId="32" fillId="11" borderId="17" xfId="0" applyNumberFormat="1" applyFont="1" applyFill="1" applyBorder="1" applyAlignment="1">
      <alignment horizontal="center" vertical="center"/>
    </xf>
    <xf numFmtId="38" fontId="32" fillId="11" borderId="0" xfId="0" applyNumberFormat="1" applyFont="1" applyFill="1" applyBorder="1" applyAlignment="1">
      <alignment horizontal="center" vertical="center"/>
    </xf>
    <xf numFmtId="38" fontId="32" fillId="11" borderId="18" xfId="0" applyNumberFormat="1" applyFont="1" applyFill="1" applyBorder="1" applyAlignment="1">
      <alignment horizontal="center" vertical="center"/>
    </xf>
    <xf numFmtId="3" fontId="27" fillId="5" borderId="0" xfId="0" applyNumberFormat="1" applyFont="1" applyFill="1" applyBorder="1" applyAlignment="1">
      <alignment horizontal="center" vertical="center"/>
    </xf>
    <xf numFmtId="3" fontId="27" fillId="5" borderId="16" xfId="0" applyNumberFormat="1" applyFont="1" applyFill="1" applyBorder="1" applyAlignment="1">
      <alignment horizontal="center" vertical="center"/>
    </xf>
    <xf numFmtId="3" fontId="30" fillId="5" borderId="0" xfId="0" applyNumberFormat="1" applyFont="1" applyFill="1" applyBorder="1" applyAlignment="1">
      <alignment horizontal="center" vertical="center"/>
    </xf>
    <xf numFmtId="3" fontId="30" fillId="5" borderId="16" xfId="0" applyNumberFormat="1" applyFont="1" applyFill="1" applyBorder="1" applyAlignment="1">
      <alignment horizontal="center" vertical="center"/>
    </xf>
    <xf numFmtId="4" fontId="28" fillId="10" borderId="1" xfId="0" applyNumberFormat="1" applyFont="1" applyFill="1" applyBorder="1" applyAlignment="1">
      <alignment horizontal="center" vertical="center"/>
    </xf>
    <xf numFmtId="4" fontId="28" fillId="10" borderId="28" xfId="0" applyNumberFormat="1" applyFont="1" applyFill="1" applyBorder="1" applyAlignment="1">
      <alignment horizontal="center" vertical="center"/>
    </xf>
    <xf numFmtId="4" fontId="28" fillId="10" borderId="29" xfId="0" applyNumberFormat="1" applyFont="1" applyFill="1" applyBorder="1" applyAlignment="1">
      <alignment horizontal="center" vertical="center"/>
    </xf>
    <xf numFmtId="38" fontId="14" fillId="11" borderId="13" xfId="1" applyNumberFormat="1" applyFont="1" applyFill="1" applyBorder="1" applyAlignment="1">
      <alignment horizontal="center" vertical="center"/>
    </xf>
    <xf numFmtId="38" fontId="14" fillId="11" borderId="14" xfId="1" applyNumberFormat="1" applyFont="1" applyFill="1" applyBorder="1" applyAlignment="1">
      <alignment horizontal="center" vertical="center"/>
    </xf>
    <xf numFmtId="0" fontId="14" fillId="11" borderId="12" xfId="0" applyFont="1" applyFill="1" applyBorder="1" applyAlignment="1">
      <alignment horizontal="center" vertical="center"/>
    </xf>
    <xf numFmtId="0" fontId="14" fillId="11" borderId="13" xfId="0" applyFont="1" applyFill="1" applyBorder="1" applyAlignment="1">
      <alignment horizontal="center" vertical="center"/>
    </xf>
    <xf numFmtId="0" fontId="16" fillId="4" borderId="3" xfId="0" applyFont="1" applyFill="1" applyBorder="1" applyAlignment="1">
      <alignment horizontal="center" vertical="center"/>
    </xf>
    <xf numFmtId="0" fontId="16" fillId="4" borderId="15" xfId="0" applyFont="1" applyFill="1" applyBorder="1" applyAlignment="1">
      <alignment horizontal="center" vertical="center"/>
    </xf>
    <xf numFmtId="0" fontId="14" fillId="4" borderId="17" xfId="0" applyFont="1" applyFill="1" applyBorder="1" applyAlignment="1">
      <alignment horizontal="center" vertical="center"/>
    </xf>
    <xf numFmtId="0" fontId="14" fillId="4" borderId="18" xfId="0" applyFont="1" applyFill="1" applyBorder="1" applyAlignment="1">
      <alignment horizontal="center" vertical="center"/>
    </xf>
    <xf numFmtId="0" fontId="15" fillId="4" borderId="3" xfId="0" applyFont="1" applyFill="1" applyBorder="1" applyAlignment="1">
      <alignment horizontal="center" vertical="center" wrapText="1"/>
    </xf>
    <xf numFmtId="0" fontId="15" fillId="4" borderId="15" xfId="0" applyFont="1" applyFill="1" applyBorder="1" applyAlignment="1">
      <alignment horizontal="center" vertical="center" wrapText="1"/>
    </xf>
    <xf numFmtId="0" fontId="15" fillId="4" borderId="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15" fillId="4" borderId="0" xfId="0" applyFont="1" applyFill="1" applyBorder="1" applyAlignment="1">
      <alignment horizontal="center" vertical="center" wrapText="1"/>
    </xf>
    <xf numFmtId="0" fontId="15" fillId="4" borderId="18"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21" fillId="4" borderId="5" xfId="0" quotePrefix="1" applyFont="1" applyFill="1" applyBorder="1" applyAlignment="1">
      <alignment horizontal="center" vertical="center"/>
    </xf>
    <xf numFmtId="0" fontId="21" fillId="4" borderId="16" xfId="0" applyFont="1" applyFill="1" applyBorder="1" applyAlignment="1">
      <alignment horizontal="center" vertical="center"/>
    </xf>
    <xf numFmtId="2" fontId="21" fillId="9" borderId="5" xfId="0" applyNumberFormat="1" applyFont="1" applyFill="1" applyBorder="1" applyAlignment="1">
      <alignment horizontal="center" vertical="center"/>
    </xf>
    <xf numFmtId="2" fontId="21" fillId="9" borderId="6" xfId="0" applyNumberFormat="1"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2" fontId="14" fillId="4" borderId="12" xfId="0" applyNumberFormat="1" applyFont="1" applyFill="1" applyBorder="1" applyAlignment="1">
      <alignment horizontal="center" vertical="center"/>
    </xf>
    <xf numFmtId="2" fontId="14" fillId="4" borderId="14" xfId="0" applyNumberFormat="1" applyFont="1" applyFill="1" applyBorder="1" applyAlignment="1">
      <alignment horizontal="center" vertical="center"/>
    </xf>
    <xf numFmtId="0" fontId="14" fillId="3" borderId="10" xfId="0" applyFont="1" applyFill="1" applyBorder="1" applyAlignment="1" applyProtection="1">
      <alignment horizontal="center" vertical="center"/>
      <protection locked="0"/>
    </xf>
    <xf numFmtId="0" fontId="14" fillId="3" borderId="11" xfId="0" applyFont="1" applyFill="1" applyBorder="1" applyAlignment="1" applyProtection="1">
      <alignment horizontal="center" vertical="center"/>
      <protection locked="0"/>
    </xf>
    <xf numFmtId="38" fontId="14" fillId="4" borderId="13" xfId="1" applyNumberFormat="1" applyFont="1" applyFill="1" applyBorder="1" applyAlignment="1">
      <alignment horizontal="center" vertical="center"/>
    </xf>
    <xf numFmtId="38" fontId="14" fillId="4" borderId="14" xfId="1" applyNumberFormat="1" applyFont="1" applyFill="1" applyBorder="1" applyAlignment="1">
      <alignment horizontal="center" vertical="center"/>
    </xf>
    <xf numFmtId="0" fontId="14" fillId="4" borderId="20" xfId="0" applyFont="1" applyFill="1" applyBorder="1" applyAlignment="1">
      <alignment horizontal="center" vertical="center"/>
    </xf>
    <xf numFmtId="0" fontId="14" fillId="4" borderId="23" xfId="0" applyFont="1" applyFill="1" applyBorder="1" applyAlignment="1">
      <alignment horizontal="center" vertical="center"/>
    </xf>
    <xf numFmtId="0" fontId="14" fillId="3" borderId="1" xfId="0" applyFont="1" applyFill="1" applyBorder="1" applyAlignment="1" applyProtection="1">
      <alignment horizontal="center" vertical="center"/>
      <protection locked="0"/>
    </xf>
    <xf numFmtId="0" fontId="14" fillId="3" borderId="8" xfId="0" applyFont="1" applyFill="1" applyBorder="1" applyAlignment="1" applyProtection="1">
      <alignment horizontal="center" vertical="center"/>
      <protection locked="0"/>
    </xf>
    <xf numFmtId="0" fontId="14" fillId="4" borderId="5" xfId="0" applyFont="1" applyFill="1" applyBorder="1" applyAlignment="1">
      <alignment horizontal="center" vertical="center"/>
    </xf>
    <xf numFmtId="0" fontId="14" fillId="4" borderId="16" xfId="0" applyFont="1" applyFill="1" applyBorder="1" applyAlignment="1">
      <alignment horizontal="center" vertical="center"/>
    </xf>
    <xf numFmtId="0" fontId="14" fillId="4" borderId="36" xfId="0" applyFont="1" applyFill="1" applyBorder="1" applyAlignment="1">
      <alignment horizontal="center" vertical="center"/>
    </xf>
    <xf numFmtId="0" fontId="14" fillId="4" borderId="0" xfId="0" applyFont="1" applyFill="1" applyBorder="1" applyAlignment="1">
      <alignment horizontal="center" vertical="center"/>
    </xf>
    <xf numFmtId="0" fontId="14" fillId="4" borderId="31" xfId="0" applyFont="1" applyFill="1" applyBorder="1" applyAlignment="1">
      <alignment horizontal="center" vertical="center"/>
    </xf>
    <xf numFmtId="0" fontId="14" fillId="4" borderId="3" xfId="0" applyFont="1" applyFill="1" applyBorder="1" applyAlignment="1">
      <alignment horizontal="center" vertical="center"/>
    </xf>
    <xf numFmtId="0" fontId="14" fillId="4" borderId="15" xfId="0" applyFont="1" applyFill="1" applyBorder="1" applyAlignment="1">
      <alignment horizontal="center" vertical="center"/>
    </xf>
    <xf numFmtId="0" fontId="14" fillId="4" borderId="37" xfId="0" applyFont="1" applyFill="1" applyBorder="1" applyAlignment="1">
      <alignment horizontal="center" vertical="center"/>
    </xf>
    <xf numFmtId="0" fontId="14" fillId="4" borderId="3" xfId="0" applyFont="1" applyFill="1" applyBorder="1" applyAlignment="1">
      <alignment horizontal="left" vertical="center"/>
    </xf>
    <xf numFmtId="0" fontId="14" fillId="4" borderId="15" xfId="0" applyFont="1" applyFill="1" applyBorder="1" applyAlignment="1">
      <alignment horizontal="left" vertical="center"/>
    </xf>
    <xf numFmtId="0" fontId="14" fillId="4" borderId="4" xfId="0" applyFont="1" applyFill="1" applyBorder="1" applyAlignment="1">
      <alignment horizontal="left" vertical="center"/>
    </xf>
    <xf numFmtId="0" fontId="14" fillId="3" borderId="19" xfId="0" applyFont="1" applyFill="1" applyBorder="1" applyAlignment="1" applyProtection="1">
      <alignment horizontal="center" vertical="center"/>
      <protection locked="0"/>
    </xf>
    <xf numFmtId="0" fontId="14" fillId="3" borderId="23" xfId="0" applyFont="1" applyFill="1" applyBorder="1" applyAlignment="1" applyProtection="1">
      <alignment horizontal="center" vertical="center"/>
      <protection locked="0"/>
    </xf>
    <xf numFmtId="0" fontId="14" fillId="4" borderId="17" xfId="0" applyFont="1" applyFill="1" applyBorder="1" applyAlignment="1">
      <alignment horizontal="left" vertical="center"/>
    </xf>
    <xf numFmtId="0" fontId="14" fillId="4" borderId="0" xfId="0" applyFont="1" applyFill="1" applyBorder="1" applyAlignment="1">
      <alignment horizontal="left" vertical="center"/>
    </xf>
    <xf numFmtId="0" fontId="14" fillId="4" borderId="18" xfId="0" applyFont="1" applyFill="1" applyBorder="1" applyAlignment="1">
      <alignment horizontal="left" vertical="center"/>
    </xf>
    <xf numFmtId="0" fontId="14" fillId="3" borderId="7" xfId="0" applyFont="1" applyFill="1" applyBorder="1" applyAlignment="1" applyProtection="1">
      <alignment horizontal="center" vertical="center"/>
      <protection locked="0"/>
    </xf>
    <xf numFmtId="0" fontId="16" fillId="3" borderId="9" xfId="0" applyFont="1" applyFill="1" applyBorder="1" applyAlignment="1" applyProtection="1">
      <alignment horizontal="center" vertical="center"/>
      <protection locked="0"/>
    </xf>
    <xf numFmtId="0" fontId="16" fillId="3" borderId="11" xfId="0" applyFont="1" applyFill="1" applyBorder="1" applyAlignment="1" applyProtection="1">
      <alignment horizontal="center" vertical="center"/>
      <protection locked="0"/>
    </xf>
    <xf numFmtId="0" fontId="16" fillId="4" borderId="17" xfId="0" applyFont="1" applyFill="1" applyBorder="1" applyAlignment="1">
      <alignment horizontal="center" vertical="center"/>
    </xf>
    <xf numFmtId="0" fontId="16" fillId="4" borderId="0" xfId="0" applyFont="1" applyFill="1" applyBorder="1" applyAlignment="1">
      <alignment horizontal="center" vertical="center"/>
    </xf>
    <xf numFmtId="0" fontId="16" fillId="4" borderId="18" xfId="0" applyFont="1" applyFill="1" applyBorder="1" applyAlignment="1">
      <alignment horizontal="center" vertical="center"/>
    </xf>
    <xf numFmtId="0" fontId="16" fillId="4" borderId="5" xfId="0" applyFont="1" applyFill="1" applyBorder="1" applyAlignment="1">
      <alignment horizontal="center" vertical="center"/>
    </xf>
    <xf numFmtId="0" fontId="16" fillId="4" borderId="16" xfId="0" applyFont="1" applyFill="1" applyBorder="1" applyAlignment="1">
      <alignment horizontal="center" vertical="center"/>
    </xf>
    <xf numFmtId="0" fontId="16" fillId="4" borderId="6" xfId="0" applyFont="1" applyFill="1" applyBorder="1" applyAlignment="1">
      <alignment horizontal="center" vertical="center"/>
    </xf>
    <xf numFmtId="0" fontId="16" fillId="3" borderId="34" xfId="0" applyFont="1" applyFill="1" applyBorder="1" applyAlignment="1" applyProtection="1">
      <alignment horizontal="center" vertical="center"/>
      <protection locked="0"/>
    </xf>
    <xf numFmtId="0" fontId="16" fillId="3" borderId="35" xfId="0" applyFont="1" applyFill="1" applyBorder="1" applyAlignment="1" applyProtection="1">
      <alignment horizontal="center" vertical="center"/>
      <protection locked="0"/>
    </xf>
    <xf numFmtId="0" fontId="14" fillId="3" borderId="32" xfId="0" applyFont="1" applyFill="1" applyBorder="1" applyAlignment="1" applyProtection="1">
      <alignment horizontal="center" vertical="center"/>
      <protection locked="0"/>
    </xf>
    <xf numFmtId="0" fontId="14" fillId="3" borderId="33" xfId="0" applyFont="1" applyFill="1" applyBorder="1" applyAlignment="1" applyProtection="1">
      <alignment horizontal="center" vertical="center"/>
      <protection locked="0"/>
    </xf>
    <xf numFmtId="0" fontId="16" fillId="6" borderId="12" xfId="0" applyFont="1" applyFill="1" applyBorder="1" applyAlignment="1">
      <alignment horizontal="center" vertical="center"/>
    </xf>
    <xf numFmtId="0" fontId="16" fillId="6" borderId="13" xfId="0" applyFont="1" applyFill="1" applyBorder="1" applyAlignment="1">
      <alignment horizontal="center" vertical="center"/>
    </xf>
    <xf numFmtId="0" fontId="16" fillId="6" borderId="14"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15" fillId="4" borderId="13" xfId="0" applyFont="1" applyFill="1" applyBorder="1" applyAlignment="1">
      <alignment horizontal="left" vertical="center" wrapText="1"/>
    </xf>
    <xf numFmtId="0" fontId="15" fillId="4" borderId="14" xfId="0" applyFont="1" applyFill="1" applyBorder="1" applyAlignment="1">
      <alignment horizontal="left" vertical="center" wrapText="1"/>
    </xf>
    <xf numFmtId="0" fontId="19" fillId="4" borderId="3" xfId="0" applyFont="1" applyFill="1" applyBorder="1" applyAlignment="1">
      <alignment horizontal="center" vertical="center" wrapText="1"/>
    </xf>
    <xf numFmtId="0" fontId="19" fillId="4" borderId="4" xfId="0" applyFont="1" applyFill="1" applyBorder="1" applyAlignment="1">
      <alignment horizontal="center" vertical="center" wrapText="1"/>
    </xf>
    <xf numFmtId="0" fontId="19" fillId="4" borderId="15" xfId="0" applyFont="1" applyFill="1" applyBorder="1" applyAlignment="1">
      <alignment horizontal="center" vertical="center" wrapText="1"/>
    </xf>
    <xf numFmtId="0" fontId="20" fillId="4" borderId="12" xfId="0" applyFont="1" applyFill="1" applyBorder="1" applyAlignment="1">
      <alignment horizontal="center" vertical="center" wrapText="1"/>
    </xf>
    <xf numFmtId="0" fontId="20" fillId="4" borderId="13" xfId="0" applyFont="1" applyFill="1" applyBorder="1" applyAlignment="1">
      <alignment horizontal="center" vertical="center" wrapText="1"/>
    </xf>
    <xf numFmtId="0" fontId="19" fillId="4" borderId="17" xfId="0" applyFont="1" applyFill="1" applyBorder="1" applyAlignment="1">
      <alignment horizontal="center" vertical="center" wrapText="1"/>
    </xf>
    <xf numFmtId="0" fontId="19" fillId="4" borderId="18" xfId="0" applyFont="1" applyFill="1" applyBorder="1" applyAlignment="1">
      <alignment horizontal="center" vertical="center" wrapText="1"/>
    </xf>
    <xf numFmtId="0" fontId="19" fillId="4" borderId="3" xfId="0" applyFont="1" applyFill="1" applyBorder="1" applyAlignment="1">
      <alignment horizontal="center" vertical="center"/>
    </xf>
    <xf numFmtId="0" fontId="19" fillId="4" borderId="4" xfId="0" applyFont="1" applyFill="1" applyBorder="1" applyAlignment="1">
      <alignment horizontal="center" vertical="center"/>
    </xf>
    <xf numFmtId="0" fontId="19" fillId="4" borderId="17" xfId="0" applyFont="1" applyFill="1" applyBorder="1" applyAlignment="1">
      <alignment horizontal="center" vertical="center"/>
    </xf>
    <xf numFmtId="0" fontId="19" fillId="4" borderId="18" xfId="0" applyFont="1" applyFill="1" applyBorder="1" applyAlignment="1">
      <alignment horizontal="center" vertical="center"/>
    </xf>
    <xf numFmtId="0" fontId="20" fillId="4" borderId="3" xfId="0" applyFont="1" applyFill="1" applyBorder="1" applyAlignment="1">
      <alignment horizontal="center" vertical="center" wrapText="1"/>
    </xf>
    <xf numFmtId="0" fontId="20" fillId="4" borderId="4" xfId="0" applyFont="1" applyFill="1" applyBorder="1" applyAlignment="1">
      <alignment horizontal="center" vertical="center" wrapText="1"/>
    </xf>
    <xf numFmtId="0" fontId="20" fillId="4" borderId="17" xfId="0" applyFont="1" applyFill="1" applyBorder="1" applyAlignment="1">
      <alignment horizontal="center" vertical="center" wrapText="1"/>
    </xf>
    <xf numFmtId="0" fontId="20" fillId="4" borderId="18" xfId="0" applyFont="1" applyFill="1" applyBorder="1" applyAlignment="1">
      <alignment horizontal="center" vertical="center" wrapText="1"/>
    </xf>
    <xf numFmtId="0" fontId="20" fillId="4" borderId="5" xfId="0" applyFont="1" applyFill="1" applyBorder="1" applyAlignment="1">
      <alignment horizontal="center" vertical="center" wrapText="1"/>
    </xf>
    <xf numFmtId="0" fontId="20" fillId="4" borderId="6" xfId="0" applyFont="1" applyFill="1" applyBorder="1" applyAlignment="1">
      <alignment horizontal="center" vertical="center" wrapText="1"/>
    </xf>
    <xf numFmtId="0" fontId="19" fillId="4" borderId="15" xfId="0" applyFont="1" applyFill="1" applyBorder="1" applyAlignment="1">
      <alignment horizontal="center" vertical="center"/>
    </xf>
    <xf numFmtId="0" fontId="19" fillId="4" borderId="0" xfId="0" applyFont="1" applyFill="1" applyBorder="1" applyAlignment="1">
      <alignment horizontal="center" vertical="center"/>
    </xf>
    <xf numFmtId="0" fontId="19" fillId="4" borderId="5" xfId="0" applyFont="1" applyFill="1" applyBorder="1" applyAlignment="1">
      <alignment horizontal="center" vertical="center"/>
    </xf>
    <xf numFmtId="0" fontId="19" fillId="4" borderId="16" xfId="0" applyFont="1" applyFill="1" applyBorder="1" applyAlignment="1">
      <alignment horizontal="center" vertical="center"/>
    </xf>
    <xf numFmtId="0" fontId="19" fillId="4" borderId="6" xfId="0" applyFont="1" applyFill="1" applyBorder="1" applyAlignment="1">
      <alignment horizontal="center" vertical="center"/>
    </xf>
    <xf numFmtId="0" fontId="33" fillId="2" borderId="3" xfId="0" applyFont="1" applyFill="1" applyBorder="1" applyAlignment="1">
      <alignment horizontal="center"/>
    </xf>
    <xf numFmtId="0" fontId="33" fillId="2" borderId="15" xfId="0" applyFont="1" applyFill="1" applyBorder="1" applyAlignment="1">
      <alignment horizontal="center"/>
    </xf>
    <xf numFmtId="0" fontId="34" fillId="2" borderId="15" xfId="0" applyFont="1" applyFill="1" applyBorder="1" applyAlignment="1">
      <alignment horizontal="left" vertical="center" wrapText="1"/>
    </xf>
    <xf numFmtId="0" fontId="34" fillId="2" borderId="4" xfId="0" applyFont="1" applyFill="1" applyBorder="1" applyAlignment="1">
      <alignment horizontal="left" vertical="center" wrapText="1"/>
    </xf>
    <xf numFmtId="0" fontId="0" fillId="2" borderId="17" xfId="0" applyFill="1" applyBorder="1" applyAlignment="1">
      <alignment horizontal="right"/>
    </xf>
    <xf numFmtId="0" fontId="0" fillId="2" borderId="0" xfId="0" applyFill="1" applyBorder="1" applyAlignment="1">
      <alignment horizontal="right"/>
    </xf>
    <xf numFmtId="0" fontId="7" fillId="3" borderId="1" xfId="0" applyFont="1" applyFill="1" applyBorder="1" applyAlignment="1" applyProtection="1">
      <alignment horizontal="center"/>
      <protection locked="0"/>
    </xf>
    <xf numFmtId="0" fontId="0" fillId="3" borderId="1" xfId="0" applyFill="1" applyBorder="1" applyAlignment="1" applyProtection="1">
      <alignment horizontal="center"/>
      <protection locked="0"/>
    </xf>
    <xf numFmtId="0" fontId="34" fillId="2" borderId="3" xfId="0" applyFont="1" applyFill="1" applyBorder="1" applyAlignment="1">
      <alignment horizontal="left" vertical="center" wrapText="1"/>
    </xf>
    <xf numFmtId="0" fontId="34" fillId="2" borderId="17" xfId="0" applyFont="1" applyFill="1" applyBorder="1" applyAlignment="1">
      <alignment horizontal="left" vertical="center" wrapText="1"/>
    </xf>
    <xf numFmtId="0" fontId="34" fillId="2" borderId="0" xfId="0" applyFont="1" applyFill="1" applyBorder="1" applyAlignment="1">
      <alignment horizontal="left" vertical="center" wrapText="1"/>
    </xf>
    <xf numFmtId="0" fontId="34" fillId="2" borderId="18" xfId="0" applyFont="1" applyFill="1" applyBorder="1" applyAlignment="1">
      <alignment horizontal="left" vertical="center" wrapText="1"/>
    </xf>
    <xf numFmtId="0" fontId="34" fillId="2" borderId="5" xfId="0" applyFont="1" applyFill="1" applyBorder="1" applyAlignment="1">
      <alignment horizontal="left" vertical="center" wrapText="1"/>
    </xf>
    <xf numFmtId="0" fontId="34" fillId="2" borderId="16" xfId="0" applyFont="1" applyFill="1" applyBorder="1" applyAlignment="1">
      <alignment horizontal="left" vertical="center" wrapText="1"/>
    </xf>
    <xf numFmtId="0" fontId="34" fillId="2" borderId="6" xfId="0" applyFont="1" applyFill="1" applyBorder="1" applyAlignment="1">
      <alignment horizontal="left" vertical="center" wrapText="1"/>
    </xf>
    <xf numFmtId="0" fontId="0" fillId="2" borderId="31" xfId="0" applyFill="1" applyBorder="1" applyAlignment="1">
      <alignment horizontal="right"/>
    </xf>
    <xf numFmtId="0" fontId="0" fillId="2" borderId="3" xfId="0" applyFill="1" applyBorder="1" applyAlignment="1">
      <alignment horizontal="right"/>
    </xf>
    <xf numFmtId="0" fontId="0" fillId="2" borderId="15" xfId="0" applyFill="1" applyBorder="1" applyAlignment="1">
      <alignment horizontal="right"/>
    </xf>
    <xf numFmtId="0" fontId="0" fillId="2" borderId="15" xfId="0" applyFill="1" applyBorder="1" applyAlignment="1">
      <alignment horizontal="center"/>
    </xf>
    <xf numFmtId="0" fontId="0" fillId="2" borderId="0" xfId="0" applyFill="1" applyBorder="1" applyAlignment="1">
      <alignment horizontal="center"/>
    </xf>
    <xf numFmtId="4" fontId="0" fillId="2" borderId="0" xfId="0" applyNumberFormat="1" applyFill="1" applyBorder="1" applyAlignment="1">
      <alignment horizontal="center"/>
    </xf>
    <xf numFmtId="0" fontId="0" fillId="2" borderId="5" xfId="0" applyFill="1" applyBorder="1" applyAlignment="1">
      <alignment horizontal="right"/>
    </xf>
    <xf numFmtId="0" fontId="0" fillId="2" borderId="16" xfId="0" applyFill="1" applyBorder="1" applyAlignment="1">
      <alignment horizontal="right"/>
    </xf>
    <xf numFmtId="4" fontId="0" fillId="2" borderId="16" xfId="0" applyNumberFormat="1" applyFill="1" applyBorder="1" applyAlignment="1">
      <alignment horizontal="center"/>
    </xf>
    <xf numFmtId="0" fontId="33" fillId="15" borderId="3" xfId="0" applyFont="1" applyFill="1" applyBorder="1" applyAlignment="1">
      <alignment horizontal="center"/>
    </xf>
    <xf numFmtId="0" fontId="33" fillId="15" borderId="15" xfId="0" applyFont="1" applyFill="1" applyBorder="1" applyAlignment="1">
      <alignment horizontal="center"/>
    </xf>
    <xf numFmtId="0" fontId="34" fillId="15" borderId="15" xfId="0" applyFont="1" applyFill="1" applyBorder="1" applyAlignment="1">
      <alignment horizontal="left" vertical="center" wrapText="1"/>
    </xf>
    <xf numFmtId="0" fontId="34" fillId="15" borderId="4" xfId="0" applyFont="1" applyFill="1" applyBorder="1" applyAlignment="1">
      <alignment horizontal="left" vertical="center" wrapText="1"/>
    </xf>
    <xf numFmtId="0" fontId="0" fillId="15" borderId="17" xfId="0" applyFill="1" applyBorder="1" applyAlignment="1">
      <alignment horizontal="right"/>
    </xf>
    <xf numFmtId="0" fontId="0" fillId="15" borderId="0" xfId="0" applyFill="1" applyBorder="1" applyAlignment="1">
      <alignment horizontal="right"/>
    </xf>
    <xf numFmtId="0" fontId="0" fillId="6" borderId="1" xfId="0" applyFill="1" applyBorder="1" applyAlignment="1" applyProtection="1">
      <alignment horizontal="center"/>
      <protection locked="0"/>
    </xf>
    <xf numFmtId="0" fontId="34" fillId="15" borderId="3" xfId="0" applyFont="1" applyFill="1" applyBorder="1" applyAlignment="1">
      <alignment horizontal="left" vertical="center" wrapText="1"/>
    </xf>
    <xf numFmtId="0" fontId="34" fillId="15" borderId="17" xfId="0" applyFont="1" applyFill="1" applyBorder="1" applyAlignment="1">
      <alignment horizontal="left" vertical="center" wrapText="1"/>
    </xf>
    <xf numFmtId="0" fontId="34" fillId="15" borderId="0" xfId="0" applyFont="1" applyFill="1" applyBorder="1" applyAlignment="1">
      <alignment horizontal="left" vertical="center" wrapText="1"/>
    </xf>
    <xf numFmtId="0" fontId="34" fillId="15" borderId="18" xfId="0" applyFont="1" applyFill="1" applyBorder="1" applyAlignment="1">
      <alignment horizontal="left" vertical="center" wrapText="1"/>
    </xf>
    <xf numFmtId="0" fontId="34" fillId="15" borderId="5" xfId="0" applyFont="1" applyFill="1" applyBorder="1" applyAlignment="1">
      <alignment horizontal="left" vertical="center" wrapText="1"/>
    </xf>
    <xf numFmtId="0" fontId="34" fillId="15" borderId="16" xfId="0" applyFont="1" applyFill="1" applyBorder="1" applyAlignment="1">
      <alignment horizontal="left" vertical="center" wrapText="1"/>
    </xf>
    <xf numFmtId="0" fontId="34" fillId="15" borderId="6" xfId="0" applyFont="1" applyFill="1" applyBorder="1" applyAlignment="1">
      <alignment horizontal="left" vertical="center" wrapText="1"/>
    </xf>
    <xf numFmtId="0" fontId="0" fillId="15" borderId="31" xfId="0" applyFill="1" applyBorder="1" applyAlignment="1">
      <alignment horizontal="right"/>
    </xf>
    <xf numFmtId="0" fontId="0" fillId="15" borderId="3" xfId="0" applyFill="1" applyBorder="1" applyAlignment="1">
      <alignment horizontal="right"/>
    </xf>
    <xf numFmtId="0" fontId="0" fillId="15" borderId="15" xfId="0" applyFill="1" applyBorder="1" applyAlignment="1">
      <alignment horizontal="right"/>
    </xf>
    <xf numFmtId="0" fontId="0" fillId="15" borderId="15" xfId="0" applyFill="1" applyBorder="1" applyAlignment="1">
      <alignment horizontal="center"/>
    </xf>
    <xf numFmtId="0" fontId="0" fillId="15" borderId="0" xfId="0" applyFill="1" applyBorder="1" applyAlignment="1">
      <alignment horizontal="center"/>
    </xf>
    <xf numFmtId="4" fontId="0" fillId="15" borderId="0" xfId="0" applyNumberFormat="1" applyFill="1" applyBorder="1" applyAlignment="1">
      <alignment horizontal="center"/>
    </xf>
    <xf numFmtId="0" fontId="0" fillId="15" borderId="5" xfId="0" applyFill="1" applyBorder="1" applyAlignment="1">
      <alignment horizontal="right"/>
    </xf>
    <xf numFmtId="0" fontId="0" fillId="15" borderId="16" xfId="0" applyFill="1" applyBorder="1" applyAlignment="1">
      <alignment horizontal="right"/>
    </xf>
    <xf numFmtId="4" fontId="0" fillId="15" borderId="16" xfId="0" applyNumberFormat="1" applyFill="1" applyBorder="1" applyAlignment="1">
      <alignment horizontal="center"/>
    </xf>
    <xf numFmtId="0" fontId="33" fillId="16" borderId="3" xfId="0" applyFont="1" applyFill="1" applyBorder="1" applyAlignment="1">
      <alignment horizontal="center"/>
    </xf>
    <xf numFmtId="0" fontId="33" fillId="16" borderId="15" xfId="0" applyFont="1" applyFill="1" applyBorder="1" applyAlignment="1">
      <alignment horizontal="center"/>
    </xf>
    <xf numFmtId="0" fontId="34" fillId="16" borderId="15" xfId="0" applyFont="1" applyFill="1" applyBorder="1" applyAlignment="1">
      <alignment horizontal="left" vertical="center" wrapText="1"/>
    </xf>
    <xf numFmtId="0" fontId="34" fillId="16" borderId="4" xfId="0" applyFont="1" applyFill="1" applyBorder="1" applyAlignment="1">
      <alignment horizontal="left" vertical="center" wrapText="1"/>
    </xf>
    <xf numFmtId="0" fontId="0" fillId="16" borderId="17" xfId="0" applyFill="1" applyBorder="1" applyAlignment="1">
      <alignment horizontal="right"/>
    </xf>
    <xf numFmtId="0" fontId="0" fillId="16" borderId="0" xfId="0" applyFill="1" applyBorder="1" applyAlignment="1">
      <alignment horizontal="right"/>
    </xf>
    <xf numFmtId="0" fontId="34" fillId="16" borderId="3" xfId="0" applyFont="1" applyFill="1" applyBorder="1" applyAlignment="1">
      <alignment horizontal="left" vertical="center" wrapText="1"/>
    </xf>
    <xf numFmtId="0" fontId="34" fillId="16" borderId="17" xfId="0" applyFont="1" applyFill="1" applyBorder="1" applyAlignment="1">
      <alignment horizontal="left" vertical="center" wrapText="1"/>
    </xf>
    <xf numFmtId="0" fontId="34" fillId="16" borderId="0" xfId="0" applyFont="1" applyFill="1" applyBorder="1" applyAlignment="1">
      <alignment horizontal="left" vertical="center" wrapText="1"/>
    </xf>
    <xf numFmtId="0" fontId="34" fillId="16" borderId="18" xfId="0" applyFont="1" applyFill="1" applyBorder="1" applyAlignment="1">
      <alignment horizontal="left" vertical="center" wrapText="1"/>
    </xf>
    <xf numFmtId="0" fontId="34" fillId="16" borderId="5" xfId="0" applyFont="1" applyFill="1" applyBorder="1" applyAlignment="1">
      <alignment horizontal="left" vertical="center" wrapText="1"/>
    </xf>
    <xf numFmtId="0" fontId="34" fillId="16" borderId="16" xfId="0" applyFont="1" applyFill="1" applyBorder="1" applyAlignment="1">
      <alignment horizontal="left" vertical="center" wrapText="1"/>
    </xf>
    <xf numFmtId="0" fontId="34" fillId="16" borderId="6" xfId="0" applyFont="1" applyFill="1" applyBorder="1" applyAlignment="1">
      <alignment horizontal="left" vertical="center" wrapText="1"/>
    </xf>
    <xf numFmtId="0" fontId="0" fillId="16" borderId="31" xfId="0" applyFill="1" applyBorder="1" applyAlignment="1">
      <alignment horizontal="right"/>
    </xf>
    <xf numFmtId="0" fontId="0" fillId="16" borderId="3" xfId="0" applyFill="1" applyBorder="1" applyAlignment="1">
      <alignment horizontal="right"/>
    </xf>
    <xf numFmtId="0" fontId="0" fillId="16" borderId="15" xfId="0" applyFill="1" applyBorder="1" applyAlignment="1">
      <alignment horizontal="right"/>
    </xf>
    <xf numFmtId="0" fontId="0" fillId="16" borderId="15" xfId="0" applyFill="1" applyBorder="1" applyAlignment="1">
      <alignment horizontal="center"/>
    </xf>
    <xf numFmtId="0" fontId="0" fillId="16" borderId="0" xfId="0" applyFill="1" applyBorder="1" applyAlignment="1">
      <alignment horizontal="center"/>
    </xf>
    <xf numFmtId="4" fontId="0" fillId="16" borderId="0" xfId="0" applyNumberFormat="1" applyFill="1" applyBorder="1" applyAlignment="1">
      <alignment horizontal="center"/>
    </xf>
    <xf numFmtId="0" fontId="0" fillId="16" borderId="5" xfId="0" applyFill="1" applyBorder="1" applyAlignment="1">
      <alignment horizontal="right"/>
    </xf>
    <xf numFmtId="0" fontId="0" fillId="16" borderId="16" xfId="0" applyFill="1" applyBorder="1" applyAlignment="1">
      <alignment horizontal="right"/>
    </xf>
    <xf numFmtId="4" fontId="0" fillId="16" borderId="16" xfId="0" applyNumberFormat="1" applyFill="1" applyBorder="1" applyAlignment="1">
      <alignment horizontal="center"/>
    </xf>
    <xf numFmtId="0" fontId="36" fillId="16" borderId="12" xfId="0" applyFont="1" applyFill="1" applyBorder="1" applyAlignment="1">
      <alignment horizontal="center" vertical="center" wrapText="1"/>
    </xf>
    <xf numFmtId="0" fontId="36" fillId="16" borderId="13" xfId="0" applyFont="1" applyFill="1" applyBorder="1" applyAlignment="1">
      <alignment horizontal="center" vertical="center" wrapText="1"/>
    </xf>
    <xf numFmtId="0" fontId="36" fillId="16" borderId="14" xfId="0" applyFont="1" applyFill="1" applyBorder="1" applyAlignment="1">
      <alignment horizontal="center" vertical="center" wrapText="1"/>
    </xf>
    <xf numFmtId="0" fontId="33" fillId="17" borderId="3" xfId="0" applyFont="1" applyFill="1" applyBorder="1" applyAlignment="1">
      <alignment horizontal="center"/>
    </xf>
    <xf numFmtId="0" fontId="33" fillId="17" borderId="15" xfId="0" applyFont="1" applyFill="1" applyBorder="1" applyAlignment="1">
      <alignment horizontal="center"/>
    </xf>
    <xf numFmtId="0" fontId="34" fillId="17" borderId="15" xfId="0" applyFont="1" applyFill="1" applyBorder="1" applyAlignment="1">
      <alignment horizontal="left" vertical="center" wrapText="1"/>
    </xf>
    <xf numFmtId="0" fontId="34" fillId="17" borderId="4" xfId="0" applyFont="1" applyFill="1" applyBorder="1" applyAlignment="1">
      <alignment horizontal="left" vertical="center" wrapText="1"/>
    </xf>
    <xf numFmtId="0" fontId="0" fillId="17" borderId="17" xfId="0" applyFill="1" applyBorder="1" applyAlignment="1">
      <alignment horizontal="right"/>
    </xf>
    <xf numFmtId="0" fontId="0" fillId="17" borderId="0" xfId="0" applyFill="1" applyBorder="1" applyAlignment="1">
      <alignment horizontal="right"/>
    </xf>
    <xf numFmtId="0" fontId="34" fillId="17" borderId="3" xfId="0" applyFont="1" applyFill="1" applyBorder="1" applyAlignment="1">
      <alignment horizontal="left" vertical="center" wrapText="1"/>
    </xf>
    <xf numFmtId="0" fontId="34" fillId="17" borderId="17" xfId="0" applyFont="1" applyFill="1" applyBorder="1" applyAlignment="1">
      <alignment horizontal="left" vertical="center" wrapText="1"/>
    </xf>
    <xf numFmtId="0" fontId="34" fillId="17" borderId="0" xfId="0" applyFont="1" applyFill="1" applyBorder="1" applyAlignment="1">
      <alignment horizontal="left" vertical="center" wrapText="1"/>
    </xf>
    <xf numFmtId="0" fontId="34" fillId="17" borderId="18" xfId="0" applyFont="1" applyFill="1" applyBorder="1" applyAlignment="1">
      <alignment horizontal="left" vertical="center" wrapText="1"/>
    </xf>
    <xf numFmtId="0" fontId="34" fillId="17" borderId="5" xfId="0" applyFont="1" applyFill="1" applyBorder="1" applyAlignment="1">
      <alignment horizontal="left" vertical="center" wrapText="1"/>
    </xf>
    <xf numFmtId="0" fontId="34" fillId="17" borderId="16" xfId="0" applyFont="1" applyFill="1" applyBorder="1" applyAlignment="1">
      <alignment horizontal="left" vertical="center" wrapText="1"/>
    </xf>
    <xf numFmtId="0" fontId="34" fillId="17" borderId="6" xfId="0" applyFont="1" applyFill="1" applyBorder="1" applyAlignment="1">
      <alignment horizontal="left" vertical="center" wrapText="1"/>
    </xf>
    <xf numFmtId="0" fontId="0" fillId="17" borderId="31" xfId="0" applyFill="1" applyBorder="1" applyAlignment="1">
      <alignment horizontal="right"/>
    </xf>
    <xf numFmtId="0" fontId="0" fillId="17" borderId="5" xfId="0" applyFill="1" applyBorder="1" applyAlignment="1">
      <alignment horizontal="right"/>
    </xf>
    <xf numFmtId="0" fontId="0" fillId="17" borderId="16" xfId="0" applyFill="1" applyBorder="1" applyAlignment="1">
      <alignment horizontal="right"/>
    </xf>
    <xf numFmtId="4" fontId="0" fillId="17" borderId="16" xfId="0" applyNumberFormat="1" applyFill="1" applyBorder="1" applyAlignment="1">
      <alignment horizontal="center"/>
    </xf>
    <xf numFmtId="0" fontId="36" fillId="17" borderId="12" xfId="0" applyFont="1" applyFill="1" applyBorder="1" applyAlignment="1">
      <alignment horizontal="center" vertical="center" wrapText="1"/>
    </xf>
    <xf numFmtId="0" fontId="36" fillId="17" borderId="13" xfId="0" applyFont="1" applyFill="1" applyBorder="1" applyAlignment="1">
      <alignment horizontal="center" vertical="center" wrapText="1"/>
    </xf>
    <xf numFmtId="0" fontId="36" fillId="17" borderId="14" xfId="0" applyFont="1" applyFill="1" applyBorder="1" applyAlignment="1">
      <alignment horizontal="center" vertical="center" wrapText="1"/>
    </xf>
    <xf numFmtId="0" fontId="33" fillId="18" borderId="3" xfId="0" applyFont="1" applyFill="1" applyBorder="1" applyAlignment="1">
      <alignment horizontal="center"/>
    </xf>
    <xf numFmtId="0" fontId="33" fillId="18" borderId="15" xfId="0" applyFont="1" applyFill="1" applyBorder="1" applyAlignment="1">
      <alignment horizontal="center"/>
    </xf>
    <xf numFmtId="0" fontId="34" fillId="18" borderId="15" xfId="0" applyFont="1" applyFill="1" applyBorder="1" applyAlignment="1">
      <alignment horizontal="left" vertical="center" wrapText="1"/>
    </xf>
    <xf numFmtId="0" fontId="34" fillId="18" borderId="4" xfId="0" applyFont="1" applyFill="1" applyBorder="1" applyAlignment="1">
      <alignment horizontal="left" vertical="center" wrapText="1"/>
    </xf>
    <xf numFmtId="0" fontId="0" fillId="17" borderId="3" xfId="0" applyFill="1" applyBorder="1" applyAlignment="1">
      <alignment horizontal="right"/>
    </xf>
    <xf numFmtId="0" fontId="0" fillId="17" borderId="15" xfId="0" applyFill="1" applyBorder="1" applyAlignment="1">
      <alignment horizontal="right"/>
    </xf>
    <xf numFmtId="0" fontId="0" fillId="17" borderId="15" xfId="0" applyFill="1" applyBorder="1" applyAlignment="1">
      <alignment horizontal="center"/>
    </xf>
    <xf numFmtId="0" fontId="0" fillId="17" borderId="0" xfId="0" applyFill="1" applyBorder="1" applyAlignment="1">
      <alignment horizontal="center"/>
    </xf>
    <xf numFmtId="4" fontId="0" fillId="17" borderId="0" xfId="0" applyNumberFormat="1" applyFill="1" applyBorder="1" applyAlignment="1">
      <alignment horizontal="center"/>
    </xf>
    <xf numFmtId="0" fontId="0" fillId="18" borderId="3" xfId="0" applyFill="1" applyBorder="1" applyAlignment="1">
      <alignment horizontal="right"/>
    </xf>
    <xf numFmtId="0" fontId="0" fillId="18" borderId="15" xfId="0" applyFill="1" applyBorder="1" applyAlignment="1">
      <alignment horizontal="right"/>
    </xf>
    <xf numFmtId="0" fontId="0" fillId="18" borderId="15" xfId="0" applyFill="1" applyBorder="1" applyAlignment="1">
      <alignment horizontal="center"/>
    </xf>
    <xf numFmtId="0" fontId="0" fillId="18" borderId="17" xfId="0" applyFill="1" applyBorder="1" applyAlignment="1">
      <alignment horizontal="right"/>
    </xf>
    <xf numFmtId="0" fontId="0" fillId="18" borderId="0" xfId="0" applyFill="1" applyBorder="1" applyAlignment="1">
      <alignment horizontal="right"/>
    </xf>
    <xf numFmtId="1" fontId="0" fillId="18" borderId="0" xfId="0" applyNumberFormat="1" applyFill="1" applyBorder="1" applyAlignment="1">
      <alignment horizontal="center"/>
    </xf>
    <xf numFmtId="0" fontId="34" fillId="18" borderId="3" xfId="0" applyFont="1" applyFill="1" applyBorder="1" applyAlignment="1">
      <alignment horizontal="left" vertical="center" wrapText="1"/>
    </xf>
    <xf numFmtId="0" fontId="34" fillId="18" borderId="17" xfId="0" applyFont="1" applyFill="1" applyBorder="1" applyAlignment="1">
      <alignment horizontal="left" vertical="center" wrapText="1"/>
    </xf>
    <xf numFmtId="0" fontId="34" fillId="18" borderId="0" xfId="0" applyFont="1" applyFill="1" applyBorder="1" applyAlignment="1">
      <alignment horizontal="left" vertical="center" wrapText="1"/>
    </xf>
    <xf numFmtId="0" fontId="34" fillId="18" borderId="18" xfId="0" applyFont="1" applyFill="1" applyBorder="1" applyAlignment="1">
      <alignment horizontal="left" vertical="center" wrapText="1"/>
    </xf>
    <xf numFmtId="4" fontId="0" fillId="18" borderId="0" xfId="0" applyNumberFormat="1" applyFill="1" applyBorder="1" applyAlignment="1">
      <alignment horizontal="center"/>
    </xf>
    <xf numFmtId="0" fontId="34" fillId="18" borderId="5" xfId="0" applyFont="1" applyFill="1" applyBorder="1" applyAlignment="1">
      <alignment horizontal="left" vertical="center" wrapText="1"/>
    </xf>
    <xf numFmtId="0" fontId="34" fillId="18" borderId="16" xfId="0" applyFont="1" applyFill="1" applyBorder="1" applyAlignment="1">
      <alignment horizontal="left" vertical="center" wrapText="1"/>
    </xf>
    <xf numFmtId="0" fontId="34" fillId="18" borderId="6" xfId="0" applyFont="1" applyFill="1" applyBorder="1" applyAlignment="1">
      <alignment horizontal="left" vertical="center" wrapText="1"/>
    </xf>
    <xf numFmtId="0" fontId="0" fillId="18" borderId="31" xfId="0" applyFill="1" applyBorder="1" applyAlignment="1">
      <alignment horizontal="right"/>
    </xf>
    <xf numFmtId="0" fontId="0" fillId="19" borderId="17" xfId="0" applyFill="1" applyBorder="1" applyAlignment="1">
      <alignment horizontal="right"/>
    </xf>
    <xf numFmtId="0" fontId="0" fillId="19" borderId="0" xfId="0" applyFill="1" applyBorder="1" applyAlignment="1">
      <alignment horizontal="right"/>
    </xf>
    <xf numFmtId="0" fontId="34" fillId="19" borderId="3" xfId="0" applyFont="1" applyFill="1" applyBorder="1" applyAlignment="1">
      <alignment horizontal="left" vertical="center" wrapText="1"/>
    </xf>
    <xf numFmtId="0" fontId="34" fillId="19" borderId="15" xfId="0" applyFont="1" applyFill="1" applyBorder="1" applyAlignment="1">
      <alignment horizontal="left" vertical="center" wrapText="1"/>
    </xf>
    <xf numFmtId="0" fontId="34" fillId="19" borderId="4" xfId="0" applyFont="1" applyFill="1" applyBorder="1" applyAlignment="1">
      <alignment horizontal="left" vertical="center" wrapText="1"/>
    </xf>
    <xf numFmtId="0" fontId="34" fillId="19" borderId="17" xfId="0" applyFont="1" applyFill="1" applyBorder="1" applyAlignment="1">
      <alignment horizontal="left" vertical="center" wrapText="1"/>
    </xf>
    <xf numFmtId="0" fontId="34" fillId="19" borderId="0" xfId="0" applyFont="1" applyFill="1" applyBorder="1" applyAlignment="1">
      <alignment horizontal="left" vertical="center" wrapText="1"/>
    </xf>
    <xf numFmtId="0" fontId="34" fillId="19" borderId="18" xfId="0" applyFont="1" applyFill="1" applyBorder="1" applyAlignment="1">
      <alignment horizontal="left" vertical="center" wrapText="1"/>
    </xf>
    <xf numFmtId="0" fontId="34" fillId="19" borderId="5" xfId="0" applyFont="1" applyFill="1" applyBorder="1" applyAlignment="1">
      <alignment horizontal="left" vertical="center" wrapText="1"/>
    </xf>
    <xf numFmtId="0" fontId="34" fillId="19" borderId="16" xfId="0" applyFont="1" applyFill="1" applyBorder="1" applyAlignment="1">
      <alignment horizontal="left" vertical="center" wrapText="1"/>
    </xf>
    <xf numFmtId="0" fontId="34" fillId="19" borderId="6" xfId="0" applyFont="1" applyFill="1" applyBorder="1" applyAlignment="1">
      <alignment horizontal="left" vertical="center" wrapText="1"/>
    </xf>
    <xf numFmtId="0" fontId="0" fillId="19" borderId="31" xfId="0" applyFill="1" applyBorder="1" applyAlignment="1">
      <alignment horizontal="right"/>
    </xf>
    <xf numFmtId="0" fontId="0" fillId="18" borderId="5" xfId="0" applyFill="1" applyBorder="1" applyAlignment="1">
      <alignment horizontal="right"/>
    </xf>
    <xf numFmtId="0" fontId="0" fillId="18" borderId="16" xfId="0" applyFill="1" applyBorder="1" applyAlignment="1">
      <alignment horizontal="right"/>
    </xf>
    <xf numFmtId="4" fontId="0" fillId="18" borderId="16" xfId="0" applyNumberFormat="1" applyFill="1" applyBorder="1" applyAlignment="1">
      <alignment horizontal="center"/>
    </xf>
    <xf numFmtId="0" fontId="36" fillId="18" borderId="12" xfId="0" applyFont="1" applyFill="1" applyBorder="1" applyAlignment="1">
      <alignment horizontal="center" vertical="center" wrapText="1"/>
    </xf>
    <xf numFmtId="0" fontId="36" fillId="18" borderId="13" xfId="0" applyFont="1" applyFill="1" applyBorder="1" applyAlignment="1">
      <alignment horizontal="center" vertical="center" wrapText="1"/>
    </xf>
    <xf numFmtId="0" fontId="36" fillId="18" borderId="14" xfId="0" applyFont="1" applyFill="1" applyBorder="1" applyAlignment="1">
      <alignment horizontal="center" vertical="center" wrapText="1"/>
    </xf>
    <xf numFmtId="0" fontId="33" fillId="19" borderId="3" xfId="0" applyFont="1" applyFill="1" applyBorder="1" applyAlignment="1">
      <alignment horizontal="center"/>
    </xf>
    <xf numFmtId="0" fontId="33" fillId="19" borderId="15" xfId="0" applyFont="1" applyFill="1" applyBorder="1" applyAlignment="1">
      <alignment horizontal="center"/>
    </xf>
    <xf numFmtId="0" fontId="0" fillId="19" borderId="3" xfId="0" applyFill="1" applyBorder="1" applyAlignment="1">
      <alignment horizontal="right"/>
    </xf>
    <xf numFmtId="0" fontId="0" fillId="19" borderId="15" xfId="0" applyFill="1" applyBorder="1" applyAlignment="1">
      <alignment horizontal="right"/>
    </xf>
    <xf numFmtId="0" fontId="0" fillId="19" borderId="15" xfId="0" applyFill="1" applyBorder="1" applyAlignment="1">
      <alignment horizontal="center"/>
    </xf>
    <xf numFmtId="0" fontId="0" fillId="19" borderId="0" xfId="0" applyFill="1" applyBorder="1" applyAlignment="1">
      <alignment horizontal="center"/>
    </xf>
    <xf numFmtId="4" fontId="0" fillId="19" borderId="0" xfId="0" applyNumberFormat="1" applyFill="1" applyBorder="1" applyAlignment="1">
      <alignment horizontal="center"/>
    </xf>
    <xf numFmtId="0" fontId="0" fillId="19" borderId="5" xfId="0" applyFill="1" applyBorder="1" applyAlignment="1">
      <alignment horizontal="right"/>
    </xf>
    <xf numFmtId="0" fontId="0" fillId="19" borderId="16" xfId="0" applyFill="1" applyBorder="1" applyAlignment="1">
      <alignment horizontal="right"/>
    </xf>
    <xf numFmtId="4" fontId="0" fillId="19" borderId="16" xfId="0" applyNumberFormat="1" applyFill="1" applyBorder="1" applyAlignment="1">
      <alignment horizontal="center"/>
    </xf>
    <xf numFmtId="0" fontId="33" fillId="8" borderId="3" xfId="0" applyFont="1" applyFill="1" applyBorder="1" applyAlignment="1">
      <alignment horizontal="center"/>
    </xf>
    <xf numFmtId="0" fontId="33" fillId="8" borderId="15" xfId="0" applyFont="1" applyFill="1" applyBorder="1" applyAlignment="1">
      <alignment horizontal="center"/>
    </xf>
    <xf numFmtId="0" fontId="34" fillId="8" borderId="15" xfId="0" applyFont="1" applyFill="1" applyBorder="1" applyAlignment="1">
      <alignment horizontal="left" vertical="center" wrapText="1"/>
    </xf>
    <xf numFmtId="0" fontId="34" fillId="8" borderId="4" xfId="0" applyFont="1" applyFill="1" applyBorder="1" applyAlignment="1">
      <alignment horizontal="left" vertical="center" wrapText="1"/>
    </xf>
    <xf numFmtId="0" fontId="0" fillId="8" borderId="17" xfId="0" applyFill="1" applyBorder="1" applyAlignment="1">
      <alignment horizontal="right"/>
    </xf>
    <xf numFmtId="0" fontId="0" fillId="8" borderId="0" xfId="0" applyFill="1" applyBorder="1" applyAlignment="1">
      <alignment horizontal="right"/>
    </xf>
    <xf numFmtId="0" fontId="34" fillId="8" borderId="3" xfId="0" applyFont="1" applyFill="1" applyBorder="1" applyAlignment="1">
      <alignment horizontal="left" vertical="center" wrapText="1"/>
    </xf>
    <xf numFmtId="0" fontId="34" fillId="8" borderId="17" xfId="0" applyFont="1" applyFill="1" applyBorder="1" applyAlignment="1">
      <alignment horizontal="left" vertical="center" wrapText="1"/>
    </xf>
    <xf numFmtId="0" fontId="34" fillId="8" borderId="0" xfId="0" applyFont="1" applyFill="1" applyBorder="1" applyAlignment="1">
      <alignment horizontal="left" vertical="center" wrapText="1"/>
    </xf>
    <xf numFmtId="0" fontId="34" fillId="8" borderId="18" xfId="0" applyFont="1" applyFill="1" applyBorder="1" applyAlignment="1">
      <alignment horizontal="left" vertical="center" wrapText="1"/>
    </xf>
    <xf numFmtId="0" fontId="34" fillId="8" borderId="5" xfId="0" applyFont="1" applyFill="1" applyBorder="1" applyAlignment="1">
      <alignment horizontal="left" vertical="center" wrapText="1"/>
    </xf>
    <xf numFmtId="0" fontId="34" fillId="8" borderId="16" xfId="0" applyFont="1" applyFill="1" applyBorder="1" applyAlignment="1">
      <alignment horizontal="left" vertical="center" wrapText="1"/>
    </xf>
    <xf numFmtId="0" fontId="34" fillId="8" borderId="6" xfId="0" applyFont="1" applyFill="1" applyBorder="1" applyAlignment="1">
      <alignment horizontal="left" vertical="center" wrapText="1"/>
    </xf>
    <xf numFmtId="0" fontId="0" fillId="8" borderId="31" xfId="0" applyFill="1" applyBorder="1" applyAlignment="1">
      <alignment horizontal="right"/>
    </xf>
    <xf numFmtId="0" fontId="0" fillId="8" borderId="3" xfId="0" applyFill="1" applyBorder="1" applyAlignment="1">
      <alignment horizontal="right"/>
    </xf>
    <xf numFmtId="0" fontId="0" fillId="8" borderId="15" xfId="0" applyFill="1" applyBorder="1" applyAlignment="1">
      <alignment horizontal="right"/>
    </xf>
    <xf numFmtId="0" fontId="0" fillId="8" borderId="15" xfId="0" applyFill="1" applyBorder="1" applyAlignment="1">
      <alignment horizontal="center"/>
    </xf>
    <xf numFmtId="0" fontId="0" fillId="8" borderId="0" xfId="0" applyFill="1" applyBorder="1" applyAlignment="1">
      <alignment horizontal="center"/>
    </xf>
    <xf numFmtId="4" fontId="0" fillId="8" borderId="0" xfId="0" applyNumberFormat="1" applyFill="1" applyBorder="1" applyAlignment="1">
      <alignment horizontal="center"/>
    </xf>
    <xf numFmtId="0" fontId="0" fillId="8" borderId="5" xfId="0" applyFill="1" applyBorder="1" applyAlignment="1">
      <alignment horizontal="right"/>
    </xf>
    <xf numFmtId="0" fontId="0" fillId="8" borderId="16" xfId="0" applyFill="1" applyBorder="1" applyAlignment="1">
      <alignment horizontal="right"/>
    </xf>
    <xf numFmtId="4" fontId="0" fillId="8" borderId="16" xfId="0" applyNumberFormat="1" applyFill="1" applyBorder="1" applyAlignment="1">
      <alignment horizont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0" borderId="26"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2" fillId="6"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xf>
    <xf numFmtId="0" fontId="0" fillId="0" borderId="28" xfId="0" applyBorder="1" applyAlignment="1">
      <alignment horizontal="center"/>
    </xf>
    <xf numFmtId="0" fontId="0" fillId="0" borderId="39" xfId="0" applyBorder="1" applyAlignment="1">
      <alignment horizontal="center"/>
    </xf>
    <xf numFmtId="0" fontId="0" fillId="0" borderId="29" xfId="0" applyBorder="1" applyAlignment="1">
      <alignment horizontal="center"/>
    </xf>
    <xf numFmtId="0" fontId="0" fillId="0" borderId="38" xfId="0" applyBorder="1" applyAlignment="1">
      <alignment horizontal="center" wrapText="1"/>
    </xf>
    <xf numFmtId="0" fontId="0" fillId="0" borderId="0" xfId="0" applyBorder="1" applyAlignment="1">
      <alignment horizontal="center" wrapText="1"/>
    </xf>
    <xf numFmtId="3" fontId="38" fillId="20" borderId="28" xfId="0" applyNumberFormat="1" applyFont="1" applyFill="1" applyBorder="1" applyAlignment="1">
      <alignment horizontal="center" vertical="top"/>
    </xf>
    <xf numFmtId="3" fontId="38" fillId="20" borderId="29" xfId="0" applyNumberFormat="1" applyFont="1" applyFill="1" applyBorder="1" applyAlignment="1">
      <alignment horizontal="center" vertical="top"/>
    </xf>
    <xf numFmtId="3" fontId="38" fillId="6" borderId="28" xfId="0" applyNumberFormat="1" applyFont="1" applyFill="1" applyBorder="1" applyAlignment="1">
      <alignment horizontal="center" vertical="top"/>
    </xf>
    <xf numFmtId="3" fontId="38" fillId="6" borderId="29" xfId="0" applyNumberFormat="1" applyFont="1" applyFill="1" applyBorder="1" applyAlignment="1">
      <alignment horizontal="center" vertical="top"/>
    </xf>
    <xf numFmtId="3" fontId="38" fillId="22" borderId="28" xfId="0" applyNumberFormat="1" applyFont="1" applyFill="1" applyBorder="1" applyAlignment="1">
      <alignment horizontal="center" vertical="top"/>
    </xf>
    <xf numFmtId="3" fontId="38" fillId="22" borderId="29" xfId="0" applyNumberFormat="1" applyFont="1" applyFill="1" applyBorder="1" applyAlignment="1">
      <alignment horizontal="center" vertical="top"/>
    </xf>
  </cellXfs>
  <cellStyles count="2">
    <cellStyle name="Comma" xfId="1" builtinId="3"/>
    <cellStyle name="Normal" xfId="0" builtinId="0"/>
  </cellStyles>
  <dxfs count="1">
    <dxf>
      <font>
        <color rgb="FF9C0006"/>
      </font>
      <fill>
        <patternFill>
          <bgColor rgb="FFFFC7CE"/>
        </patternFill>
      </fill>
    </dxf>
  </dxfs>
  <tableStyles count="0" defaultTableStyle="TableStyleMedium9" defaultPivotStyle="PivotStyleLight16"/>
  <colors>
    <mruColors>
      <color rgb="FF8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114300</xdr:colOff>
      <xdr:row>11</xdr:row>
      <xdr:rowOff>85725</xdr:rowOff>
    </xdr:from>
    <xdr:to>
      <xdr:col>9</xdr:col>
      <xdr:colOff>923925</xdr:colOff>
      <xdr:row>16</xdr:row>
      <xdr:rowOff>19050</xdr:rowOff>
    </xdr:to>
    <xdr:sp macro="" textlink="">
      <xdr:nvSpPr>
        <xdr:cNvPr id="2" name="AutoShape 8"/>
        <xdr:cNvSpPr>
          <a:spLocks noChangeArrowheads="1"/>
        </xdr:cNvSpPr>
      </xdr:nvSpPr>
      <xdr:spPr bwMode="auto">
        <a:xfrm>
          <a:off x="7477125" y="2038350"/>
          <a:ext cx="809625" cy="1133475"/>
        </a:xfrm>
        <a:prstGeom prst="triangle">
          <a:avLst>
            <a:gd name="adj" fmla="val 50000"/>
          </a:avLst>
        </a:prstGeom>
        <a:solidFill>
          <a:srgbClr val="808000"/>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    </a:t>
          </a:r>
        </a:p>
      </xdr:txBody>
    </xdr:sp>
    <xdr:clientData/>
  </xdr:twoCellAnchor>
  <xdr:twoCellAnchor>
    <xdr:from>
      <xdr:col>9</xdr:col>
      <xdr:colOff>323850</xdr:colOff>
      <xdr:row>14</xdr:row>
      <xdr:rowOff>19050</xdr:rowOff>
    </xdr:from>
    <xdr:to>
      <xdr:col>9</xdr:col>
      <xdr:colOff>714375</xdr:colOff>
      <xdr:row>14</xdr:row>
      <xdr:rowOff>19050</xdr:rowOff>
    </xdr:to>
    <xdr:sp macro="" textlink="">
      <xdr:nvSpPr>
        <xdr:cNvPr id="3" name="Line 10"/>
        <xdr:cNvSpPr>
          <a:spLocks noChangeShapeType="1"/>
        </xdr:cNvSpPr>
      </xdr:nvSpPr>
      <xdr:spPr bwMode="auto">
        <a:xfrm>
          <a:off x="6429375" y="2486025"/>
          <a:ext cx="390525" cy="0"/>
        </a:xfrm>
        <a:prstGeom prst="line">
          <a:avLst/>
        </a:prstGeom>
        <a:noFill/>
        <a:ln w="9525">
          <a:solidFill>
            <a:srgbClr val="000000"/>
          </a:solidFill>
          <a:round/>
          <a:headEnd/>
          <a:tailEnd/>
        </a:ln>
      </xdr:spPr>
    </xdr:sp>
    <xdr:clientData/>
  </xdr:twoCellAnchor>
  <xdr:twoCellAnchor>
    <xdr:from>
      <xdr:col>9</xdr:col>
      <xdr:colOff>523875</xdr:colOff>
      <xdr:row>14</xdr:row>
      <xdr:rowOff>28575</xdr:rowOff>
    </xdr:from>
    <xdr:to>
      <xdr:col>9</xdr:col>
      <xdr:colOff>523875</xdr:colOff>
      <xdr:row>15</xdr:row>
      <xdr:rowOff>114300</xdr:rowOff>
    </xdr:to>
    <xdr:sp macro="" textlink="">
      <xdr:nvSpPr>
        <xdr:cNvPr id="4" name="Line 11"/>
        <xdr:cNvSpPr>
          <a:spLocks noChangeShapeType="1"/>
        </xdr:cNvSpPr>
      </xdr:nvSpPr>
      <xdr:spPr bwMode="auto">
        <a:xfrm>
          <a:off x="6629400" y="2495550"/>
          <a:ext cx="0" cy="257175"/>
        </a:xfrm>
        <a:prstGeom prst="line">
          <a:avLst/>
        </a:prstGeom>
        <a:noFill/>
        <a:ln w="9525">
          <a:solidFill>
            <a:srgbClr val="000000"/>
          </a:solidFill>
          <a:round/>
          <a:headEnd/>
          <a:tailEnd/>
        </a:ln>
      </xdr:spPr>
    </xdr:sp>
    <xdr:clientData/>
  </xdr:twoCellAnchor>
  <xdr:oneCellAnchor>
    <xdr:from>
      <xdr:col>9</xdr:col>
      <xdr:colOff>361950</xdr:colOff>
      <xdr:row>14</xdr:row>
      <xdr:rowOff>104775</xdr:rowOff>
    </xdr:from>
    <xdr:ext cx="161925" cy="200025"/>
    <xdr:sp macro="" textlink="">
      <xdr:nvSpPr>
        <xdr:cNvPr id="5" name="Text Box 12"/>
        <xdr:cNvSpPr txBox="1">
          <a:spLocks noChangeArrowheads="1"/>
        </xdr:cNvSpPr>
      </xdr:nvSpPr>
      <xdr:spPr bwMode="auto">
        <a:xfrm>
          <a:off x="6467475" y="2571750"/>
          <a:ext cx="161925" cy="200025"/>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u="none" strike="noStrike" baseline="0">
              <a:solidFill>
                <a:srgbClr val="000000"/>
              </a:solidFill>
              <a:latin typeface="Arial"/>
              <a:cs typeface="Arial"/>
            </a:rPr>
            <a:t>R</a:t>
          </a:r>
        </a:p>
      </xdr:txBody>
    </xdr:sp>
    <xdr:clientData/>
  </xdr:oneCellAnchor>
  <xdr:oneCellAnchor>
    <xdr:from>
      <xdr:col>9</xdr:col>
      <xdr:colOff>600075</xdr:colOff>
      <xdr:row>14</xdr:row>
      <xdr:rowOff>95250</xdr:rowOff>
    </xdr:from>
    <xdr:ext cx="142875" cy="200025"/>
    <xdr:sp macro="" textlink="">
      <xdr:nvSpPr>
        <xdr:cNvPr id="6" name="Text Box 13"/>
        <xdr:cNvSpPr txBox="1">
          <a:spLocks noChangeArrowheads="1"/>
        </xdr:cNvSpPr>
      </xdr:nvSpPr>
      <xdr:spPr bwMode="auto">
        <a:xfrm>
          <a:off x="6705600" y="2562225"/>
          <a:ext cx="142875" cy="200025"/>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u="none" strike="noStrike" baseline="0">
              <a:solidFill>
                <a:srgbClr val="000000"/>
              </a:solidFill>
              <a:latin typeface="Arial"/>
              <a:cs typeface="Arial"/>
            </a:rPr>
            <a:t>T</a:t>
          </a:r>
        </a:p>
      </xdr:txBody>
    </xdr:sp>
    <xdr:clientData/>
  </xdr:oneCellAnchor>
  <xdr:oneCellAnchor>
    <xdr:from>
      <xdr:col>9</xdr:col>
      <xdr:colOff>457200</xdr:colOff>
      <xdr:row>12</xdr:row>
      <xdr:rowOff>114300</xdr:rowOff>
    </xdr:from>
    <xdr:ext cx="161925" cy="200025"/>
    <xdr:sp macro="" textlink="">
      <xdr:nvSpPr>
        <xdr:cNvPr id="7" name="Text Box 14"/>
        <xdr:cNvSpPr txBox="1">
          <a:spLocks noChangeArrowheads="1"/>
        </xdr:cNvSpPr>
      </xdr:nvSpPr>
      <xdr:spPr bwMode="auto">
        <a:xfrm>
          <a:off x="6562725" y="2238375"/>
          <a:ext cx="161925" cy="200025"/>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u="none" strike="noStrike" baseline="0">
              <a:solidFill>
                <a:srgbClr val="000000"/>
              </a:solidFill>
              <a:latin typeface="Arial"/>
              <a:cs typeface="Arial"/>
            </a:rPr>
            <a:t>D</a:t>
          </a:r>
        </a:p>
      </xdr:txBody>
    </xdr:sp>
    <xdr:clientData/>
  </xdr:oneCellAnchor>
  <xdr:twoCellAnchor editAs="oneCell">
    <xdr:from>
      <xdr:col>2</xdr:col>
      <xdr:colOff>523875</xdr:colOff>
      <xdr:row>39</xdr:row>
      <xdr:rowOff>9525</xdr:rowOff>
    </xdr:from>
    <xdr:to>
      <xdr:col>8</xdr:col>
      <xdr:colOff>619125</xdr:colOff>
      <xdr:row>64</xdr:row>
      <xdr:rowOff>57150</xdr:rowOff>
    </xdr:to>
    <xdr:pic>
      <xdr:nvPicPr>
        <xdr:cNvPr id="8" name="Picture 16"/>
        <xdr:cNvPicPr>
          <a:picLocks noChangeAspect="1" noChangeArrowheads="1"/>
        </xdr:cNvPicPr>
      </xdr:nvPicPr>
      <xdr:blipFill>
        <a:blip xmlns:r="http://schemas.openxmlformats.org/officeDocument/2006/relationships" r:embed="rId1" cstate="print"/>
        <a:srcRect/>
        <a:stretch>
          <a:fillRect/>
        </a:stretch>
      </xdr:blipFill>
      <xdr:spPr bwMode="auto">
        <a:xfrm>
          <a:off x="1371600" y="6153150"/>
          <a:ext cx="5343525" cy="4095750"/>
        </a:xfrm>
        <a:prstGeom prst="rect">
          <a:avLst/>
        </a:prstGeom>
        <a:noFill/>
        <a:ln w="3175">
          <a:solidFill>
            <a:srgbClr val="FFFFFF"/>
          </a:solidFill>
          <a:miter lim="800000"/>
          <a:headEnd/>
          <a:tailEnd/>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9524</xdr:rowOff>
    </xdr:from>
    <xdr:to>
      <xdr:col>6</xdr:col>
      <xdr:colOff>9525</xdr:colOff>
      <xdr:row>53</xdr:row>
      <xdr:rowOff>66674</xdr:rowOff>
    </xdr:to>
    <xdr:sp macro="" textlink="">
      <xdr:nvSpPr>
        <xdr:cNvPr id="2" name="Rectangle 1"/>
        <xdr:cNvSpPr/>
      </xdr:nvSpPr>
      <xdr:spPr>
        <a:xfrm>
          <a:off x="38100" y="9524"/>
          <a:ext cx="6124575" cy="10658475"/>
        </a:xfrm>
        <a:prstGeom prst="rect">
          <a:avLst/>
        </a:prstGeom>
        <a:solidFill>
          <a:srgbClr val="FF0000">
            <a:alpha val="66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rgbClr val="FFFF00"/>
              </a:solidFill>
            </a:rPr>
            <a:t>Confirm</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A3"/>
  <sheetViews>
    <sheetView tabSelected="1" workbookViewId="0">
      <selection activeCell="E7" sqref="E7"/>
    </sheetView>
  </sheetViews>
  <sheetFormatPr defaultRowHeight="12.75"/>
  <cols>
    <col min="1" max="1" width="91.140625" customWidth="1"/>
  </cols>
  <sheetData>
    <row r="1" spans="1:1">
      <c r="A1" s="34" t="s">
        <v>112</v>
      </c>
    </row>
    <row r="2" spans="1:1" ht="127.5">
      <c r="A2" s="35" t="s">
        <v>113</v>
      </c>
    </row>
    <row r="3" spans="1:1" ht="229.5">
      <c r="A3" s="35" t="s">
        <v>114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1"/>
  </sheetPr>
  <dimension ref="A1:M42"/>
  <sheetViews>
    <sheetView workbookViewId="0">
      <selection activeCell="C8" sqref="C8"/>
    </sheetView>
  </sheetViews>
  <sheetFormatPr defaultRowHeight="12.75"/>
  <cols>
    <col min="1" max="1" width="5.7109375" style="39" customWidth="1"/>
    <col min="2" max="2" width="11" style="39" bestFit="1" customWidth="1"/>
    <col min="3" max="3" width="10.7109375" style="39" customWidth="1"/>
    <col min="4" max="4" width="5.7109375" style="39" customWidth="1"/>
    <col min="5" max="6" width="15.7109375" style="39" customWidth="1"/>
    <col min="7" max="7" width="5.7109375" style="39" customWidth="1"/>
    <col min="8" max="8" width="10" style="39" customWidth="1"/>
    <col min="9" max="12" width="9.140625" style="39"/>
    <col min="13" max="13" width="5.7109375" style="39" customWidth="1"/>
    <col min="14" max="16384" width="9.140625" style="39"/>
  </cols>
  <sheetData>
    <row r="1" spans="1:13" ht="13.5" thickBot="1">
      <c r="A1" s="94"/>
      <c r="B1" s="112"/>
      <c r="C1" s="112"/>
      <c r="D1" s="112"/>
      <c r="E1" s="112"/>
      <c r="F1" s="112"/>
      <c r="G1" s="112"/>
      <c r="H1" s="112"/>
      <c r="I1" s="112"/>
      <c r="J1" s="112"/>
      <c r="K1" s="112"/>
      <c r="L1" s="112"/>
      <c r="M1" s="113"/>
    </row>
    <row r="2" spans="1:13" ht="13.5" thickBot="1">
      <c r="A2" s="95"/>
      <c r="B2" s="275" t="s">
        <v>208</v>
      </c>
      <c r="C2" s="276"/>
      <c r="D2" s="276"/>
      <c r="E2" s="276"/>
      <c r="F2" s="276"/>
      <c r="G2" s="276"/>
      <c r="H2" s="276"/>
      <c r="I2" s="276"/>
      <c r="J2" s="276"/>
      <c r="K2" s="276"/>
      <c r="L2" s="277"/>
      <c r="M2" s="114"/>
    </row>
    <row r="3" spans="1:13">
      <c r="A3" s="95"/>
      <c r="B3" s="97"/>
      <c r="C3" s="97"/>
      <c r="D3" s="97"/>
      <c r="E3" s="97"/>
      <c r="F3" s="97"/>
      <c r="G3" s="97"/>
      <c r="H3" s="97"/>
      <c r="I3" s="97"/>
      <c r="J3" s="97"/>
      <c r="K3" s="97"/>
      <c r="L3" s="97"/>
      <c r="M3" s="114"/>
    </row>
    <row r="4" spans="1:13" ht="15">
      <c r="A4" s="95"/>
      <c r="B4" s="279" t="s">
        <v>205</v>
      </c>
      <c r="C4" s="279"/>
      <c r="D4" s="97"/>
      <c r="E4" s="274" t="s">
        <v>202</v>
      </c>
      <c r="F4" s="274"/>
      <c r="G4" s="97"/>
      <c r="H4" s="279" t="s">
        <v>247</v>
      </c>
      <c r="I4" s="279"/>
      <c r="J4" s="97"/>
      <c r="K4" s="274" t="s">
        <v>249</v>
      </c>
      <c r="L4" s="274"/>
      <c r="M4" s="114"/>
    </row>
    <row r="5" spans="1:13">
      <c r="A5" s="95"/>
      <c r="B5" s="98" t="s">
        <v>201</v>
      </c>
      <c r="C5" s="110"/>
      <c r="D5" s="97"/>
      <c r="E5" s="98" t="s">
        <v>215</v>
      </c>
      <c r="F5" s="107">
        <f>C5*0.3048</f>
        <v>0</v>
      </c>
      <c r="G5" s="97"/>
      <c r="H5" s="98" t="s">
        <v>201</v>
      </c>
      <c r="I5" s="110"/>
      <c r="J5" s="97"/>
      <c r="K5" s="98" t="s">
        <v>215</v>
      </c>
      <c r="L5" s="107">
        <f>I5*0.3048</f>
        <v>0</v>
      </c>
      <c r="M5" s="114"/>
    </row>
    <row r="6" spans="1:13">
      <c r="A6" s="95"/>
      <c r="B6" s="98" t="s">
        <v>200</v>
      </c>
      <c r="C6" s="110"/>
      <c r="D6" s="97"/>
      <c r="E6" s="98" t="s">
        <v>216</v>
      </c>
      <c r="F6" s="107">
        <f>C6*0.3048</f>
        <v>0</v>
      </c>
      <c r="G6" s="97"/>
      <c r="H6" s="98" t="s">
        <v>200</v>
      </c>
      <c r="I6" s="110"/>
      <c r="J6" s="97"/>
      <c r="K6" s="98" t="s">
        <v>216</v>
      </c>
      <c r="L6" s="107">
        <f>I6*0.3048</f>
        <v>0</v>
      </c>
      <c r="M6" s="114"/>
    </row>
    <row r="7" spans="1:13" ht="15">
      <c r="A7" s="95"/>
      <c r="B7" s="99" t="s">
        <v>206</v>
      </c>
      <c r="C7" s="111">
        <f>C5*C6</f>
        <v>0</v>
      </c>
      <c r="D7" s="97"/>
      <c r="E7" s="99" t="s">
        <v>214</v>
      </c>
      <c r="F7" s="111">
        <f>F5*F6</f>
        <v>0</v>
      </c>
      <c r="G7" s="97"/>
      <c r="H7" s="98" t="s">
        <v>245</v>
      </c>
      <c r="I7" s="110"/>
      <c r="J7" s="97"/>
      <c r="K7" s="98" t="s">
        <v>246</v>
      </c>
      <c r="L7" s="107">
        <f>I7*0.3048</f>
        <v>0</v>
      </c>
      <c r="M7" s="114"/>
    </row>
    <row r="8" spans="1:13">
      <c r="A8" s="95"/>
      <c r="B8" s="97"/>
      <c r="C8" s="97"/>
      <c r="D8" s="97"/>
      <c r="E8" s="97"/>
      <c r="F8" s="97"/>
      <c r="G8" s="97"/>
      <c r="H8" s="99" t="s">
        <v>248</v>
      </c>
      <c r="I8" s="111">
        <f>I5*I6*I7</f>
        <v>0</v>
      </c>
      <c r="J8" s="97"/>
      <c r="K8" s="99" t="s">
        <v>195</v>
      </c>
      <c r="L8" s="111">
        <f>L5*L6*L7</f>
        <v>0</v>
      </c>
      <c r="M8" s="114"/>
    </row>
    <row r="9" spans="1:13">
      <c r="A9" s="95"/>
      <c r="B9" s="274" t="s">
        <v>211</v>
      </c>
      <c r="C9" s="274"/>
      <c r="D9" s="97"/>
      <c r="E9" s="274" t="s">
        <v>202</v>
      </c>
      <c r="F9" s="274"/>
      <c r="G9" s="97"/>
      <c r="H9" s="97"/>
      <c r="I9" s="97"/>
      <c r="J9" s="97"/>
      <c r="K9" s="97"/>
      <c r="L9" s="97"/>
      <c r="M9" s="114"/>
    </row>
    <row r="10" spans="1:13">
      <c r="A10" s="95"/>
      <c r="B10" s="86"/>
      <c r="C10" s="111">
        <f>B10*8.35</f>
        <v>0</v>
      </c>
      <c r="D10" s="97"/>
      <c r="E10" s="98" t="s">
        <v>215</v>
      </c>
      <c r="F10" s="108"/>
      <c r="G10" s="97"/>
      <c r="H10" s="274" t="s">
        <v>188</v>
      </c>
      <c r="I10" s="274"/>
      <c r="J10" s="274"/>
      <c r="K10" s="97"/>
      <c r="L10" s="97"/>
      <c r="M10" s="114"/>
    </row>
    <row r="11" spans="1:13">
      <c r="A11" s="95"/>
      <c r="B11" s="97"/>
      <c r="C11" s="97"/>
      <c r="D11" s="97"/>
      <c r="E11" s="98" t="s">
        <v>216</v>
      </c>
      <c r="F11" s="108"/>
      <c r="G11" s="97"/>
      <c r="H11" s="218" t="s">
        <v>187</v>
      </c>
      <c r="I11" s="280">
        <v>0</v>
      </c>
      <c r="J11" s="281"/>
      <c r="K11" s="97"/>
      <c r="L11" s="97"/>
      <c r="M11" s="114"/>
    </row>
    <row r="12" spans="1:13">
      <c r="A12" s="95"/>
      <c r="B12" s="274" t="s">
        <v>210</v>
      </c>
      <c r="C12" s="274"/>
      <c r="D12" s="97"/>
      <c r="E12" s="99" t="s">
        <v>214</v>
      </c>
      <c r="F12" s="109">
        <f>F10*F11</f>
        <v>0</v>
      </c>
      <c r="G12" s="97"/>
      <c r="H12" s="218" t="s">
        <v>252</v>
      </c>
      <c r="I12" s="218">
        <v>10</v>
      </c>
      <c r="J12" s="218">
        <f>I12/2.205</f>
        <v>4.5351473922902494</v>
      </c>
      <c r="K12" s="97"/>
      <c r="L12" s="97"/>
      <c r="M12" s="114"/>
    </row>
    <row r="13" spans="1:13">
      <c r="A13" s="95"/>
      <c r="B13" s="86"/>
      <c r="C13" s="111">
        <f>B13*6.8</f>
        <v>0</v>
      </c>
      <c r="D13" s="97"/>
      <c r="E13" s="97"/>
      <c r="F13" s="97"/>
      <c r="G13" s="97"/>
      <c r="H13" s="218" t="s">
        <v>250</v>
      </c>
      <c r="I13" s="218">
        <f>I11*I12</f>
        <v>0</v>
      </c>
      <c r="J13" s="218">
        <f>I11*J12</f>
        <v>0</v>
      </c>
      <c r="K13" s="97"/>
      <c r="L13" s="97"/>
      <c r="M13" s="114"/>
    </row>
    <row r="14" spans="1:13">
      <c r="A14" s="95"/>
      <c r="B14" s="97"/>
      <c r="C14" s="97"/>
      <c r="D14" s="97"/>
      <c r="E14" s="274" t="s">
        <v>243</v>
      </c>
      <c r="F14" s="274"/>
      <c r="G14" s="97"/>
      <c r="H14" s="217" t="s">
        <v>251</v>
      </c>
      <c r="I14" s="280">
        <v>0</v>
      </c>
      <c r="J14" s="281"/>
      <c r="K14" s="97"/>
      <c r="L14" s="97"/>
      <c r="M14" s="114"/>
    </row>
    <row r="15" spans="1:13">
      <c r="A15" s="95"/>
      <c r="B15" s="274" t="s">
        <v>204</v>
      </c>
      <c r="C15" s="274"/>
      <c r="D15" s="97"/>
      <c r="E15" s="86"/>
      <c r="F15" s="111">
        <f>E15*0.02831</f>
        <v>0</v>
      </c>
      <c r="G15" s="97"/>
      <c r="H15" s="217" t="s">
        <v>238</v>
      </c>
      <c r="I15" s="218">
        <f>I13*I14</f>
        <v>0</v>
      </c>
      <c r="J15" s="218">
        <f>J13*I14</f>
        <v>0</v>
      </c>
      <c r="K15" s="97"/>
      <c r="L15" s="97"/>
      <c r="M15" s="114"/>
    </row>
    <row r="16" spans="1:13">
      <c r="A16" s="95"/>
      <c r="B16" s="86"/>
      <c r="C16" s="111">
        <f>B16/2.205</f>
        <v>0</v>
      </c>
      <c r="D16" s="97"/>
      <c r="E16" s="97"/>
      <c r="F16" s="97"/>
      <c r="G16" s="97"/>
      <c r="H16" s="274" t="s">
        <v>253</v>
      </c>
      <c r="I16" s="274"/>
      <c r="J16" s="274"/>
      <c r="K16" s="97"/>
      <c r="L16" s="97"/>
      <c r="M16" s="114"/>
    </row>
    <row r="17" spans="1:13">
      <c r="A17" s="95"/>
      <c r="B17" s="97"/>
      <c r="C17" s="97"/>
      <c r="D17" s="97"/>
      <c r="E17" s="274" t="s">
        <v>212</v>
      </c>
      <c r="F17" s="274"/>
      <c r="G17" s="97"/>
      <c r="H17" s="214" t="s">
        <v>254</v>
      </c>
      <c r="I17" s="274">
        <v>110</v>
      </c>
      <c r="J17" s="274"/>
      <c r="K17" s="97"/>
      <c r="L17" s="97"/>
      <c r="M17" s="114"/>
    </row>
    <row r="18" spans="1:13">
      <c r="A18" s="95"/>
      <c r="B18" s="274" t="s">
        <v>203</v>
      </c>
      <c r="C18" s="274"/>
      <c r="D18" s="97"/>
      <c r="E18" s="86"/>
      <c r="F18" s="111">
        <f>E18*0.00378541178</f>
        <v>0</v>
      </c>
      <c r="G18" s="97"/>
      <c r="H18" s="97"/>
      <c r="I18" s="97"/>
      <c r="J18" s="97"/>
      <c r="K18" s="97"/>
      <c r="L18" s="97"/>
      <c r="M18" s="114"/>
    </row>
    <row r="19" spans="1:13">
      <c r="A19" s="95"/>
      <c r="B19" s="86"/>
      <c r="C19" s="111">
        <f>B19*2.205</f>
        <v>0</v>
      </c>
      <c r="D19" s="97"/>
      <c r="E19" s="97"/>
      <c r="F19" s="97"/>
      <c r="G19" s="215"/>
      <c r="H19" s="97"/>
      <c r="I19" s="97"/>
      <c r="J19" s="97"/>
      <c r="K19" s="97"/>
      <c r="L19" s="97"/>
      <c r="M19" s="114"/>
    </row>
    <row r="20" spans="1:13">
      <c r="A20" s="95"/>
      <c r="B20" s="97"/>
      <c r="C20" s="97"/>
      <c r="D20" s="97"/>
      <c r="E20" s="272" t="s">
        <v>213</v>
      </c>
      <c r="F20" s="273"/>
      <c r="G20" s="97"/>
      <c r="H20" s="97"/>
      <c r="I20" s="97"/>
      <c r="J20" s="97"/>
      <c r="K20" s="97"/>
      <c r="L20" s="97"/>
      <c r="M20" s="114"/>
    </row>
    <row r="21" spans="1:13">
      <c r="A21" s="95"/>
      <c r="B21" s="272" t="s">
        <v>209</v>
      </c>
      <c r="C21" s="273"/>
      <c r="D21" s="97"/>
      <c r="E21" s="86"/>
      <c r="F21" s="111">
        <f>E21*3.8</f>
        <v>0</v>
      </c>
      <c r="G21" s="97"/>
      <c r="H21" s="97"/>
      <c r="I21" s="97"/>
      <c r="J21" s="97"/>
      <c r="K21" s="97"/>
      <c r="L21" s="97"/>
      <c r="M21" s="114"/>
    </row>
    <row r="22" spans="1:13">
      <c r="A22" s="95"/>
      <c r="B22" s="86"/>
      <c r="C22" s="111">
        <f>B22*0.001</f>
        <v>0</v>
      </c>
      <c r="D22" s="97"/>
      <c r="E22" s="97"/>
      <c r="F22" s="97"/>
      <c r="G22" s="97"/>
      <c r="H22" s="97"/>
      <c r="I22" s="97"/>
      <c r="J22" s="97"/>
      <c r="K22" s="97"/>
      <c r="L22" s="97"/>
      <c r="M22" s="114"/>
    </row>
    <row r="23" spans="1:13">
      <c r="A23" s="95"/>
      <c r="B23" s="97"/>
      <c r="C23" s="97"/>
      <c r="D23" s="97"/>
      <c r="E23" s="272" t="s">
        <v>209</v>
      </c>
      <c r="F23" s="273"/>
      <c r="G23" s="97"/>
      <c r="H23" s="97"/>
      <c r="I23" s="97"/>
      <c r="J23" s="97"/>
      <c r="K23" s="97"/>
      <c r="L23" s="97"/>
      <c r="M23" s="114"/>
    </row>
    <row r="24" spans="1:13">
      <c r="A24" s="95"/>
      <c r="B24" s="274" t="s">
        <v>244</v>
      </c>
      <c r="C24" s="274"/>
      <c r="D24" s="97"/>
      <c r="E24" s="86"/>
      <c r="F24" s="111">
        <f>E24*0.001</f>
        <v>0</v>
      </c>
      <c r="G24" s="97"/>
      <c r="H24" s="97"/>
      <c r="I24" s="97"/>
      <c r="J24" s="97"/>
      <c r="K24" s="97"/>
      <c r="L24" s="97"/>
      <c r="M24" s="114"/>
    </row>
    <row r="25" spans="1:13">
      <c r="A25" s="95"/>
      <c r="B25" s="86"/>
      <c r="C25" s="111">
        <f>B25*0.45</f>
        <v>0</v>
      </c>
      <c r="D25" s="97"/>
      <c r="E25" s="97"/>
      <c r="F25" s="97"/>
      <c r="G25" s="97"/>
      <c r="H25" s="97"/>
      <c r="I25" s="97"/>
      <c r="J25" s="97"/>
      <c r="K25" s="97"/>
      <c r="L25" s="97"/>
      <c r="M25" s="114"/>
    </row>
    <row r="26" spans="1:13" ht="13.5" thickBot="1">
      <c r="A26" s="96"/>
      <c r="B26" s="115"/>
      <c r="C26" s="115"/>
      <c r="D26" s="115"/>
      <c r="E26" s="115"/>
      <c r="F26" s="115"/>
      <c r="G26" s="115"/>
      <c r="H26" s="115"/>
      <c r="I26" s="115"/>
      <c r="J26" s="115"/>
      <c r="K26" s="115"/>
      <c r="L26" s="115"/>
      <c r="M26" s="117"/>
    </row>
    <row r="27" spans="1:13" ht="13.5" thickBot="1"/>
    <row r="28" spans="1:13">
      <c r="A28" s="94"/>
      <c r="B28" s="112"/>
      <c r="C28" s="112"/>
      <c r="D28" s="112"/>
      <c r="E28" s="112"/>
      <c r="F28" s="112"/>
      <c r="G28" s="113"/>
    </row>
    <row r="29" spans="1:13">
      <c r="A29" s="95"/>
      <c r="B29" s="274" t="s">
        <v>217</v>
      </c>
      <c r="C29" s="274"/>
      <c r="D29" s="274"/>
      <c r="E29" s="274"/>
      <c r="F29" s="274"/>
      <c r="G29" s="114"/>
    </row>
    <row r="30" spans="1:13">
      <c r="A30" s="95"/>
      <c r="B30" s="100" t="s">
        <v>218</v>
      </c>
      <c r="C30" s="282" t="s">
        <v>219</v>
      </c>
      <c r="D30" s="283"/>
      <c r="E30" s="100" t="s">
        <v>220</v>
      </c>
      <c r="F30" s="100" t="s">
        <v>221</v>
      </c>
      <c r="G30" s="114"/>
    </row>
    <row r="31" spans="1:13">
      <c r="A31" s="95"/>
      <c r="B31" s="85"/>
      <c r="C31" s="278"/>
      <c r="D31" s="278"/>
      <c r="E31" s="118"/>
      <c r="F31" s="118"/>
      <c r="G31" s="114"/>
    </row>
    <row r="32" spans="1:13">
      <c r="A32" s="95"/>
      <c r="B32" s="119"/>
      <c r="C32" s="278"/>
      <c r="D32" s="278"/>
      <c r="E32" s="118"/>
      <c r="F32" s="118"/>
      <c r="G32" s="114"/>
    </row>
    <row r="33" spans="1:7">
      <c r="A33" s="95"/>
      <c r="B33" s="119"/>
      <c r="C33" s="278"/>
      <c r="D33" s="278"/>
      <c r="E33" s="118"/>
      <c r="F33" s="118"/>
      <c r="G33" s="114"/>
    </row>
    <row r="34" spans="1:7">
      <c r="A34" s="95"/>
      <c r="B34" s="119"/>
      <c r="C34" s="284"/>
      <c r="D34" s="285"/>
      <c r="E34" s="118"/>
      <c r="F34" s="118"/>
      <c r="G34" s="114"/>
    </row>
    <row r="35" spans="1:7">
      <c r="A35" s="95"/>
      <c r="B35" s="85"/>
      <c r="C35" s="278"/>
      <c r="D35" s="278"/>
      <c r="E35" s="118"/>
      <c r="F35" s="118"/>
      <c r="G35" s="114"/>
    </row>
    <row r="36" spans="1:7">
      <c r="A36" s="95"/>
      <c r="B36" s="119"/>
      <c r="C36" s="278"/>
      <c r="D36" s="278"/>
      <c r="E36" s="118"/>
      <c r="F36" s="118"/>
      <c r="G36" s="114"/>
    </row>
    <row r="37" spans="1:7">
      <c r="A37" s="95"/>
      <c r="B37" s="119"/>
      <c r="C37" s="278"/>
      <c r="D37" s="278"/>
      <c r="E37" s="118"/>
      <c r="F37" s="118"/>
      <c r="G37" s="114"/>
    </row>
    <row r="38" spans="1:7">
      <c r="A38" s="95"/>
      <c r="B38" s="119"/>
      <c r="C38" s="278"/>
      <c r="D38" s="278"/>
      <c r="E38" s="118"/>
      <c r="F38" s="118"/>
      <c r="G38" s="114"/>
    </row>
    <row r="39" spans="1:7">
      <c r="A39" s="95"/>
      <c r="B39" s="84"/>
      <c r="C39" s="278"/>
      <c r="D39" s="278"/>
      <c r="E39" s="118"/>
      <c r="F39" s="118"/>
      <c r="G39" s="114"/>
    </row>
    <row r="40" spans="1:7" ht="13.5" thickBot="1">
      <c r="A40" s="96"/>
      <c r="B40" s="115"/>
      <c r="C40" s="115"/>
      <c r="D40" s="115"/>
      <c r="E40" s="116"/>
      <c r="F40" s="116"/>
      <c r="G40" s="117"/>
    </row>
    <row r="41" spans="1:7">
      <c r="E41" s="87"/>
      <c r="F41" s="87"/>
    </row>
    <row r="42" spans="1:7">
      <c r="E42" s="87"/>
      <c r="F42" s="87"/>
    </row>
  </sheetData>
  <mergeCells count="32">
    <mergeCell ref="C39:D39"/>
    <mergeCell ref="C30:D30"/>
    <mergeCell ref="C31:D31"/>
    <mergeCell ref="C37:D37"/>
    <mergeCell ref="C32:D32"/>
    <mergeCell ref="C33:D33"/>
    <mergeCell ref="C34:D34"/>
    <mergeCell ref="B2:L2"/>
    <mergeCell ref="B29:F29"/>
    <mergeCell ref="C35:D35"/>
    <mergeCell ref="C36:D36"/>
    <mergeCell ref="C38:D38"/>
    <mergeCell ref="E23:F23"/>
    <mergeCell ref="B21:C21"/>
    <mergeCell ref="B24:C24"/>
    <mergeCell ref="H4:I4"/>
    <mergeCell ref="K4:L4"/>
    <mergeCell ref="H10:J10"/>
    <mergeCell ref="I11:J11"/>
    <mergeCell ref="I14:J14"/>
    <mergeCell ref="H16:J16"/>
    <mergeCell ref="I17:J17"/>
    <mergeCell ref="B4:C4"/>
    <mergeCell ref="E20:F20"/>
    <mergeCell ref="E17:F17"/>
    <mergeCell ref="B18:C18"/>
    <mergeCell ref="E9:F9"/>
    <mergeCell ref="E4:F4"/>
    <mergeCell ref="B15:C15"/>
    <mergeCell ref="B9:C9"/>
    <mergeCell ref="E14:F14"/>
    <mergeCell ref="B12:C12"/>
  </mergeCells>
  <pageMargins left="0.7" right="0.7" top="0.75" bottom="0.75" header="0.3" footer="0.3"/>
  <pageSetup orientation="portrait"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L75"/>
  <sheetViews>
    <sheetView workbookViewId="0">
      <selection activeCell="J20" sqref="J20"/>
    </sheetView>
  </sheetViews>
  <sheetFormatPr defaultRowHeight="12.75"/>
  <cols>
    <col min="1" max="1" width="3.5703125" customWidth="1"/>
    <col min="5" max="5" width="19.28515625" customWidth="1"/>
    <col min="6" max="6" width="18.85546875" hidden="1" customWidth="1"/>
    <col min="7" max="7" width="10.28515625" customWidth="1"/>
    <col min="8" max="8" width="16" customWidth="1"/>
    <col min="9" max="9" width="15" customWidth="1"/>
    <col min="10" max="10" width="17.28515625" customWidth="1"/>
    <col min="12" max="12" width="3.28515625" customWidth="1"/>
  </cols>
  <sheetData>
    <row r="1" spans="1:12" ht="7.5" customHeight="1">
      <c r="A1" s="7"/>
      <c r="B1" s="295" t="s">
        <v>73</v>
      </c>
      <c r="C1" s="296"/>
      <c r="D1" s="296"/>
      <c r="E1" s="296"/>
      <c r="F1" s="296"/>
      <c r="G1" s="296"/>
      <c r="H1" s="296"/>
      <c r="I1" s="296"/>
      <c r="J1" s="296"/>
      <c r="K1" s="296"/>
      <c r="L1" s="7"/>
    </row>
    <row r="2" spans="1:12">
      <c r="A2" s="7"/>
      <c r="B2" s="296"/>
      <c r="C2" s="296"/>
      <c r="D2" s="296"/>
      <c r="E2" s="296"/>
      <c r="F2" s="296"/>
      <c r="G2" s="296"/>
      <c r="H2" s="296"/>
      <c r="I2" s="296"/>
      <c r="J2" s="296"/>
      <c r="K2" s="296"/>
      <c r="L2" s="7"/>
    </row>
    <row r="3" spans="1:12">
      <c r="A3" s="7"/>
      <c r="B3" s="296"/>
      <c r="C3" s="296"/>
      <c r="D3" s="296"/>
      <c r="E3" s="296"/>
      <c r="F3" s="296"/>
      <c r="G3" s="296"/>
      <c r="H3" s="296"/>
      <c r="I3" s="296"/>
      <c r="J3" s="296"/>
      <c r="K3" s="296"/>
      <c r="L3" s="7"/>
    </row>
    <row r="4" spans="1:12" ht="13.5" thickBot="1">
      <c r="A4" s="7"/>
      <c r="B4" s="297" t="s">
        <v>74</v>
      </c>
      <c r="C4" s="296"/>
      <c r="D4" s="296"/>
      <c r="E4" s="296"/>
      <c r="F4" s="296"/>
      <c r="G4" s="296"/>
      <c r="H4" s="296"/>
      <c r="I4" s="296"/>
      <c r="J4" s="296"/>
      <c r="K4" s="296"/>
      <c r="L4" s="7"/>
    </row>
    <row r="5" spans="1:12" ht="26.25" customHeight="1" thickBot="1">
      <c r="A5" s="248"/>
      <c r="B5" s="298" t="s">
        <v>75</v>
      </c>
      <c r="C5" s="299"/>
      <c r="D5" s="299"/>
      <c r="E5" s="300"/>
      <c r="F5" s="8" t="s">
        <v>76</v>
      </c>
      <c r="G5" s="298" t="s">
        <v>77</v>
      </c>
      <c r="H5" s="301"/>
      <c r="I5" s="301"/>
      <c r="J5" s="9"/>
      <c r="K5" s="10"/>
      <c r="L5" s="7"/>
    </row>
    <row r="6" spans="1:12" ht="13.5" thickBot="1">
      <c r="A6" s="7"/>
      <c r="B6" s="249">
        <v>195.9</v>
      </c>
      <c r="C6" s="11">
        <v>2</v>
      </c>
      <c r="D6" s="12" t="s">
        <v>30</v>
      </c>
      <c r="E6" s="13"/>
      <c r="F6" s="247">
        <f>SUM(C6*B6)</f>
        <v>391.8</v>
      </c>
      <c r="G6" s="14">
        <f>SUM(C6:C26)</f>
        <v>22</v>
      </c>
      <c r="H6" s="12" t="s">
        <v>78</v>
      </c>
      <c r="I6" s="12"/>
      <c r="J6" s="13"/>
      <c r="K6" s="12"/>
      <c r="L6" s="15"/>
    </row>
    <row r="7" spans="1:12" ht="13.5" thickBot="1">
      <c r="A7" s="7"/>
      <c r="B7" s="249">
        <v>330.9</v>
      </c>
      <c r="C7" s="11">
        <v>2</v>
      </c>
      <c r="D7" s="12" t="s">
        <v>262</v>
      </c>
      <c r="E7" s="13"/>
      <c r="F7" s="247">
        <f t="shared" ref="F7:F26" si="0">SUM(C7*B7)</f>
        <v>661.8</v>
      </c>
      <c r="G7" s="14"/>
      <c r="H7" s="16">
        <f>SUM(G6/2)*5</f>
        <v>55</v>
      </c>
      <c r="I7" s="12"/>
      <c r="J7" s="13"/>
      <c r="K7" s="12"/>
      <c r="L7" s="17"/>
    </row>
    <row r="8" spans="1:12" ht="13.5" thickBot="1">
      <c r="A8" s="7"/>
      <c r="B8" s="249">
        <v>330.9</v>
      </c>
      <c r="C8" s="11"/>
      <c r="D8" s="12" t="s">
        <v>267</v>
      </c>
      <c r="E8" s="13"/>
      <c r="F8" s="247">
        <f t="shared" si="0"/>
        <v>0</v>
      </c>
      <c r="G8" s="14">
        <f>SUM(F27)+H7</f>
        <v>922.25833333333321</v>
      </c>
      <c r="H8" s="12" t="s">
        <v>79</v>
      </c>
      <c r="I8" s="12"/>
      <c r="J8" s="13"/>
      <c r="K8" s="12"/>
      <c r="L8" s="7"/>
    </row>
    <row r="9" spans="1:12" ht="13.5" thickBot="1">
      <c r="A9" s="7"/>
      <c r="B9" s="249">
        <v>314.89999999999998</v>
      </c>
      <c r="C9" s="11">
        <v>7</v>
      </c>
      <c r="D9" s="12" t="s">
        <v>28</v>
      </c>
      <c r="E9" s="13"/>
      <c r="F9" s="247">
        <f t="shared" si="0"/>
        <v>2204.2999999999997</v>
      </c>
      <c r="G9" s="18">
        <f>SUM(G8/5280)</f>
        <v>0.17467013888888885</v>
      </c>
      <c r="H9" s="19" t="s">
        <v>80</v>
      </c>
      <c r="I9" s="20">
        <f>SUM(G9/0.621)</f>
        <v>0.28127236536052957</v>
      </c>
      <c r="J9" s="21" t="s">
        <v>81</v>
      </c>
      <c r="K9" s="12"/>
      <c r="L9" s="22"/>
    </row>
    <row r="10" spans="1:12" ht="13.5" thickBot="1">
      <c r="A10" s="7"/>
      <c r="B10" s="249">
        <v>502.4</v>
      </c>
      <c r="C10" s="11"/>
      <c r="D10" s="12" t="s">
        <v>82</v>
      </c>
      <c r="E10" s="13"/>
      <c r="F10" s="247">
        <f t="shared" si="0"/>
        <v>0</v>
      </c>
      <c r="G10" s="12"/>
      <c r="H10" s="12"/>
      <c r="I10" s="12"/>
      <c r="J10" s="12"/>
      <c r="K10" s="12"/>
      <c r="L10" s="23"/>
    </row>
    <row r="11" spans="1:12" ht="13.5" thickBot="1">
      <c r="A11" s="7"/>
      <c r="B11" s="249">
        <v>512.9</v>
      </c>
      <c r="C11" s="11"/>
      <c r="D11" s="12" t="s">
        <v>266</v>
      </c>
      <c r="E11" s="13"/>
      <c r="F11" s="247">
        <f t="shared" si="0"/>
        <v>0</v>
      </c>
      <c r="G11" s="286" t="s">
        <v>83</v>
      </c>
      <c r="H11" s="287"/>
      <c r="I11" s="287"/>
      <c r="J11" s="302"/>
      <c r="K11" s="12"/>
      <c r="L11" s="7"/>
    </row>
    <row r="12" spans="1:12" ht="13.5" customHeight="1" thickBot="1">
      <c r="A12" s="7"/>
      <c r="B12" s="249">
        <v>860.9</v>
      </c>
      <c r="C12" s="11"/>
      <c r="D12" s="12" t="s">
        <v>84</v>
      </c>
      <c r="E12" s="13"/>
      <c r="F12" s="247">
        <f t="shared" si="0"/>
        <v>0</v>
      </c>
      <c r="G12" s="24">
        <v>50</v>
      </c>
      <c r="H12" s="12" t="s">
        <v>85</v>
      </c>
      <c r="I12" s="12"/>
      <c r="J12" s="13"/>
      <c r="K12" s="294"/>
      <c r="L12" s="7"/>
    </row>
    <row r="13" spans="1:12" ht="13.5" thickBot="1">
      <c r="A13" s="7"/>
      <c r="B13" s="249">
        <v>476.9</v>
      </c>
      <c r="C13" s="11"/>
      <c r="D13" s="12" t="s">
        <v>264</v>
      </c>
      <c r="E13" s="13"/>
      <c r="F13" s="247">
        <f t="shared" si="0"/>
        <v>0</v>
      </c>
      <c r="G13" s="25"/>
      <c r="H13" s="12"/>
      <c r="I13" s="12"/>
      <c r="J13" s="13"/>
      <c r="K13" s="294"/>
      <c r="L13" s="7"/>
    </row>
    <row r="14" spans="1:12" ht="13.5" thickBot="1">
      <c r="A14" s="7"/>
      <c r="B14" s="249">
        <v>686.5</v>
      </c>
      <c r="C14" s="11">
        <v>3</v>
      </c>
      <c r="D14" s="12" t="s">
        <v>263</v>
      </c>
      <c r="E14" s="13"/>
      <c r="F14" s="247">
        <f t="shared" si="0"/>
        <v>2059.5</v>
      </c>
      <c r="G14" s="26"/>
      <c r="H14" s="12" t="s">
        <v>88</v>
      </c>
      <c r="I14" s="12"/>
      <c r="J14" s="13"/>
      <c r="K14" s="294"/>
      <c r="L14" s="7"/>
    </row>
    <row r="15" spans="1:12" ht="13.5" thickBot="1">
      <c r="A15" s="7"/>
      <c r="B15" s="249">
        <v>387.2</v>
      </c>
      <c r="C15" s="11"/>
      <c r="D15" s="12" t="s">
        <v>268</v>
      </c>
      <c r="E15" s="13"/>
      <c r="F15" s="247">
        <f t="shared" si="0"/>
        <v>0</v>
      </c>
      <c r="G15" s="25"/>
      <c r="H15" s="12"/>
      <c r="I15" s="12"/>
      <c r="J15" s="13"/>
      <c r="K15" s="294"/>
      <c r="L15" s="7"/>
    </row>
    <row r="16" spans="1:12" ht="13.5" thickBot="1">
      <c r="A16" s="7"/>
      <c r="B16" s="249">
        <v>314.89999999999998</v>
      </c>
      <c r="C16" s="11">
        <v>3</v>
      </c>
      <c r="D16" s="12" t="s">
        <v>269</v>
      </c>
      <c r="E16" s="13"/>
      <c r="F16" s="247">
        <f t="shared" si="0"/>
        <v>944.69999999999993</v>
      </c>
      <c r="G16" s="25" t="e">
        <f>SUM(G12/G14)*60</f>
        <v>#DIV/0!</v>
      </c>
      <c r="H16" s="12" t="s">
        <v>89</v>
      </c>
      <c r="I16" s="12"/>
      <c r="J16" s="13"/>
      <c r="K16" s="294"/>
      <c r="L16" s="7"/>
    </row>
    <row r="17" spans="1:12" ht="13.5" thickBot="1">
      <c r="A17" s="7"/>
      <c r="B17" s="249">
        <v>386.5</v>
      </c>
      <c r="C17" s="11"/>
      <c r="D17" s="12" t="s">
        <v>86</v>
      </c>
      <c r="E17" s="13"/>
      <c r="F17" s="247">
        <f t="shared" si="0"/>
        <v>0</v>
      </c>
      <c r="G17" s="18"/>
      <c r="H17" s="19"/>
      <c r="I17" s="19"/>
      <c r="J17" s="21"/>
      <c r="K17" s="12"/>
      <c r="L17" s="7"/>
    </row>
    <row r="18" spans="1:12" ht="13.5" thickBot="1">
      <c r="A18" s="7"/>
      <c r="B18" s="249">
        <v>548.5</v>
      </c>
      <c r="C18" s="11"/>
      <c r="D18" s="12" t="s">
        <v>270</v>
      </c>
      <c r="E18" s="13"/>
      <c r="F18" s="247">
        <f>SUM(C18*B18)</f>
        <v>0</v>
      </c>
      <c r="G18" s="12"/>
      <c r="H18" s="12"/>
      <c r="I18" s="12"/>
      <c r="J18" s="12"/>
      <c r="K18" s="12"/>
      <c r="L18" s="7"/>
    </row>
    <row r="19" spans="1:12" ht="13.5" thickBot="1">
      <c r="A19" s="7"/>
      <c r="B19" s="249">
        <v>574</v>
      </c>
      <c r="C19" s="11"/>
      <c r="D19" s="12" t="s">
        <v>87</v>
      </c>
      <c r="E19" s="13"/>
      <c r="F19" s="247">
        <f t="shared" ref="F19" si="1">SUM(C19*B19)</f>
        <v>0</v>
      </c>
      <c r="G19" s="12"/>
      <c r="H19" s="12"/>
      <c r="I19" s="12"/>
      <c r="J19" s="12"/>
      <c r="K19" s="12"/>
      <c r="L19" s="7"/>
    </row>
    <row r="20" spans="1:12" ht="13.5" thickBot="1">
      <c r="A20" s="7"/>
      <c r="B20" s="249">
        <v>584.5</v>
      </c>
      <c r="C20" s="11"/>
      <c r="D20" s="12" t="s">
        <v>265</v>
      </c>
      <c r="E20" s="13"/>
      <c r="F20" s="247">
        <f t="shared" si="0"/>
        <v>0</v>
      </c>
      <c r="G20" s="12"/>
      <c r="H20" s="12"/>
      <c r="I20" s="12"/>
      <c r="J20" s="12"/>
      <c r="K20" s="12"/>
      <c r="L20" s="7"/>
    </row>
    <row r="21" spans="1:12" ht="13.5" thickBot="1">
      <c r="A21" s="7"/>
      <c r="B21" s="249">
        <v>427.5</v>
      </c>
      <c r="C21" s="11"/>
      <c r="D21" s="12" t="s">
        <v>257</v>
      </c>
      <c r="E21" s="13"/>
      <c r="F21" s="247">
        <f t="shared" si="0"/>
        <v>0</v>
      </c>
      <c r="G21" s="12"/>
      <c r="H21" s="12"/>
      <c r="I21" s="12"/>
      <c r="J21" s="12"/>
      <c r="K21" s="12"/>
      <c r="L21" s="7"/>
    </row>
    <row r="22" spans="1:12" ht="13.5" thickBot="1">
      <c r="A22" s="7"/>
      <c r="B22" s="249">
        <v>786.2</v>
      </c>
      <c r="C22" s="11"/>
      <c r="D22" s="12" t="s">
        <v>258</v>
      </c>
      <c r="E22" s="13"/>
      <c r="F22" s="247">
        <f t="shared" si="0"/>
        <v>0</v>
      </c>
      <c r="G22" s="286" t="s">
        <v>90</v>
      </c>
      <c r="H22" s="287"/>
      <c r="I22" s="287"/>
      <c r="J22" s="287"/>
      <c r="K22" s="288" t="s">
        <v>91</v>
      </c>
      <c r="L22" s="7"/>
    </row>
    <row r="23" spans="1:12" ht="13.5" thickBot="1">
      <c r="A23" s="7"/>
      <c r="B23" s="249">
        <v>415.5</v>
      </c>
      <c r="C23" s="11"/>
      <c r="D23" s="12" t="s">
        <v>259</v>
      </c>
      <c r="E23" s="13"/>
      <c r="F23" s="247">
        <f t="shared" si="0"/>
        <v>0</v>
      </c>
      <c r="G23" s="26"/>
      <c r="H23" s="291" t="s">
        <v>92</v>
      </c>
      <c r="I23" s="291"/>
      <c r="J23" s="12"/>
      <c r="K23" s="289"/>
      <c r="L23" s="7"/>
    </row>
    <row r="24" spans="1:12" ht="13.5" thickBot="1">
      <c r="A24" s="7"/>
      <c r="B24" s="249">
        <v>923.5</v>
      </c>
      <c r="C24" s="11">
        <v>4</v>
      </c>
      <c r="D24" s="12" t="s">
        <v>260</v>
      </c>
      <c r="E24" s="13"/>
      <c r="F24" s="247">
        <f t="shared" si="0"/>
        <v>3694</v>
      </c>
      <c r="G24" s="25"/>
      <c r="H24" s="12"/>
      <c r="I24" s="12"/>
      <c r="J24" s="12"/>
      <c r="K24" s="289"/>
      <c r="L24" s="7"/>
    </row>
    <row r="25" spans="1:12" ht="13.5" thickBot="1">
      <c r="A25" s="7"/>
      <c r="B25" s="249">
        <v>451</v>
      </c>
      <c r="C25" s="11">
        <v>1</v>
      </c>
      <c r="D25" s="12" t="s">
        <v>261</v>
      </c>
      <c r="E25" s="13"/>
      <c r="F25" s="247">
        <f t="shared" si="0"/>
        <v>451</v>
      </c>
      <c r="G25" s="14">
        <f>SUM(F27/G6)</f>
        <v>39.420833333333327</v>
      </c>
      <c r="H25" s="12" t="s">
        <v>93</v>
      </c>
      <c r="I25" s="12"/>
      <c r="J25" s="12"/>
      <c r="K25" s="289"/>
      <c r="L25" s="7"/>
    </row>
    <row r="26" spans="1:12" ht="13.5" thickBot="1">
      <c r="A26" s="7"/>
      <c r="B26" s="249"/>
      <c r="C26" s="11"/>
      <c r="D26" s="12" t="s">
        <v>94</v>
      </c>
      <c r="E26" s="13"/>
      <c r="F26" s="247">
        <f t="shared" si="0"/>
        <v>0</v>
      </c>
      <c r="G26" s="27"/>
      <c r="H26" s="12"/>
      <c r="I26" s="12"/>
      <c r="J26" s="12"/>
      <c r="K26" s="289"/>
      <c r="L26" s="7"/>
    </row>
    <row r="27" spans="1:12" ht="13.5" thickBot="1">
      <c r="A27" s="7"/>
      <c r="B27" s="28">
        <f>SUM(D27)</f>
        <v>0</v>
      </c>
      <c r="C27" s="19"/>
      <c r="D27" s="11"/>
      <c r="E27" s="21" t="s">
        <v>95</v>
      </c>
      <c r="F27" s="29">
        <f>SUM(F6:F26)/12</f>
        <v>867.25833333333321</v>
      </c>
      <c r="G27" s="30">
        <f>SUM(1000)/(G23+G25)</f>
        <v>25.367297325864076</v>
      </c>
      <c r="H27" s="19" t="s">
        <v>96</v>
      </c>
      <c r="I27" s="19"/>
      <c r="J27" s="19"/>
      <c r="K27" s="290"/>
      <c r="L27" s="7"/>
    </row>
    <row r="28" spans="1:12" ht="13.5" thickBot="1">
      <c r="A28" s="7"/>
      <c r="B28" s="7"/>
      <c r="C28" s="7"/>
      <c r="D28" s="7"/>
      <c r="E28" s="7"/>
      <c r="F28" s="7"/>
      <c r="G28" s="12"/>
      <c r="H28" s="12"/>
      <c r="I28" s="12"/>
      <c r="J28" s="12"/>
      <c r="K28" s="7"/>
      <c r="L28" s="7"/>
    </row>
    <row r="29" spans="1:12">
      <c r="A29" s="7"/>
      <c r="B29" s="286" t="s">
        <v>97</v>
      </c>
      <c r="C29" s="292"/>
      <c r="D29" s="292"/>
      <c r="E29" s="293"/>
      <c r="F29" s="7"/>
      <c r="G29" s="286"/>
      <c r="H29" s="292"/>
      <c r="I29" s="292"/>
      <c r="J29" s="292"/>
      <c r="K29" s="293"/>
      <c r="L29" s="7"/>
    </row>
    <row r="30" spans="1:12">
      <c r="A30" s="7"/>
      <c r="B30" s="26"/>
      <c r="C30" s="12" t="s">
        <v>98</v>
      </c>
      <c r="D30" s="12"/>
      <c r="E30" s="13"/>
      <c r="F30" s="7"/>
      <c r="G30" s="25">
        <f>SUM(G6/G27)+((B38*G14)/60)</f>
        <v>0.86725833333333324</v>
      </c>
      <c r="H30" s="31" t="s">
        <v>99</v>
      </c>
      <c r="I30" s="12"/>
      <c r="J30" s="12"/>
      <c r="K30" s="13"/>
      <c r="L30" s="7"/>
    </row>
    <row r="31" spans="1:12">
      <c r="A31" s="7"/>
      <c r="B31" s="25"/>
      <c r="C31" s="12"/>
      <c r="D31" s="12"/>
      <c r="E31" s="13"/>
      <c r="F31" s="7"/>
      <c r="G31" s="25"/>
      <c r="H31" s="12"/>
      <c r="I31" s="12"/>
      <c r="J31" s="12"/>
      <c r="K31" s="13"/>
      <c r="L31" s="7"/>
    </row>
    <row r="32" spans="1:12">
      <c r="A32" s="7"/>
      <c r="B32" s="26"/>
      <c r="C32" s="12" t="s">
        <v>100</v>
      </c>
      <c r="D32" s="12"/>
      <c r="E32" s="13"/>
      <c r="F32" s="7"/>
      <c r="G32" s="25" t="e">
        <f>SUM((G30*60)/G14)</f>
        <v>#DIV/0!</v>
      </c>
      <c r="H32" s="31" t="s">
        <v>101</v>
      </c>
      <c r="I32" s="12"/>
      <c r="J32" s="12"/>
      <c r="K32" s="13"/>
      <c r="L32" s="7"/>
    </row>
    <row r="33" spans="1:12">
      <c r="A33" s="7"/>
      <c r="B33" s="25"/>
      <c r="C33" s="12"/>
      <c r="D33" s="12"/>
      <c r="E33" s="13"/>
      <c r="F33" s="7"/>
      <c r="G33" s="25"/>
      <c r="H33" s="12"/>
      <c r="I33" s="12"/>
      <c r="J33" s="12"/>
      <c r="K33" s="13"/>
      <c r="L33" s="7"/>
    </row>
    <row r="34" spans="1:12">
      <c r="A34" s="7"/>
      <c r="B34" s="26"/>
      <c r="C34" s="12" t="s">
        <v>102</v>
      </c>
      <c r="D34" s="12"/>
      <c r="E34" s="13"/>
      <c r="F34" s="7"/>
      <c r="G34" s="25" t="s">
        <v>103</v>
      </c>
      <c r="H34" s="12"/>
      <c r="I34" s="12"/>
      <c r="J34" s="12"/>
      <c r="K34" s="13"/>
      <c r="L34" s="7"/>
    </row>
    <row r="35" spans="1:12">
      <c r="A35" s="7"/>
      <c r="B35" s="25"/>
      <c r="C35" s="12"/>
      <c r="D35" s="12"/>
      <c r="E35" s="13"/>
      <c r="F35" s="7"/>
      <c r="G35" s="25"/>
      <c r="H35" s="12"/>
      <c r="I35" s="12"/>
      <c r="J35" s="12"/>
      <c r="K35" s="13"/>
      <c r="L35" s="7"/>
    </row>
    <row r="36" spans="1:12">
      <c r="A36" s="7"/>
      <c r="B36" s="26"/>
      <c r="C36" s="12" t="s">
        <v>104</v>
      </c>
      <c r="D36" s="12"/>
      <c r="E36" s="13"/>
      <c r="F36" s="7"/>
      <c r="G36" s="25" t="e">
        <f>SUM(G16)</f>
        <v>#DIV/0!</v>
      </c>
      <c r="H36" s="12" t="s">
        <v>105</v>
      </c>
      <c r="I36" s="12" t="s">
        <v>106</v>
      </c>
      <c r="J36" s="32"/>
      <c r="K36" s="13"/>
      <c r="L36" s="7"/>
    </row>
    <row r="37" spans="1:12">
      <c r="A37" s="7"/>
      <c r="B37" s="25"/>
      <c r="C37" s="12"/>
      <c r="D37" s="12"/>
      <c r="E37" s="13"/>
      <c r="F37" s="7"/>
      <c r="G37" s="33" t="e">
        <f>SUM(G36+G32)</f>
        <v>#DIV/0!</v>
      </c>
      <c r="H37" s="12" t="s">
        <v>107</v>
      </c>
      <c r="I37" s="12" t="s">
        <v>106</v>
      </c>
      <c r="J37" s="32"/>
      <c r="K37" s="13"/>
      <c r="L37" s="7"/>
    </row>
    <row r="38" spans="1:12" ht="13.5" thickBot="1">
      <c r="A38" s="7"/>
      <c r="B38" s="18">
        <f>SUM((B30-1)*B32)+((B34-1)*(B36-B32))</f>
        <v>0</v>
      </c>
      <c r="C38" s="19" t="s">
        <v>108</v>
      </c>
      <c r="D38" s="19"/>
      <c r="E38" s="21"/>
      <c r="F38" s="7"/>
      <c r="G38" s="18"/>
      <c r="H38" s="19"/>
      <c r="I38" s="19"/>
      <c r="J38" s="19"/>
      <c r="K38" s="21"/>
      <c r="L38" s="7"/>
    </row>
    <row r="39" spans="1:12">
      <c r="A39" s="7"/>
      <c r="B39" s="12"/>
      <c r="C39" s="12"/>
      <c r="D39" s="12"/>
      <c r="E39" s="12"/>
      <c r="F39" s="7"/>
      <c r="G39" s="7"/>
      <c r="H39" s="7"/>
      <c r="I39" s="7"/>
      <c r="J39" s="7"/>
      <c r="K39" s="7"/>
      <c r="L39" s="7"/>
    </row>
    <row r="40" spans="1:12">
      <c r="A40" s="7"/>
      <c r="B40" s="7"/>
      <c r="C40" s="7"/>
      <c r="D40" s="7"/>
      <c r="E40" s="7"/>
      <c r="F40" s="7"/>
      <c r="G40" s="7"/>
      <c r="H40" s="7"/>
      <c r="I40" s="7"/>
      <c r="J40" s="7"/>
      <c r="K40" s="7"/>
      <c r="L40" s="7"/>
    </row>
    <row r="41" spans="1:12">
      <c r="A41" s="7"/>
      <c r="B41" s="7"/>
      <c r="C41" s="7"/>
      <c r="D41" s="7"/>
      <c r="E41" s="7"/>
      <c r="F41" s="7"/>
      <c r="G41" s="7"/>
      <c r="H41" s="7"/>
      <c r="I41" s="7"/>
      <c r="J41" s="7"/>
      <c r="K41" s="7"/>
      <c r="L41" s="7"/>
    </row>
    <row r="42" spans="1:12">
      <c r="A42" s="7"/>
      <c r="B42" s="7"/>
      <c r="C42" s="7"/>
      <c r="D42" s="7"/>
      <c r="E42" s="7"/>
      <c r="F42" s="7"/>
      <c r="G42" s="7"/>
      <c r="H42" s="7"/>
      <c r="I42" s="7"/>
      <c r="J42" s="7"/>
      <c r="K42" s="7"/>
      <c r="L42" s="7"/>
    </row>
    <row r="43" spans="1:12">
      <c r="A43" s="7"/>
      <c r="B43" s="7"/>
      <c r="C43" s="7"/>
      <c r="D43" s="7"/>
      <c r="E43" s="7"/>
      <c r="F43" s="7"/>
      <c r="G43" s="7"/>
      <c r="H43" s="7"/>
      <c r="I43" s="7"/>
      <c r="J43" s="7"/>
      <c r="K43" s="7"/>
      <c r="L43" s="7"/>
    </row>
    <row r="44" spans="1:12">
      <c r="A44" s="7"/>
      <c r="B44" s="7"/>
      <c r="C44" s="7"/>
      <c r="D44" s="7"/>
      <c r="E44" s="7"/>
      <c r="F44" s="7"/>
      <c r="G44" s="7"/>
      <c r="H44" s="7"/>
      <c r="I44" s="7"/>
      <c r="J44" s="7"/>
      <c r="K44" s="7"/>
      <c r="L44" s="7"/>
    </row>
    <row r="45" spans="1:12">
      <c r="A45" s="7"/>
      <c r="B45" s="7"/>
      <c r="C45" s="7"/>
      <c r="D45" s="7"/>
      <c r="E45" s="7"/>
      <c r="F45" s="7"/>
      <c r="G45" s="7"/>
      <c r="H45" s="7"/>
      <c r="I45" s="7"/>
      <c r="J45" s="7"/>
      <c r="K45" s="7"/>
      <c r="L45" s="7"/>
    </row>
    <row r="46" spans="1:12">
      <c r="A46" s="7"/>
      <c r="B46" s="7"/>
      <c r="C46" s="7"/>
      <c r="D46" s="7"/>
      <c r="E46" s="7"/>
      <c r="F46" s="7"/>
      <c r="G46" s="7"/>
      <c r="H46" s="7"/>
      <c r="I46" s="7"/>
      <c r="J46" s="7"/>
      <c r="K46" s="7"/>
      <c r="L46" s="7"/>
    </row>
    <row r="47" spans="1:12">
      <c r="A47" s="7"/>
      <c r="B47" s="7"/>
      <c r="C47" s="7"/>
      <c r="D47" s="7"/>
      <c r="E47" s="7"/>
      <c r="F47" s="7"/>
      <c r="G47" s="7"/>
      <c r="H47" s="7"/>
      <c r="I47" s="7"/>
      <c r="J47" s="7"/>
      <c r="K47" s="7"/>
      <c r="L47" s="7"/>
    </row>
    <row r="48" spans="1:12">
      <c r="A48" s="7"/>
      <c r="B48" s="7"/>
      <c r="C48" s="7"/>
      <c r="D48" s="7"/>
      <c r="E48" s="7"/>
      <c r="F48" s="7"/>
      <c r="G48" s="7"/>
      <c r="H48" s="7"/>
      <c r="I48" s="7"/>
      <c r="J48" s="7"/>
      <c r="K48" s="7"/>
      <c r="L48" s="7"/>
    </row>
    <row r="49" spans="1:12">
      <c r="A49" s="7"/>
      <c r="B49" s="7"/>
      <c r="C49" s="7"/>
      <c r="D49" s="7"/>
      <c r="E49" s="7"/>
      <c r="F49" s="7"/>
      <c r="G49" s="7"/>
      <c r="H49" s="7"/>
      <c r="I49" s="7"/>
      <c r="J49" s="7"/>
      <c r="K49" s="7"/>
      <c r="L49" s="7"/>
    </row>
    <row r="50" spans="1:12">
      <c r="A50" s="7"/>
      <c r="B50" s="7"/>
      <c r="C50" s="7"/>
      <c r="D50" s="7"/>
      <c r="E50" s="7"/>
      <c r="F50" s="7"/>
      <c r="G50" s="7"/>
      <c r="H50" s="7"/>
      <c r="I50" s="7"/>
      <c r="J50" s="7"/>
      <c r="K50" s="7"/>
      <c r="L50" s="7"/>
    </row>
    <row r="51" spans="1:12">
      <c r="A51" s="7"/>
      <c r="B51" s="7"/>
      <c r="C51" s="7"/>
      <c r="D51" s="7"/>
      <c r="E51" s="7"/>
      <c r="F51" s="7"/>
      <c r="G51" s="7"/>
      <c r="H51" s="7"/>
      <c r="I51" s="7"/>
      <c r="J51" s="7"/>
      <c r="K51" s="7"/>
      <c r="L51" s="7"/>
    </row>
    <row r="52" spans="1:12">
      <c r="A52" s="7"/>
      <c r="B52" s="7"/>
      <c r="C52" s="7"/>
      <c r="D52" s="7"/>
      <c r="E52" s="7"/>
      <c r="F52" s="7"/>
      <c r="G52" s="7"/>
      <c r="H52" s="7"/>
      <c r="I52" s="7"/>
      <c r="J52" s="7"/>
      <c r="K52" s="7"/>
      <c r="L52" s="7"/>
    </row>
    <row r="53" spans="1:12">
      <c r="A53" s="7"/>
      <c r="B53" s="7"/>
      <c r="C53" s="7"/>
      <c r="D53" s="7"/>
      <c r="E53" s="7"/>
      <c r="F53" s="7"/>
      <c r="G53" s="7"/>
      <c r="H53" s="7"/>
      <c r="I53" s="7"/>
      <c r="J53" s="7"/>
      <c r="K53" s="7"/>
      <c r="L53" s="7"/>
    </row>
    <row r="54" spans="1:12">
      <c r="A54" s="7"/>
      <c r="B54" s="7"/>
      <c r="C54" s="7"/>
      <c r="D54" s="7"/>
      <c r="E54" s="7"/>
      <c r="F54" s="7"/>
      <c r="G54" s="7"/>
      <c r="H54" s="7"/>
      <c r="I54" s="7"/>
      <c r="J54" s="7"/>
      <c r="K54" s="7"/>
      <c r="L54" s="7"/>
    </row>
    <row r="55" spans="1:12">
      <c r="A55" s="7"/>
      <c r="B55" s="7"/>
      <c r="C55" s="7"/>
      <c r="D55" s="7"/>
      <c r="E55" s="7"/>
      <c r="F55" s="7"/>
      <c r="G55" s="7"/>
      <c r="H55" s="7"/>
      <c r="I55" s="7"/>
      <c r="J55" s="7"/>
      <c r="K55" s="7"/>
      <c r="L55" s="7"/>
    </row>
    <row r="56" spans="1:12">
      <c r="A56" s="7"/>
      <c r="B56" s="7"/>
      <c r="C56" s="7"/>
      <c r="D56" s="7"/>
      <c r="E56" s="7"/>
      <c r="F56" s="7"/>
      <c r="G56" s="7"/>
      <c r="H56" s="7"/>
      <c r="I56" s="7"/>
      <c r="J56" s="7"/>
      <c r="K56" s="7"/>
      <c r="L56" s="7"/>
    </row>
    <row r="57" spans="1:12">
      <c r="A57" s="7"/>
      <c r="B57" s="7"/>
      <c r="C57" s="7"/>
      <c r="D57" s="7"/>
      <c r="E57" s="7"/>
      <c r="F57" s="7"/>
      <c r="G57" s="7"/>
      <c r="H57" s="7"/>
      <c r="I57" s="7"/>
      <c r="J57" s="7"/>
      <c r="K57" s="7"/>
      <c r="L57" s="7"/>
    </row>
    <row r="58" spans="1:12">
      <c r="A58" s="7"/>
      <c r="B58" s="7"/>
      <c r="C58" s="7"/>
      <c r="D58" s="7"/>
      <c r="E58" s="7"/>
      <c r="F58" s="7"/>
      <c r="G58" s="7"/>
      <c r="H58" s="7"/>
      <c r="I58" s="7"/>
      <c r="J58" s="7"/>
      <c r="K58" s="7"/>
      <c r="L58" s="7"/>
    </row>
    <row r="59" spans="1:12">
      <c r="A59" s="7"/>
      <c r="B59" s="7"/>
      <c r="C59" s="7"/>
      <c r="D59" s="7"/>
      <c r="E59" s="7"/>
      <c r="F59" s="7"/>
      <c r="G59" s="7"/>
      <c r="H59" s="7"/>
      <c r="I59" s="7"/>
      <c r="J59" s="7"/>
      <c r="K59" s="7"/>
      <c r="L59" s="7"/>
    </row>
    <row r="60" spans="1:12">
      <c r="A60" s="7"/>
      <c r="B60" s="7"/>
      <c r="C60" s="7"/>
      <c r="D60" s="7"/>
      <c r="E60" s="7"/>
      <c r="F60" s="7"/>
      <c r="G60" s="7"/>
      <c r="H60" s="7"/>
      <c r="I60" s="7"/>
      <c r="J60" s="7"/>
      <c r="K60" s="7"/>
      <c r="L60" s="7"/>
    </row>
    <row r="61" spans="1:12">
      <c r="A61" s="7"/>
      <c r="B61" s="7"/>
      <c r="C61" s="7"/>
      <c r="D61" s="7"/>
      <c r="E61" s="7"/>
      <c r="F61" s="7"/>
      <c r="G61" s="7"/>
      <c r="H61" s="7"/>
      <c r="I61" s="7"/>
      <c r="J61" s="7"/>
      <c r="K61" s="7"/>
      <c r="L61" s="7"/>
    </row>
    <row r="62" spans="1:12">
      <c r="A62" s="7"/>
      <c r="B62" s="7"/>
      <c r="C62" s="7"/>
      <c r="D62" s="7"/>
      <c r="E62" s="7"/>
      <c r="F62" s="7"/>
      <c r="G62" s="7"/>
      <c r="H62" s="7"/>
      <c r="I62" s="7"/>
      <c r="J62" s="7"/>
      <c r="K62" s="7"/>
      <c r="L62" s="7"/>
    </row>
    <row r="63" spans="1:12">
      <c r="A63" s="7"/>
      <c r="B63" s="7"/>
      <c r="C63" s="7"/>
      <c r="D63" s="7"/>
      <c r="E63" s="7"/>
      <c r="F63" s="7"/>
      <c r="G63" s="7"/>
      <c r="H63" s="7"/>
      <c r="I63" s="7"/>
      <c r="J63" s="7"/>
      <c r="K63" s="7"/>
      <c r="L63" s="7"/>
    </row>
    <row r="64" spans="1:12">
      <c r="A64" s="7"/>
      <c r="B64" s="7"/>
      <c r="C64" s="7"/>
      <c r="D64" s="7"/>
      <c r="E64" s="7"/>
      <c r="F64" s="7"/>
      <c r="G64" s="7"/>
      <c r="H64" s="7"/>
      <c r="I64" s="7"/>
      <c r="J64" s="7"/>
      <c r="K64" s="7"/>
      <c r="L64" s="7"/>
    </row>
    <row r="65" spans="1:12">
      <c r="A65" s="7"/>
      <c r="B65" s="7"/>
      <c r="C65" s="7"/>
      <c r="D65" s="7"/>
      <c r="E65" s="7"/>
      <c r="F65" s="7"/>
      <c r="G65" s="7"/>
      <c r="H65" s="7"/>
      <c r="I65" s="7"/>
      <c r="J65" s="7"/>
      <c r="K65" s="7"/>
      <c r="L65" s="7"/>
    </row>
    <row r="66" spans="1:12">
      <c r="A66" s="7"/>
      <c r="B66" s="7"/>
      <c r="C66" s="7"/>
      <c r="D66" s="7"/>
      <c r="E66" s="7"/>
      <c r="F66" s="7"/>
      <c r="G66" s="7"/>
      <c r="H66" s="7"/>
      <c r="I66" s="7"/>
      <c r="J66" s="7"/>
      <c r="K66" s="7"/>
      <c r="L66" s="7"/>
    </row>
    <row r="67" spans="1:12">
      <c r="A67" s="7"/>
      <c r="B67" s="7"/>
      <c r="C67" s="7"/>
      <c r="D67" s="7"/>
      <c r="E67" s="7"/>
      <c r="F67" s="7"/>
      <c r="G67" s="7"/>
      <c r="H67" s="7"/>
      <c r="I67" s="7"/>
      <c r="J67" s="7"/>
      <c r="K67" s="7"/>
      <c r="L67" s="7"/>
    </row>
    <row r="68" spans="1:12">
      <c r="A68" s="7"/>
      <c r="B68" s="7"/>
      <c r="C68" s="7"/>
      <c r="D68" s="7"/>
      <c r="E68" s="7"/>
      <c r="F68" s="7"/>
      <c r="G68" s="7"/>
      <c r="H68" s="7"/>
      <c r="I68" s="7"/>
      <c r="J68" s="7"/>
      <c r="K68" s="7"/>
      <c r="L68" s="7"/>
    </row>
    <row r="69" spans="1:12">
      <c r="A69" s="7"/>
      <c r="B69" s="7"/>
      <c r="C69" s="7"/>
      <c r="D69" s="7"/>
      <c r="E69" s="7"/>
      <c r="F69" s="7"/>
      <c r="G69" s="7"/>
      <c r="H69" s="7"/>
      <c r="I69" s="7"/>
      <c r="J69" s="7"/>
      <c r="K69" s="7"/>
      <c r="L69" s="7"/>
    </row>
    <row r="70" spans="1:12">
      <c r="A70" s="7"/>
      <c r="B70" s="7"/>
      <c r="C70" s="7"/>
      <c r="D70" s="7"/>
      <c r="E70" s="7"/>
      <c r="F70" s="7"/>
      <c r="G70" s="7"/>
      <c r="H70" s="7"/>
      <c r="I70" s="7"/>
      <c r="J70" s="7"/>
      <c r="K70" s="7"/>
      <c r="L70" s="7"/>
    </row>
    <row r="71" spans="1:12">
      <c r="A71" s="7"/>
      <c r="B71" s="7"/>
      <c r="C71" s="7"/>
      <c r="D71" s="7"/>
      <c r="E71" s="7"/>
      <c r="F71" s="7"/>
      <c r="G71" s="7"/>
      <c r="H71" s="7"/>
      <c r="I71" s="7"/>
      <c r="J71" s="7"/>
      <c r="K71" s="7"/>
      <c r="L71" s="7"/>
    </row>
    <row r="72" spans="1:12">
      <c r="A72" s="7"/>
      <c r="B72" s="7"/>
      <c r="C72" s="7"/>
      <c r="D72" s="7"/>
      <c r="E72" s="7"/>
      <c r="F72" s="7"/>
      <c r="G72" s="7"/>
      <c r="H72" s="7"/>
      <c r="I72" s="7"/>
      <c r="J72" s="7"/>
      <c r="K72" s="7"/>
      <c r="L72" s="7"/>
    </row>
    <row r="73" spans="1:12">
      <c r="A73" s="7"/>
      <c r="B73" s="7"/>
      <c r="C73" s="7"/>
      <c r="D73" s="7"/>
      <c r="E73" s="7"/>
      <c r="F73" s="7"/>
      <c r="G73" s="7"/>
      <c r="H73" s="7"/>
      <c r="I73" s="7"/>
      <c r="J73" s="7"/>
      <c r="K73" s="7"/>
      <c r="L73" s="7"/>
    </row>
    <row r="74" spans="1:12">
      <c r="A74" s="7"/>
      <c r="B74" s="7"/>
      <c r="C74" s="7"/>
      <c r="D74" s="7"/>
      <c r="E74" s="7"/>
      <c r="F74" s="7"/>
      <c r="G74" s="7"/>
      <c r="H74" s="7"/>
      <c r="I74" s="7"/>
      <c r="J74" s="7"/>
      <c r="K74" s="7"/>
      <c r="L74" s="7"/>
    </row>
    <row r="75" spans="1:12">
      <c r="A75" s="7"/>
      <c r="B75" s="7"/>
      <c r="C75" s="7"/>
      <c r="D75" s="7"/>
      <c r="E75" s="7"/>
      <c r="F75" s="7"/>
      <c r="G75" s="7"/>
      <c r="H75" s="7"/>
      <c r="I75" s="7"/>
      <c r="J75" s="7"/>
      <c r="K75" s="7"/>
      <c r="L75" s="7"/>
    </row>
  </sheetData>
  <mergeCells count="11">
    <mergeCell ref="K12:K16"/>
    <mergeCell ref="B1:K3"/>
    <mergeCell ref="B4:K4"/>
    <mergeCell ref="B5:E5"/>
    <mergeCell ref="G5:I5"/>
    <mergeCell ref="G11:J11"/>
    <mergeCell ref="G22:J22"/>
    <mergeCell ref="K22:K27"/>
    <mergeCell ref="H23:I23"/>
    <mergeCell ref="B29:E29"/>
    <mergeCell ref="G29:K29"/>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T57"/>
  <sheetViews>
    <sheetView zoomScale="90" zoomScaleNormal="90" workbookViewId="0">
      <selection activeCell="E14" sqref="E14"/>
    </sheetView>
  </sheetViews>
  <sheetFormatPr defaultColWidth="8.85546875" defaultRowHeight="12.75"/>
  <cols>
    <col min="1" max="1" width="2.85546875" style="219" customWidth="1"/>
    <col min="2" max="2" width="5.7109375" style="219" customWidth="1"/>
    <col min="3" max="3" width="21.42578125" style="219" bestFit="1" customWidth="1"/>
    <col min="4" max="4" width="10.42578125" style="219" bestFit="1" customWidth="1"/>
    <col min="5" max="5" width="8.85546875" style="220"/>
    <col min="6" max="6" width="8.85546875" style="221"/>
    <col min="7" max="7" width="8.85546875" style="219"/>
    <col min="8" max="8" width="10.42578125" style="219" customWidth="1"/>
    <col min="9" max="9" width="11.7109375" style="222" customWidth="1"/>
    <col min="10" max="11" width="10.7109375" style="219" customWidth="1"/>
    <col min="12" max="15" width="5.7109375" style="219" customWidth="1"/>
    <col min="16" max="16" width="10.42578125" style="219" bestFit="1" customWidth="1"/>
    <col min="17" max="19" width="5.7109375" style="219" customWidth="1"/>
    <col min="20" max="20" width="5.28515625" style="219" customWidth="1"/>
    <col min="21" max="21" width="12.140625" style="219" customWidth="1"/>
    <col min="22" max="22" width="14.5703125" style="219" bestFit="1" customWidth="1"/>
    <col min="23" max="23" width="10" style="219" bestFit="1" customWidth="1"/>
    <col min="24" max="24" width="12.140625" style="219" bestFit="1" customWidth="1"/>
    <col min="25" max="16384" width="8.85546875" style="219"/>
  </cols>
  <sheetData>
    <row r="1" spans="1:20" s="227" customFormat="1" ht="13.5" thickBot="1">
      <c r="A1" s="223"/>
      <c r="B1" s="223"/>
      <c r="C1" s="223"/>
      <c r="D1" s="223"/>
      <c r="E1" s="224"/>
      <c r="F1" s="225"/>
      <c r="G1" s="223"/>
      <c r="H1" s="223"/>
      <c r="I1" s="226"/>
      <c r="J1" s="223"/>
      <c r="K1" s="223"/>
      <c r="L1" s="223"/>
      <c r="M1" s="223"/>
      <c r="N1" s="223"/>
      <c r="O1" s="223"/>
      <c r="P1" s="223"/>
      <c r="Q1" s="223"/>
      <c r="R1" s="223"/>
      <c r="S1" s="223"/>
      <c r="T1" s="223"/>
    </row>
    <row r="2" spans="1:20">
      <c r="A2" s="223"/>
      <c r="B2" s="303" t="s">
        <v>207</v>
      </c>
      <c r="C2" s="304"/>
      <c r="D2" s="304"/>
      <c r="E2" s="304"/>
      <c r="F2" s="304"/>
      <c r="G2" s="304"/>
      <c r="H2" s="304"/>
      <c r="I2" s="304"/>
      <c r="J2" s="304"/>
      <c r="K2" s="304"/>
      <c r="L2" s="305"/>
      <c r="M2" s="223"/>
      <c r="N2" s="223"/>
      <c r="O2" s="223"/>
      <c r="P2" s="223"/>
      <c r="Q2" s="223"/>
      <c r="R2" s="223"/>
      <c r="S2" s="223"/>
      <c r="T2" s="223"/>
    </row>
    <row r="3" spans="1:20" ht="38.25">
      <c r="A3" s="223"/>
      <c r="B3" s="229"/>
      <c r="C3" s="101" t="s">
        <v>17</v>
      </c>
      <c r="D3" s="102" t="s">
        <v>18</v>
      </c>
      <c r="E3" s="103" t="s">
        <v>19</v>
      </c>
      <c r="F3" s="104" t="s">
        <v>20</v>
      </c>
      <c r="G3" s="102" t="s">
        <v>237</v>
      </c>
      <c r="H3" s="102" t="s">
        <v>236</v>
      </c>
      <c r="I3" s="105" t="s">
        <v>21</v>
      </c>
      <c r="J3" s="213" t="s">
        <v>241</v>
      </c>
      <c r="K3" s="213" t="s">
        <v>256</v>
      </c>
      <c r="L3" s="230"/>
      <c r="M3" s="223"/>
      <c r="N3" s="223"/>
      <c r="O3" s="223"/>
      <c r="P3" s="223"/>
      <c r="Q3" s="223"/>
      <c r="R3" s="223"/>
      <c r="S3" s="223"/>
      <c r="T3" s="223"/>
    </row>
    <row r="4" spans="1:20">
      <c r="A4" s="223"/>
      <c r="B4" s="229"/>
      <c r="C4" s="211" t="s">
        <v>22</v>
      </c>
      <c r="D4" s="207">
        <v>0</v>
      </c>
      <c r="E4" s="208">
        <v>505</v>
      </c>
      <c r="F4" s="209">
        <v>0.56999999999999995</v>
      </c>
      <c r="G4" s="208">
        <v>289</v>
      </c>
      <c r="H4" s="207">
        <v>0</v>
      </c>
      <c r="I4" s="210">
        <f>SUM(H4/F4*D4)</f>
        <v>0</v>
      </c>
      <c r="J4" s="231">
        <f>D4*E4</f>
        <v>0</v>
      </c>
      <c r="K4" s="210">
        <f>I4-J4</f>
        <v>0</v>
      </c>
      <c r="L4" s="230"/>
      <c r="M4" s="223"/>
      <c r="N4" s="223"/>
      <c r="O4" s="223"/>
      <c r="P4" s="223"/>
      <c r="Q4" s="223"/>
      <c r="R4" s="223"/>
      <c r="S4" s="223"/>
      <c r="T4" s="223"/>
    </row>
    <row r="5" spans="1:20" ht="13.5" thickBot="1">
      <c r="A5" s="223"/>
      <c r="B5" s="229"/>
      <c r="C5" s="211" t="s">
        <v>23</v>
      </c>
      <c r="D5" s="207">
        <v>0</v>
      </c>
      <c r="E5" s="208">
        <v>400</v>
      </c>
      <c r="F5" s="209">
        <v>0.7</v>
      </c>
      <c r="G5" s="208">
        <v>280</v>
      </c>
      <c r="H5" s="207">
        <v>0</v>
      </c>
      <c r="I5" s="210">
        <f t="shared" ref="I5:I16" si="0">SUM(H5/F5*D5)</f>
        <v>0</v>
      </c>
      <c r="J5" s="231">
        <f t="shared" ref="J5:J16" si="1">D5*E5</f>
        <v>0</v>
      </c>
      <c r="K5" s="210">
        <f t="shared" ref="K5:K16" si="2">I5-J5</f>
        <v>0</v>
      </c>
      <c r="L5" s="230"/>
      <c r="M5" s="223"/>
      <c r="N5" s="223"/>
      <c r="O5" s="223"/>
      <c r="P5" s="223"/>
      <c r="Q5" s="223"/>
      <c r="R5" s="223"/>
      <c r="S5" s="223"/>
      <c r="T5" s="223"/>
    </row>
    <row r="6" spans="1:20" ht="12.75" customHeight="1">
      <c r="A6" s="223"/>
      <c r="B6" s="229"/>
      <c r="C6" s="211" t="s">
        <v>24</v>
      </c>
      <c r="D6" s="207">
        <v>0</v>
      </c>
      <c r="E6" s="208">
        <v>171</v>
      </c>
      <c r="F6" s="209">
        <f>SUM(G6/E6)</f>
        <v>1.1695906432748537</v>
      </c>
      <c r="G6" s="208">
        <v>200</v>
      </c>
      <c r="H6" s="207">
        <v>0</v>
      </c>
      <c r="I6" s="210">
        <f t="shared" si="0"/>
        <v>0</v>
      </c>
      <c r="J6" s="231">
        <f t="shared" si="1"/>
        <v>0</v>
      </c>
      <c r="K6" s="210">
        <f t="shared" si="2"/>
        <v>0</v>
      </c>
      <c r="L6" s="230"/>
      <c r="M6" s="223"/>
      <c r="N6" s="315" t="s">
        <v>255</v>
      </c>
      <c r="O6" s="316"/>
      <c r="P6" s="316"/>
      <c r="Q6" s="316"/>
      <c r="R6" s="316"/>
      <c r="S6" s="317"/>
      <c r="T6" s="223"/>
    </row>
    <row r="7" spans="1:20" ht="12.75" customHeight="1">
      <c r="A7" s="223"/>
      <c r="B7" s="229"/>
      <c r="C7" s="269" t="s">
        <v>150</v>
      </c>
      <c r="D7" s="266">
        <v>0</v>
      </c>
      <c r="E7" s="267">
        <v>50</v>
      </c>
      <c r="F7" s="268">
        <v>6</v>
      </c>
      <c r="G7" s="267">
        <f>SUM(E7*F7)</f>
        <v>300</v>
      </c>
      <c r="H7" s="266">
        <v>0</v>
      </c>
      <c r="I7" s="270">
        <f t="shared" si="0"/>
        <v>0</v>
      </c>
      <c r="J7" s="271">
        <f t="shared" si="1"/>
        <v>0</v>
      </c>
      <c r="K7" s="210">
        <f t="shared" si="2"/>
        <v>0</v>
      </c>
      <c r="L7" s="230"/>
      <c r="M7" s="223"/>
      <c r="N7" s="318"/>
      <c r="O7" s="319"/>
      <c r="P7" s="319"/>
      <c r="Q7" s="319"/>
      <c r="R7" s="319"/>
      <c r="S7" s="320"/>
      <c r="T7" s="223"/>
    </row>
    <row r="8" spans="1:20">
      <c r="A8" s="223"/>
      <c r="B8" s="229"/>
      <c r="C8" s="211" t="s">
        <v>25</v>
      </c>
      <c r="D8" s="207">
        <v>0</v>
      </c>
      <c r="E8" s="208">
        <v>71</v>
      </c>
      <c r="F8" s="209">
        <v>5.63</v>
      </c>
      <c r="G8" s="208">
        <v>410</v>
      </c>
      <c r="H8" s="207">
        <v>0</v>
      </c>
      <c r="I8" s="210">
        <f t="shared" si="0"/>
        <v>0</v>
      </c>
      <c r="J8" s="231">
        <f t="shared" si="1"/>
        <v>0</v>
      </c>
      <c r="K8" s="210">
        <f t="shared" si="2"/>
        <v>0</v>
      </c>
      <c r="L8" s="230"/>
      <c r="M8" s="223"/>
      <c r="N8" s="232"/>
      <c r="O8" s="228"/>
      <c r="P8" s="228"/>
      <c r="Q8" s="228"/>
      <c r="R8" s="228"/>
      <c r="S8" s="233"/>
      <c r="T8" s="223"/>
    </row>
    <row r="9" spans="1:20" ht="13.5" thickBot="1">
      <c r="A9" s="223"/>
      <c r="B9" s="229"/>
      <c r="C9" s="211" t="s">
        <v>26</v>
      </c>
      <c r="D9" s="207">
        <v>0</v>
      </c>
      <c r="E9" s="208">
        <v>150</v>
      </c>
      <c r="F9" s="209">
        <v>2</v>
      </c>
      <c r="G9" s="208">
        <f>SUM(E9*F9)</f>
        <v>300</v>
      </c>
      <c r="H9" s="207">
        <v>0</v>
      </c>
      <c r="I9" s="210">
        <f t="shared" si="0"/>
        <v>0</v>
      </c>
      <c r="J9" s="231">
        <f t="shared" si="1"/>
        <v>0</v>
      </c>
      <c r="K9" s="210">
        <f t="shared" si="2"/>
        <v>0</v>
      </c>
      <c r="L9" s="230"/>
      <c r="M9" s="223"/>
      <c r="N9" s="232"/>
      <c r="O9" s="228"/>
      <c r="P9" s="228"/>
      <c r="Q9" s="228"/>
      <c r="R9" s="228"/>
      <c r="S9" s="233"/>
      <c r="T9" s="223"/>
    </row>
    <row r="10" spans="1:20" ht="12" customHeight="1">
      <c r="A10" s="223"/>
      <c r="B10" s="229"/>
      <c r="C10" s="211" t="s">
        <v>115</v>
      </c>
      <c r="D10" s="207">
        <v>7</v>
      </c>
      <c r="E10" s="208">
        <v>166</v>
      </c>
      <c r="F10" s="209">
        <v>2</v>
      </c>
      <c r="G10" s="208">
        <f>SUM(E10*F10)</f>
        <v>332</v>
      </c>
      <c r="H10" s="207">
        <v>2500</v>
      </c>
      <c r="I10" s="210">
        <f t="shared" si="0"/>
        <v>8750</v>
      </c>
      <c r="J10" s="231">
        <f t="shared" si="1"/>
        <v>1162</v>
      </c>
      <c r="K10" s="210">
        <f t="shared" si="2"/>
        <v>7588</v>
      </c>
      <c r="L10" s="230"/>
      <c r="M10" s="223"/>
      <c r="N10" s="232"/>
      <c r="O10" s="306" t="s">
        <v>32</v>
      </c>
      <c r="P10" s="307"/>
      <c r="Q10" s="307"/>
      <c r="R10" s="308"/>
      <c r="S10" s="233"/>
      <c r="T10" s="223"/>
    </row>
    <row r="11" spans="1:20" ht="12" customHeight="1">
      <c r="A11" s="223"/>
      <c r="B11" s="229"/>
      <c r="C11" s="211" t="s">
        <v>27</v>
      </c>
      <c r="D11" s="207">
        <v>0</v>
      </c>
      <c r="E11" s="208">
        <v>375</v>
      </c>
      <c r="F11" s="209">
        <f>SUM(G11/E11)</f>
        <v>0.77333333333333332</v>
      </c>
      <c r="G11" s="208">
        <v>290</v>
      </c>
      <c r="H11" s="207">
        <v>0</v>
      </c>
      <c r="I11" s="210">
        <f t="shared" si="0"/>
        <v>0</v>
      </c>
      <c r="J11" s="231">
        <f t="shared" si="1"/>
        <v>0</v>
      </c>
      <c r="K11" s="210">
        <f t="shared" si="2"/>
        <v>0</v>
      </c>
      <c r="L11" s="230"/>
      <c r="M11" s="223"/>
      <c r="N11" s="232"/>
      <c r="O11" s="309"/>
      <c r="P11" s="310"/>
      <c r="Q11" s="310"/>
      <c r="R11" s="311"/>
      <c r="S11" s="233"/>
      <c r="T11" s="223"/>
    </row>
    <row r="12" spans="1:20" ht="12.75" customHeight="1" thickBot="1">
      <c r="A12" s="223"/>
      <c r="B12" s="229"/>
      <c r="C12" s="211" t="s">
        <v>28</v>
      </c>
      <c r="D12" s="207">
        <v>6</v>
      </c>
      <c r="E12" s="208">
        <v>80</v>
      </c>
      <c r="F12" s="209">
        <v>4.5</v>
      </c>
      <c r="G12" s="208">
        <f>SUM(E12*F12)</f>
        <v>360</v>
      </c>
      <c r="H12" s="207">
        <v>2500</v>
      </c>
      <c r="I12" s="210">
        <f t="shared" si="0"/>
        <v>3333.333333333333</v>
      </c>
      <c r="J12" s="231">
        <f t="shared" si="1"/>
        <v>480</v>
      </c>
      <c r="K12" s="210">
        <f t="shared" si="2"/>
        <v>2853.333333333333</v>
      </c>
      <c r="L12" s="230"/>
      <c r="M12" s="223"/>
      <c r="N12" s="232"/>
      <c r="O12" s="312"/>
      <c r="P12" s="313"/>
      <c r="Q12" s="313"/>
      <c r="R12" s="314"/>
      <c r="S12" s="233"/>
      <c r="T12" s="223"/>
    </row>
    <row r="13" spans="1:20" ht="12" customHeight="1">
      <c r="A13" s="223"/>
      <c r="B13" s="229"/>
      <c r="C13" s="211" t="s">
        <v>29</v>
      </c>
      <c r="D13" s="207">
        <v>0</v>
      </c>
      <c r="E13" s="208">
        <v>134</v>
      </c>
      <c r="F13" s="209">
        <f>SUM(G13/E13)</f>
        <v>1.7164179104477613</v>
      </c>
      <c r="G13" s="208">
        <v>230</v>
      </c>
      <c r="H13" s="207">
        <v>0</v>
      </c>
      <c r="I13" s="210">
        <f t="shared" si="0"/>
        <v>0</v>
      </c>
      <c r="J13" s="231">
        <f t="shared" si="1"/>
        <v>0</v>
      </c>
      <c r="K13" s="210">
        <f t="shared" si="2"/>
        <v>0</v>
      </c>
      <c r="L13" s="230"/>
      <c r="M13" s="223"/>
      <c r="N13" s="232"/>
      <c r="O13" s="341">
        <f>SUM(I17,I43)</f>
        <v>22913.619047619046</v>
      </c>
      <c r="P13" s="342"/>
      <c r="Q13" s="342"/>
      <c r="R13" s="343"/>
      <c r="S13" s="233"/>
      <c r="T13" s="223"/>
    </row>
    <row r="14" spans="1:20" ht="12" customHeight="1">
      <c r="A14" s="223"/>
      <c r="B14" s="229"/>
      <c r="C14" s="211" t="s">
        <v>30</v>
      </c>
      <c r="D14" s="207">
        <v>2</v>
      </c>
      <c r="E14" s="208">
        <v>25</v>
      </c>
      <c r="F14" s="209">
        <v>7</v>
      </c>
      <c r="G14" s="208">
        <f>SUM(E14*F14)</f>
        <v>175</v>
      </c>
      <c r="H14" s="207">
        <v>2500</v>
      </c>
      <c r="I14" s="210">
        <f t="shared" ref="I14:I15" si="3">SUM(H14/F14*D14)</f>
        <v>714.28571428571433</v>
      </c>
      <c r="J14" s="231">
        <f t="shared" si="1"/>
        <v>50</v>
      </c>
      <c r="K14" s="210">
        <f t="shared" si="2"/>
        <v>664.28571428571433</v>
      </c>
      <c r="L14" s="230"/>
      <c r="M14" s="223"/>
      <c r="N14" s="232"/>
      <c r="O14" s="344"/>
      <c r="P14" s="345"/>
      <c r="Q14" s="345"/>
      <c r="R14" s="346"/>
      <c r="S14" s="233"/>
      <c r="T14" s="223"/>
    </row>
    <row r="15" spans="1:20" ht="16.5" thickBot="1">
      <c r="A15" s="223"/>
      <c r="B15" s="229"/>
      <c r="C15" s="211" t="s">
        <v>149</v>
      </c>
      <c r="D15" s="207">
        <v>0</v>
      </c>
      <c r="E15" s="267">
        <v>45</v>
      </c>
      <c r="F15" s="268">
        <v>6.67</v>
      </c>
      <c r="G15" s="208">
        <f>SUM(E15*F15)</f>
        <v>300.14999999999998</v>
      </c>
      <c r="H15" s="207">
        <v>0</v>
      </c>
      <c r="I15" s="210">
        <f t="shared" si="3"/>
        <v>0</v>
      </c>
      <c r="J15" s="231">
        <f t="shared" si="1"/>
        <v>0</v>
      </c>
      <c r="K15" s="210">
        <f t="shared" si="2"/>
        <v>0</v>
      </c>
      <c r="L15" s="230"/>
      <c r="M15" s="223"/>
      <c r="N15" s="232"/>
      <c r="O15" s="347" t="s">
        <v>36</v>
      </c>
      <c r="P15" s="348"/>
      <c r="Q15" s="348"/>
      <c r="R15" s="349"/>
      <c r="S15" s="233"/>
      <c r="T15" s="223"/>
    </row>
    <row r="16" spans="1:20">
      <c r="A16" s="223"/>
      <c r="B16" s="229"/>
      <c r="C16" s="211" t="s">
        <v>109</v>
      </c>
      <c r="D16" s="207">
        <v>0</v>
      </c>
      <c r="E16" s="208">
        <v>20</v>
      </c>
      <c r="F16" s="209">
        <v>3.5</v>
      </c>
      <c r="G16" s="208">
        <f>SUM(E16*F16)</f>
        <v>70</v>
      </c>
      <c r="H16" s="207">
        <v>0</v>
      </c>
      <c r="I16" s="210">
        <f t="shared" si="0"/>
        <v>0</v>
      </c>
      <c r="J16" s="231">
        <f t="shared" si="1"/>
        <v>0</v>
      </c>
      <c r="K16" s="210">
        <f t="shared" si="2"/>
        <v>0</v>
      </c>
      <c r="L16" s="230"/>
      <c r="M16" s="223"/>
      <c r="N16" s="232"/>
      <c r="O16" s="228"/>
      <c r="P16" s="228"/>
      <c r="Q16" s="228"/>
      <c r="R16" s="228"/>
      <c r="S16" s="233"/>
      <c r="T16" s="223"/>
    </row>
    <row r="17" spans="1:20" ht="12" customHeight="1" thickBot="1">
      <c r="A17" s="223"/>
      <c r="B17" s="229"/>
      <c r="C17" s="234"/>
      <c r="D17" s="216"/>
      <c r="E17" s="235"/>
      <c r="F17" s="339" t="s">
        <v>31</v>
      </c>
      <c r="G17" s="339"/>
      <c r="H17" s="339"/>
      <c r="I17" s="376">
        <f>SUM(I4:I16)</f>
        <v>12797.619047619046</v>
      </c>
      <c r="J17" s="376">
        <f>SUM(J4:J16)</f>
        <v>1692</v>
      </c>
      <c r="K17" s="374">
        <f>SUM(K4:K16)</f>
        <v>11105.619047619046</v>
      </c>
      <c r="L17" s="230"/>
      <c r="M17" s="223"/>
      <c r="N17" s="232"/>
      <c r="O17" s="228"/>
      <c r="P17" s="228"/>
      <c r="Q17" s="228"/>
      <c r="R17" s="228"/>
      <c r="S17" s="233"/>
      <c r="T17" s="223"/>
    </row>
    <row r="18" spans="1:20" ht="12.75" customHeight="1" thickBot="1">
      <c r="A18" s="223"/>
      <c r="B18" s="236"/>
      <c r="C18" s="237"/>
      <c r="D18" s="237"/>
      <c r="E18" s="237"/>
      <c r="F18" s="340"/>
      <c r="G18" s="340"/>
      <c r="H18" s="340"/>
      <c r="I18" s="377"/>
      <c r="J18" s="377"/>
      <c r="K18" s="375"/>
      <c r="L18" s="238"/>
      <c r="N18" s="232"/>
      <c r="O18" s="306" t="s">
        <v>32</v>
      </c>
      <c r="P18" s="307"/>
      <c r="Q18" s="307"/>
      <c r="R18" s="308"/>
      <c r="S18" s="233"/>
      <c r="T18" s="223"/>
    </row>
    <row r="19" spans="1:20" ht="12.75" customHeight="1" thickBot="1">
      <c r="A19" s="223"/>
      <c r="B19" s="223"/>
      <c r="C19" s="223"/>
      <c r="D19" s="223"/>
      <c r="E19" s="224"/>
      <c r="F19" s="225"/>
      <c r="G19" s="223"/>
      <c r="H19" s="223"/>
      <c r="I19" s="226"/>
      <c r="J19" s="223"/>
      <c r="K19" s="223"/>
      <c r="L19" s="223"/>
      <c r="M19" s="223"/>
      <c r="N19" s="232"/>
      <c r="O19" s="309"/>
      <c r="P19" s="310"/>
      <c r="Q19" s="310"/>
      <c r="R19" s="311"/>
      <c r="S19" s="233"/>
      <c r="T19" s="223"/>
    </row>
    <row r="20" spans="1:20" ht="12" customHeight="1" thickBot="1">
      <c r="A20" s="223"/>
      <c r="B20" s="303" t="s">
        <v>242</v>
      </c>
      <c r="C20" s="304"/>
      <c r="D20" s="304"/>
      <c r="E20" s="304"/>
      <c r="F20" s="304"/>
      <c r="G20" s="304"/>
      <c r="H20" s="304"/>
      <c r="I20" s="304"/>
      <c r="J20" s="304"/>
      <c r="K20" s="304"/>
      <c r="L20" s="305"/>
      <c r="M20" s="223"/>
      <c r="N20" s="232"/>
      <c r="O20" s="312"/>
      <c r="P20" s="313"/>
      <c r="Q20" s="313"/>
      <c r="R20" s="314"/>
      <c r="S20" s="233"/>
      <c r="T20" s="223"/>
    </row>
    <row r="21" spans="1:20" ht="25.5">
      <c r="A21" s="223"/>
      <c r="B21" s="229"/>
      <c r="C21" s="106" t="s">
        <v>17</v>
      </c>
      <c r="D21" s="102" t="s">
        <v>18</v>
      </c>
      <c r="E21" s="103" t="s">
        <v>19</v>
      </c>
      <c r="F21" s="104" t="s">
        <v>33</v>
      </c>
      <c r="G21" s="102" t="s">
        <v>34</v>
      </c>
      <c r="H21" s="102" t="s">
        <v>35</v>
      </c>
      <c r="I21" s="105" t="s">
        <v>21</v>
      </c>
      <c r="J21" s="213" t="s">
        <v>241</v>
      </c>
      <c r="K21" s="213" t="s">
        <v>256</v>
      </c>
      <c r="L21" s="230"/>
      <c r="M21" s="223"/>
      <c r="N21" s="232"/>
      <c r="O21" s="353">
        <f>O13*3.8</f>
        <v>87071.75238095237</v>
      </c>
      <c r="P21" s="354"/>
      <c r="Q21" s="354"/>
      <c r="R21" s="355"/>
      <c r="S21" s="233"/>
      <c r="T21" s="223"/>
    </row>
    <row r="22" spans="1:20">
      <c r="A22" s="223"/>
      <c r="B22" s="229"/>
      <c r="C22" s="211" t="s">
        <v>22</v>
      </c>
      <c r="D22" s="207">
        <v>0</v>
      </c>
      <c r="E22" s="208">
        <v>505</v>
      </c>
      <c r="F22" s="209">
        <v>21.5</v>
      </c>
      <c r="G22" s="207">
        <v>0</v>
      </c>
      <c r="H22" s="207">
        <v>0</v>
      </c>
      <c r="I22" s="210">
        <f>SUM(D22*F22*G22*H22)</f>
        <v>0</v>
      </c>
      <c r="J22" s="231">
        <f t="shared" ref="J22:J31" si="4">D22*E22</f>
        <v>0</v>
      </c>
      <c r="K22" s="210">
        <f>I22-J22</f>
        <v>0</v>
      </c>
      <c r="L22" s="230"/>
      <c r="M22" s="223"/>
      <c r="N22" s="232"/>
      <c r="O22" s="356"/>
      <c r="P22" s="357"/>
      <c r="Q22" s="357"/>
      <c r="R22" s="358"/>
      <c r="S22" s="233"/>
      <c r="T22" s="223"/>
    </row>
    <row r="23" spans="1:20" ht="16.5" thickBot="1">
      <c r="A23" s="223"/>
      <c r="B23" s="229"/>
      <c r="C23" s="211" t="s">
        <v>23</v>
      </c>
      <c r="D23" s="207">
        <v>0</v>
      </c>
      <c r="E23" s="208">
        <v>505</v>
      </c>
      <c r="F23" s="209">
        <v>20</v>
      </c>
      <c r="G23" s="207">
        <v>0</v>
      </c>
      <c r="H23" s="207">
        <v>0</v>
      </c>
      <c r="I23" s="210">
        <f t="shared" ref="I23:I42" si="5">SUM(D23*F23*G23*H23)</f>
        <v>0</v>
      </c>
      <c r="J23" s="231">
        <f t="shared" si="4"/>
        <v>0</v>
      </c>
      <c r="K23" s="210">
        <f t="shared" ref="K23:K42" si="6">I23-J23</f>
        <v>0</v>
      </c>
      <c r="L23" s="230"/>
      <c r="M23" s="223"/>
      <c r="N23" s="232"/>
      <c r="O23" s="347" t="s">
        <v>198</v>
      </c>
      <c r="P23" s="348"/>
      <c r="Q23" s="348"/>
      <c r="R23" s="349"/>
      <c r="S23" s="233"/>
      <c r="T23" s="223"/>
    </row>
    <row r="24" spans="1:20" ht="12" customHeight="1" thickBot="1">
      <c r="A24" s="223"/>
      <c r="B24" s="229"/>
      <c r="C24" s="211" t="s">
        <v>24</v>
      </c>
      <c r="D24" s="207">
        <v>0</v>
      </c>
      <c r="E24" s="208">
        <v>171</v>
      </c>
      <c r="F24" s="209">
        <v>20</v>
      </c>
      <c r="G24" s="207">
        <v>0</v>
      </c>
      <c r="H24" s="207">
        <v>0</v>
      </c>
      <c r="I24" s="210">
        <f t="shared" si="5"/>
        <v>0</v>
      </c>
      <c r="J24" s="231">
        <f t="shared" si="4"/>
        <v>0</v>
      </c>
      <c r="K24" s="210">
        <f t="shared" si="6"/>
        <v>0</v>
      </c>
      <c r="L24" s="230"/>
      <c r="M24" s="223"/>
      <c r="N24" s="232"/>
      <c r="O24" s="228"/>
      <c r="P24" s="228"/>
      <c r="Q24" s="228"/>
      <c r="R24" s="228"/>
      <c r="S24" s="233"/>
      <c r="T24" s="223"/>
    </row>
    <row r="25" spans="1:20" ht="12" customHeight="1">
      <c r="A25" s="223"/>
      <c r="B25" s="229"/>
      <c r="C25" s="211" t="s">
        <v>25</v>
      </c>
      <c r="D25" s="207">
        <v>0</v>
      </c>
      <c r="E25" s="208">
        <v>71</v>
      </c>
      <c r="F25" s="209"/>
      <c r="G25" s="207">
        <v>0</v>
      </c>
      <c r="H25" s="207">
        <v>0</v>
      </c>
      <c r="I25" s="210">
        <f t="shared" si="5"/>
        <v>0</v>
      </c>
      <c r="J25" s="231">
        <f t="shared" si="4"/>
        <v>0</v>
      </c>
      <c r="K25" s="210">
        <f t="shared" si="6"/>
        <v>0</v>
      </c>
      <c r="L25" s="230"/>
      <c r="M25" s="223"/>
      <c r="N25" s="232"/>
      <c r="O25" s="321" t="s">
        <v>32</v>
      </c>
      <c r="P25" s="322"/>
      <c r="Q25" s="322"/>
      <c r="R25" s="323"/>
      <c r="S25" s="233"/>
      <c r="T25" s="223"/>
    </row>
    <row r="26" spans="1:20" ht="12.75" customHeight="1">
      <c r="A26" s="223"/>
      <c r="B26" s="229"/>
      <c r="C26" s="211" t="s">
        <v>115</v>
      </c>
      <c r="D26" s="207">
        <v>7</v>
      </c>
      <c r="E26" s="208">
        <v>166</v>
      </c>
      <c r="F26" s="209">
        <v>1.6</v>
      </c>
      <c r="G26" s="207">
        <v>10</v>
      </c>
      <c r="H26" s="207">
        <v>45</v>
      </c>
      <c r="I26" s="210">
        <f t="shared" si="5"/>
        <v>5040.0000000000009</v>
      </c>
      <c r="J26" s="231">
        <f t="shared" si="4"/>
        <v>1162</v>
      </c>
      <c r="K26" s="210">
        <f t="shared" si="6"/>
        <v>3878.0000000000009</v>
      </c>
      <c r="L26" s="230"/>
      <c r="M26" s="223"/>
      <c r="N26" s="232"/>
      <c r="O26" s="324"/>
      <c r="P26" s="325"/>
      <c r="Q26" s="325"/>
      <c r="R26" s="326"/>
      <c r="S26" s="233"/>
      <c r="T26" s="223"/>
    </row>
    <row r="27" spans="1:20" ht="12" customHeight="1" thickBot="1">
      <c r="A27" s="223"/>
      <c r="B27" s="229"/>
      <c r="C27" s="211" t="s">
        <v>27</v>
      </c>
      <c r="D27" s="207">
        <v>0</v>
      </c>
      <c r="E27" s="208">
        <v>375</v>
      </c>
      <c r="F27" s="209"/>
      <c r="G27" s="207">
        <v>0</v>
      </c>
      <c r="H27" s="207">
        <v>0</v>
      </c>
      <c r="I27" s="210">
        <f t="shared" si="5"/>
        <v>0</v>
      </c>
      <c r="J27" s="231">
        <f t="shared" si="4"/>
        <v>0</v>
      </c>
      <c r="K27" s="210">
        <f t="shared" si="6"/>
        <v>0</v>
      </c>
      <c r="L27" s="230"/>
      <c r="M27" s="223"/>
      <c r="N27" s="232"/>
      <c r="O27" s="327"/>
      <c r="P27" s="328"/>
      <c r="Q27" s="328"/>
      <c r="R27" s="329"/>
      <c r="S27" s="233"/>
      <c r="T27" s="223"/>
    </row>
    <row r="28" spans="1:20" ht="12" customHeight="1">
      <c r="A28" s="223"/>
      <c r="B28" s="229"/>
      <c r="C28" s="211" t="s">
        <v>28</v>
      </c>
      <c r="D28" s="207">
        <v>6</v>
      </c>
      <c r="E28" s="208">
        <v>80</v>
      </c>
      <c r="F28" s="209">
        <v>1.6</v>
      </c>
      <c r="G28" s="207">
        <v>10</v>
      </c>
      <c r="H28" s="207">
        <v>45</v>
      </c>
      <c r="I28" s="210">
        <f t="shared" si="5"/>
        <v>4320.0000000000009</v>
      </c>
      <c r="J28" s="231">
        <f t="shared" si="4"/>
        <v>480</v>
      </c>
      <c r="K28" s="210">
        <f>I28-J28</f>
        <v>3840.0000000000009</v>
      </c>
      <c r="L28" s="230"/>
      <c r="M28" s="223"/>
      <c r="N28" s="232"/>
      <c r="O28" s="330">
        <f>O21*0.4535</f>
        <v>39487.039704761904</v>
      </c>
      <c r="P28" s="331"/>
      <c r="Q28" s="331"/>
      <c r="R28" s="332"/>
      <c r="S28" s="233"/>
      <c r="T28" s="223"/>
    </row>
    <row r="29" spans="1:20">
      <c r="A29" s="223"/>
      <c r="B29" s="229"/>
      <c r="C29" s="211" t="s">
        <v>29</v>
      </c>
      <c r="D29" s="207">
        <v>0</v>
      </c>
      <c r="E29" s="208">
        <v>134</v>
      </c>
      <c r="F29" s="209">
        <v>7</v>
      </c>
      <c r="G29" s="207">
        <v>0</v>
      </c>
      <c r="H29" s="207">
        <v>0</v>
      </c>
      <c r="I29" s="210">
        <f t="shared" si="5"/>
        <v>0</v>
      </c>
      <c r="J29" s="231">
        <f t="shared" si="4"/>
        <v>0</v>
      </c>
      <c r="K29" s="210">
        <f t="shared" si="6"/>
        <v>0</v>
      </c>
      <c r="L29" s="230"/>
      <c r="M29" s="223"/>
      <c r="N29" s="232"/>
      <c r="O29" s="333"/>
      <c r="P29" s="334"/>
      <c r="Q29" s="334"/>
      <c r="R29" s="335"/>
      <c r="S29" s="233"/>
      <c r="T29" s="223"/>
    </row>
    <row r="30" spans="1:20" ht="16.5" thickBot="1">
      <c r="A30" s="223"/>
      <c r="B30" s="229"/>
      <c r="C30" s="211" t="s">
        <v>30</v>
      </c>
      <c r="D30" s="207">
        <v>2</v>
      </c>
      <c r="E30" s="208">
        <v>25</v>
      </c>
      <c r="F30" s="209">
        <v>0.84</v>
      </c>
      <c r="G30" s="207">
        <v>10</v>
      </c>
      <c r="H30" s="207">
        <v>45</v>
      </c>
      <c r="I30" s="210">
        <f t="shared" si="5"/>
        <v>756</v>
      </c>
      <c r="J30" s="231">
        <f t="shared" si="4"/>
        <v>50</v>
      </c>
      <c r="K30" s="210">
        <f t="shared" si="6"/>
        <v>706</v>
      </c>
      <c r="L30" s="230"/>
      <c r="M30" s="223"/>
      <c r="N30" s="232"/>
      <c r="O30" s="336" t="s">
        <v>199</v>
      </c>
      <c r="P30" s="337"/>
      <c r="Q30" s="337"/>
      <c r="R30" s="338"/>
      <c r="S30" s="233"/>
      <c r="T30" s="223"/>
    </row>
    <row r="31" spans="1:20" ht="13.5" thickBot="1">
      <c r="A31" s="223"/>
      <c r="B31" s="229"/>
      <c r="C31" s="212" t="s">
        <v>110</v>
      </c>
      <c r="D31" s="207">
        <v>0</v>
      </c>
      <c r="E31" s="208">
        <v>20</v>
      </c>
      <c r="F31" s="209">
        <v>2.5</v>
      </c>
      <c r="G31" s="207">
        <v>0</v>
      </c>
      <c r="H31" s="207">
        <v>0</v>
      </c>
      <c r="I31" s="210">
        <f t="shared" si="5"/>
        <v>0</v>
      </c>
      <c r="J31" s="231">
        <f t="shared" si="4"/>
        <v>0</v>
      </c>
      <c r="K31" s="210">
        <f t="shared" si="6"/>
        <v>0</v>
      </c>
      <c r="L31" s="230"/>
      <c r="M31" s="223"/>
      <c r="N31" s="232"/>
      <c r="O31" s="228"/>
      <c r="P31" s="228"/>
      <c r="Q31" s="228"/>
      <c r="R31" s="228"/>
      <c r="S31" s="233"/>
      <c r="T31" s="223"/>
    </row>
    <row r="32" spans="1:20">
      <c r="A32" s="223"/>
      <c r="B32" s="229"/>
      <c r="C32" s="212" t="s">
        <v>111</v>
      </c>
      <c r="D32" s="207">
        <v>0</v>
      </c>
      <c r="E32" s="208">
        <v>66</v>
      </c>
      <c r="F32" s="209">
        <v>0.8</v>
      </c>
      <c r="G32" s="207">
        <v>0</v>
      </c>
      <c r="H32" s="207">
        <v>0</v>
      </c>
      <c r="I32" s="210">
        <f t="shared" si="5"/>
        <v>0</v>
      </c>
      <c r="J32" s="231">
        <f t="shared" ref="J32:J42" si="7">D32*E32</f>
        <v>0</v>
      </c>
      <c r="K32" s="210">
        <f t="shared" si="6"/>
        <v>0</v>
      </c>
      <c r="L32" s="230"/>
      <c r="M32" s="223"/>
      <c r="N32" s="232"/>
      <c r="O32" s="359" t="s">
        <v>32</v>
      </c>
      <c r="P32" s="360"/>
      <c r="Q32" s="360"/>
      <c r="R32" s="361"/>
      <c r="S32" s="233"/>
      <c r="T32" s="223"/>
    </row>
    <row r="33" spans="1:20">
      <c r="A33" s="223"/>
      <c r="B33" s="229"/>
      <c r="C33" s="212" t="s">
        <v>116</v>
      </c>
      <c r="D33" s="207">
        <v>0</v>
      </c>
      <c r="E33" s="208">
        <v>98</v>
      </c>
      <c r="F33" s="209">
        <v>0.8</v>
      </c>
      <c r="G33" s="207">
        <v>0</v>
      </c>
      <c r="H33" s="207">
        <v>0</v>
      </c>
      <c r="I33" s="210">
        <f t="shared" si="5"/>
        <v>0</v>
      </c>
      <c r="J33" s="231">
        <f t="shared" si="7"/>
        <v>0</v>
      </c>
      <c r="K33" s="210">
        <f t="shared" si="6"/>
        <v>0</v>
      </c>
      <c r="L33" s="230"/>
      <c r="M33" s="223"/>
      <c r="N33" s="232"/>
      <c r="O33" s="362"/>
      <c r="P33" s="363"/>
      <c r="Q33" s="363"/>
      <c r="R33" s="364"/>
      <c r="S33" s="233"/>
      <c r="T33" s="223"/>
    </row>
    <row r="34" spans="1:20" ht="13.5" thickBot="1">
      <c r="A34" s="223"/>
      <c r="B34" s="229"/>
      <c r="C34" s="212" t="s">
        <v>240</v>
      </c>
      <c r="D34" s="207">
        <v>0</v>
      </c>
      <c r="E34" s="239">
        <v>6.5</v>
      </c>
      <c r="F34" s="209">
        <v>0.5</v>
      </c>
      <c r="G34" s="207">
        <v>0</v>
      </c>
      <c r="H34" s="207">
        <v>0</v>
      </c>
      <c r="I34" s="210">
        <f t="shared" si="5"/>
        <v>0</v>
      </c>
      <c r="J34" s="231">
        <f t="shared" si="7"/>
        <v>0</v>
      </c>
      <c r="K34" s="210">
        <f t="shared" si="6"/>
        <v>0</v>
      </c>
      <c r="L34" s="230"/>
      <c r="M34" s="223"/>
      <c r="N34" s="232"/>
      <c r="O34" s="365"/>
      <c r="P34" s="366"/>
      <c r="Q34" s="366"/>
      <c r="R34" s="367"/>
      <c r="S34" s="233"/>
      <c r="T34" s="223"/>
    </row>
    <row r="35" spans="1:20">
      <c r="A35" s="223"/>
      <c r="B35" s="229"/>
      <c r="C35" s="212" t="s">
        <v>117</v>
      </c>
      <c r="D35" s="207">
        <v>0</v>
      </c>
      <c r="E35" s="208">
        <v>43</v>
      </c>
      <c r="F35" s="209">
        <v>5.37</v>
      </c>
      <c r="G35" s="207">
        <v>0</v>
      </c>
      <c r="H35" s="207">
        <v>0</v>
      </c>
      <c r="I35" s="210">
        <f t="shared" si="5"/>
        <v>0</v>
      </c>
      <c r="J35" s="231">
        <f t="shared" si="7"/>
        <v>0</v>
      </c>
      <c r="K35" s="210">
        <f t="shared" si="6"/>
        <v>0</v>
      </c>
      <c r="L35" s="230"/>
      <c r="M35" s="223"/>
      <c r="N35" s="232"/>
      <c r="O35" s="368">
        <f>O21*0.001</f>
        <v>87.071752380952375</v>
      </c>
      <c r="P35" s="369"/>
      <c r="Q35" s="369"/>
      <c r="R35" s="370"/>
      <c r="S35" s="233"/>
      <c r="T35" s="223"/>
    </row>
    <row r="36" spans="1:20">
      <c r="A36" s="223"/>
      <c r="B36" s="229"/>
      <c r="C36" s="212" t="s">
        <v>118</v>
      </c>
      <c r="D36" s="207">
        <v>0</v>
      </c>
      <c r="E36" s="208">
        <v>23</v>
      </c>
      <c r="F36" s="209">
        <v>2.6</v>
      </c>
      <c r="G36" s="207">
        <v>0</v>
      </c>
      <c r="H36" s="207">
        <v>0</v>
      </c>
      <c r="I36" s="210">
        <f t="shared" si="5"/>
        <v>0</v>
      </c>
      <c r="J36" s="231">
        <f t="shared" si="7"/>
        <v>0</v>
      </c>
      <c r="K36" s="210">
        <f t="shared" si="6"/>
        <v>0</v>
      </c>
      <c r="L36" s="230"/>
      <c r="M36" s="223"/>
      <c r="N36" s="232"/>
      <c r="O36" s="371"/>
      <c r="P36" s="372"/>
      <c r="Q36" s="372"/>
      <c r="R36" s="373"/>
      <c r="S36" s="233"/>
      <c r="T36" s="223"/>
    </row>
    <row r="37" spans="1:20" ht="16.5" thickBot="1">
      <c r="A37" s="223"/>
      <c r="B37" s="229"/>
      <c r="C37" s="212" t="s">
        <v>122</v>
      </c>
      <c r="D37" s="207">
        <v>0</v>
      </c>
      <c r="E37" s="208">
        <v>9</v>
      </c>
      <c r="F37" s="209">
        <v>0.99</v>
      </c>
      <c r="G37" s="207">
        <v>0</v>
      </c>
      <c r="H37" s="207">
        <v>0</v>
      </c>
      <c r="I37" s="210">
        <f t="shared" si="5"/>
        <v>0</v>
      </c>
      <c r="J37" s="231">
        <f t="shared" si="7"/>
        <v>0</v>
      </c>
      <c r="K37" s="210">
        <f t="shared" si="6"/>
        <v>0</v>
      </c>
      <c r="L37" s="230"/>
      <c r="M37" s="223"/>
      <c r="N37" s="232"/>
      <c r="O37" s="350" t="s">
        <v>195</v>
      </c>
      <c r="P37" s="351"/>
      <c r="Q37" s="351"/>
      <c r="R37" s="352"/>
      <c r="S37" s="233"/>
      <c r="T37" s="223"/>
    </row>
    <row r="38" spans="1:20" ht="13.5" thickBot="1">
      <c r="A38" s="223"/>
      <c r="B38" s="229"/>
      <c r="C38" s="212" t="s">
        <v>121</v>
      </c>
      <c r="D38" s="207">
        <v>0</v>
      </c>
      <c r="E38" s="208">
        <v>43</v>
      </c>
      <c r="F38" s="209">
        <v>5.37</v>
      </c>
      <c r="G38" s="207">
        <v>0</v>
      </c>
      <c r="H38" s="207">
        <v>0</v>
      </c>
      <c r="I38" s="210">
        <f t="shared" si="5"/>
        <v>0</v>
      </c>
      <c r="J38" s="231">
        <f t="shared" si="7"/>
        <v>0</v>
      </c>
      <c r="K38" s="210">
        <f t="shared" si="6"/>
        <v>0</v>
      </c>
      <c r="L38" s="230"/>
      <c r="M38" s="223"/>
      <c r="N38" s="232"/>
      <c r="O38" s="240"/>
      <c r="P38" s="240"/>
      <c r="Q38" s="240"/>
      <c r="R38" s="240"/>
      <c r="S38" s="233"/>
      <c r="T38" s="223"/>
    </row>
    <row r="39" spans="1:20">
      <c r="A39" s="223"/>
      <c r="B39" s="229"/>
      <c r="C39" s="212" t="s">
        <v>120</v>
      </c>
      <c r="D39" s="207">
        <v>0</v>
      </c>
      <c r="E39" s="208">
        <v>9</v>
      </c>
      <c r="F39" s="209">
        <v>0.99</v>
      </c>
      <c r="G39" s="207">
        <v>0</v>
      </c>
      <c r="H39" s="207">
        <v>0</v>
      </c>
      <c r="I39" s="210">
        <f t="shared" si="5"/>
        <v>0</v>
      </c>
      <c r="J39" s="231">
        <f t="shared" si="7"/>
        <v>0</v>
      </c>
      <c r="K39" s="210">
        <f t="shared" si="6"/>
        <v>0</v>
      </c>
      <c r="L39" s="230"/>
      <c r="M39" s="223"/>
      <c r="N39" s="232"/>
      <c r="O39" s="321" t="s">
        <v>32</v>
      </c>
      <c r="P39" s="322"/>
      <c r="Q39" s="322"/>
      <c r="R39" s="323"/>
      <c r="S39" s="233"/>
      <c r="T39" s="223"/>
    </row>
    <row r="40" spans="1:20">
      <c r="A40" s="223"/>
      <c r="B40" s="229"/>
      <c r="C40" s="212" t="s">
        <v>123</v>
      </c>
      <c r="D40" s="207">
        <v>0</v>
      </c>
      <c r="E40" s="208">
        <v>66</v>
      </c>
      <c r="F40" s="209">
        <v>7.85</v>
      </c>
      <c r="G40" s="207">
        <v>0</v>
      </c>
      <c r="H40" s="207">
        <v>0</v>
      </c>
      <c r="I40" s="210">
        <f t="shared" si="5"/>
        <v>0</v>
      </c>
      <c r="J40" s="231">
        <f t="shared" si="7"/>
        <v>0</v>
      </c>
      <c r="K40" s="210">
        <f t="shared" si="6"/>
        <v>0</v>
      </c>
      <c r="L40" s="230"/>
      <c r="M40" s="223"/>
      <c r="N40" s="232"/>
      <c r="O40" s="324"/>
      <c r="P40" s="325"/>
      <c r="Q40" s="325"/>
      <c r="R40" s="326"/>
      <c r="S40" s="233"/>
      <c r="T40" s="223"/>
    </row>
    <row r="41" spans="1:20" ht="13.5" thickBot="1">
      <c r="A41" s="223"/>
      <c r="B41" s="229"/>
      <c r="C41" s="212" t="s">
        <v>239</v>
      </c>
      <c r="D41" s="207">
        <v>0</v>
      </c>
      <c r="E41" s="208">
        <v>4</v>
      </c>
      <c r="F41" s="209">
        <v>0.5</v>
      </c>
      <c r="G41" s="207">
        <v>0</v>
      </c>
      <c r="H41" s="207">
        <v>0</v>
      </c>
      <c r="I41" s="210">
        <f t="shared" si="5"/>
        <v>0</v>
      </c>
      <c r="J41" s="231">
        <f t="shared" si="7"/>
        <v>0</v>
      </c>
      <c r="K41" s="210">
        <f t="shared" si="6"/>
        <v>0</v>
      </c>
      <c r="L41" s="230"/>
      <c r="M41" s="223"/>
      <c r="N41" s="232"/>
      <c r="O41" s="327"/>
      <c r="P41" s="328"/>
      <c r="Q41" s="328"/>
      <c r="R41" s="329"/>
      <c r="S41" s="233"/>
      <c r="T41" s="223"/>
    </row>
    <row r="42" spans="1:20">
      <c r="A42" s="223"/>
      <c r="B42" s="229"/>
      <c r="C42" s="212" t="s">
        <v>119</v>
      </c>
      <c r="D42" s="207">
        <v>0</v>
      </c>
      <c r="E42" s="239">
        <v>1.6</v>
      </c>
      <c r="F42" s="209">
        <v>0.3</v>
      </c>
      <c r="G42" s="207">
        <v>0</v>
      </c>
      <c r="H42" s="207">
        <v>0</v>
      </c>
      <c r="I42" s="210">
        <f t="shared" si="5"/>
        <v>0</v>
      </c>
      <c r="J42" s="231">
        <f t="shared" si="7"/>
        <v>0</v>
      </c>
      <c r="K42" s="210">
        <f t="shared" si="6"/>
        <v>0</v>
      </c>
      <c r="L42" s="230"/>
      <c r="M42" s="223"/>
      <c r="N42" s="232"/>
      <c r="O42" s="330">
        <f>O13*6.8</f>
        <v>155812.60952380951</v>
      </c>
      <c r="P42" s="331"/>
      <c r="Q42" s="331"/>
      <c r="R42" s="332"/>
      <c r="S42" s="233"/>
      <c r="T42" s="223"/>
    </row>
    <row r="43" spans="1:20">
      <c r="A43" s="223"/>
      <c r="B43" s="229"/>
      <c r="C43" s="241"/>
      <c r="D43" s="241"/>
      <c r="E43" s="216"/>
      <c r="F43" s="339" t="s">
        <v>31</v>
      </c>
      <c r="G43" s="339"/>
      <c r="H43" s="339"/>
      <c r="I43" s="376">
        <f>SUM(I22:I42)</f>
        <v>10116.000000000002</v>
      </c>
      <c r="J43" s="376">
        <f>SUM(J22:J42)</f>
        <v>1692</v>
      </c>
      <c r="K43" s="374">
        <f>SUM(K22:K42)</f>
        <v>8424.0000000000018</v>
      </c>
      <c r="L43" s="230"/>
      <c r="M43" s="223"/>
      <c r="N43" s="232"/>
      <c r="O43" s="333"/>
      <c r="P43" s="334"/>
      <c r="Q43" s="334"/>
      <c r="R43" s="335"/>
      <c r="S43" s="233"/>
      <c r="T43" s="223"/>
    </row>
    <row r="44" spans="1:20" ht="16.5" thickBot="1">
      <c r="A44" s="223"/>
      <c r="B44" s="236"/>
      <c r="C44" s="237"/>
      <c r="D44" s="237"/>
      <c r="E44" s="242"/>
      <c r="F44" s="340"/>
      <c r="G44" s="340"/>
      <c r="H44" s="340"/>
      <c r="I44" s="377"/>
      <c r="J44" s="377"/>
      <c r="K44" s="375"/>
      <c r="L44" s="238"/>
      <c r="M44" s="223"/>
      <c r="N44" s="232"/>
      <c r="O44" s="336" t="s">
        <v>194</v>
      </c>
      <c r="P44" s="337"/>
      <c r="Q44" s="337"/>
      <c r="R44" s="338"/>
      <c r="S44" s="233"/>
      <c r="T44" s="223"/>
    </row>
    <row r="45" spans="1:20" ht="13.5" thickBot="1">
      <c r="A45" s="223"/>
      <c r="B45" s="223"/>
      <c r="C45" s="223"/>
      <c r="D45" s="223"/>
      <c r="E45" s="224"/>
      <c r="F45" s="225"/>
      <c r="G45" s="223"/>
      <c r="H45" s="223"/>
      <c r="I45" s="226"/>
      <c r="J45" s="223"/>
      <c r="K45" s="223"/>
      <c r="L45" s="223"/>
      <c r="M45" s="223"/>
      <c r="N45" s="243"/>
      <c r="O45" s="240"/>
      <c r="P45" s="240"/>
      <c r="Q45" s="240"/>
      <c r="R45" s="240"/>
      <c r="S45" s="244"/>
      <c r="T45" s="223"/>
    </row>
    <row r="46" spans="1:20">
      <c r="A46" s="223"/>
      <c r="B46" s="223"/>
      <c r="C46" s="223"/>
      <c r="D46" s="223"/>
      <c r="E46" s="224"/>
      <c r="F46" s="225"/>
      <c r="G46" s="223"/>
      <c r="H46" s="223"/>
      <c r="I46" s="245">
        <f>SUM(I17,I43)</f>
        <v>22913.619047619046</v>
      </c>
      <c r="J46" s="245">
        <f>SUM(J17,J43)</f>
        <v>3384</v>
      </c>
      <c r="K46" s="246"/>
      <c r="L46" s="223"/>
      <c r="M46" s="223"/>
      <c r="N46" s="223"/>
      <c r="O46" s="223"/>
      <c r="P46" s="223"/>
      <c r="Q46" s="223"/>
      <c r="R46" s="223"/>
      <c r="S46" s="223"/>
      <c r="T46" s="223"/>
    </row>
    <row r="47" spans="1:20">
      <c r="A47" s="223"/>
      <c r="B47" s="223"/>
      <c r="C47" s="223"/>
      <c r="D47" s="223"/>
      <c r="E47" s="224"/>
      <c r="F47" s="225"/>
      <c r="G47" s="223"/>
      <c r="H47" s="223"/>
      <c r="I47" s="378">
        <f>I46-J46</f>
        <v>19529.619047619046</v>
      </c>
      <c r="J47" s="378"/>
      <c r="K47" s="246"/>
      <c r="L47" s="223"/>
      <c r="M47" s="223"/>
      <c r="N47" s="223"/>
      <c r="O47" s="223"/>
      <c r="P47" s="223"/>
      <c r="Q47" s="223"/>
      <c r="R47" s="223"/>
      <c r="S47" s="223"/>
      <c r="T47" s="223"/>
    </row>
    <row r="48" spans="1:20">
      <c r="A48" s="223"/>
      <c r="B48" s="223"/>
      <c r="C48" s="223"/>
      <c r="D48" s="223"/>
      <c r="E48" s="224"/>
      <c r="F48" s="225"/>
      <c r="G48" s="223"/>
      <c r="H48" s="223"/>
      <c r="I48" s="379">
        <f>I47*3.8</f>
        <v>74212.552380952373</v>
      </c>
      <c r="J48" s="380"/>
      <c r="K48" s="246"/>
      <c r="L48" s="223"/>
      <c r="M48" s="223"/>
      <c r="N48" s="223"/>
      <c r="O48" s="223"/>
      <c r="P48" s="223"/>
      <c r="Q48" s="223"/>
      <c r="R48" s="223"/>
      <c r="S48" s="223"/>
      <c r="T48" s="223"/>
    </row>
    <row r="49" spans="1:20">
      <c r="A49" s="223"/>
      <c r="B49" s="223"/>
      <c r="C49" s="223"/>
      <c r="D49" s="223"/>
      <c r="E49" s="224"/>
      <c r="F49" s="225"/>
      <c r="G49" s="223"/>
      <c r="H49" s="223"/>
      <c r="I49" s="226"/>
      <c r="J49" s="223"/>
      <c r="K49" s="223"/>
      <c r="L49" s="223"/>
      <c r="M49" s="223"/>
      <c r="N49" s="223"/>
      <c r="O49" s="223"/>
      <c r="P49" s="223"/>
      <c r="Q49" s="223"/>
      <c r="R49" s="223"/>
      <c r="S49" s="223"/>
      <c r="T49" s="223"/>
    </row>
    <row r="50" spans="1:20">
      <c r="N50" s="223"/>
      <c r="O50" s="223"/>
      <c r="P50" s="223"/>
      <c r="Q50" s="223"/>
      <c r="R50" s="223"/>
      <c r="S50" s="223"/>
    </row>
    <row r="51" spans="1:20">
      <c r="N51" s="223"/>
      <c r="O51" s="223"/>
      <c r="P51" s="223"/>
      <c r="Q51" s="223"/>
      <c r="R51" s="223"/>
      <c r="S51" s="223"/>
    </row>
    <row r="52" spans="1:20">
      <c r="N52" s="223"/>
      <c r="O52" s="223"/>
      <c r="P52" s="223"/>
      <c r="Q52" s="223"/>
      <c r="R52" s="223"/>
      <c r="S52" s="223"/>
    </row>
    <row r="53" spans="1:20">
      <c r="N53" s="223"/>
      <c r="O53" s="223"/>
      <c r="P53" s="223"/>
      <c r="Q53" s="223"/>
      <c r="R53" s="223"/>
      <c r="S53" s="223"/>
    </row>
    <row r="54" spans="1:20">
      <c r="N54" s="223"/>
      <c r="O54" s="223"/>
      <c r="P54" s="223"/>
      <c r="Q54" s="223"/>
      <c r="R54" s="223"/>
      <c r="S54" s="223"/>
    </row>
    <row r="55" spans="1:20">
      <c r="N55" s="223"/>
      <c r="O55" s="223"/>
      <c r="P55" s="223"/>
      <c r="Q55" s="223"/>
      <c r="R55" s="223"/>
      <c r="S55" s="223"/>
    </row>
    <row r="56" spans="1:20">
      <c r="N56" s="223"/>
      <c r="O56" s="223"/>
      <c r="P56" s="223"/>
      <c r="Q56" s="223"/>
      <c r="R56" s="223"/>
      <c r="S56" s="223"/>
    </row>
    <row r="57" spans="1:20">
      <c r="N57" s="223"/>
      <c r="O57" s="223"/>
      <c r="P57" s="223"/>
      <c r="Q57" s="223"/>
      <c r="R57" s="223"/>
      <c r="S57" s="223"/>
    </row>
  </sheetData>
  <mergeCells count="28">
    <mergeCell ref="I47:J47"/>
    <mergeCell ref="I48:J48"/>
    <mergeCell ref="B20:L20"/>
    <mergeCell ref="F43:H44"/>
    <mergeCell ref="I43:I44"/>
    <mergeCell ref="K43:K44"/>
    <mergeCell ref="J43:J44"/>
    <mergeCell ref="O44:R44"/>
    <mergeCell ref="F17:H18"/>
    <mergeCell ref="O13:R14"/>
    <mergeCell ref="O15:R15"/>
    <mergeCell ref="O37:R37"/>
    <mergeCell ref="O25:R27"/>
    <mergeCell ref="O28:R29"/>
    <mergeCell ref="O30:R30"/>
    <mergeCell ref="O18:R20"/>
    <mergeCell ref="O21:R22"/>
    <mergeCell ref="O23:R23"/>
    <mergeCell ref="O32:R34"/>
    <mergeCell ref="O35:R36"/>
    <mergeCell ref="K17:K18"/>
    <mergeCell ref="I17:I18"/>
    <mergeCell ref="J17:J18"/>
    <mergeCell ref="B2:L2"/>
    <mergeCell ref="O10:R12"/>
    <mergeCell ref="N6:S7"/>
    <mergeCell ref="O39:R41"/>
    <mergeCell ref="O42:R43"/>
  </mergeCells>
  <pageMargins left="0.7" right="0.7" top="0.75" bottom="0.75" header="0.3" footer="0.3"/>
  <pageSetup orientation="portrait" verticalDpi="4294967295"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pageSetUpPr fitToPage="1"/>
  </sheetPr>
  <dimension ref="A1:O42"/>
  <sheetViews>
    <sheetView zoomScaleNormal="100" workbookViewId="0">
      <pane ySplit="6" topLeftCell="A7" activePane="bottomLeft" state="frozen"/>
      <selection activeCell="G1" sqref="G1"/>
      <selection pane="bottomLeft" activeCell="H1" sqref="H1"/>
    </sheetView>
  </sheetViews>
  <sheetFormatPr defaultColWidth="8.85546875" defaultRowHeight="12.75"/>
  <cols>
    <col min="1" max="1" width="3.7109375" style="39" customWidth="1"/>
    <col min="2" max="2" width="8.28515625" style="39" customWidth="1"/>
    <col min="3" max="3" width="8.85546875" style="39"/>
    <col min="4" max="4" width="7.140625" style="39" customWidth="1"/>
    <col min="5" max="6" width="8.85546875" style="39"/>
    <col min="7" max="7" width="12" style="39" bestFit="1" customWidth="1"/>
    <col min="8" max="8" width="7.5703125" style="39" bestFit="1" customWidth="1"/>
    <col min="9" max="9" width="6" style="39" bestFit="1" customWidth="1"/>
    <col min="10" max="10" width="7.5703125" style="39" bestFit="1" customWidth="1"/>
    <col min="11" max="11" width="12.5703125" style="39" customWidth="1"/>
    <col min="12" max="12" width="8.85546875" style="39"/>
    <col min="13" max="14" width="8.85546875" style="39" customWidth="1"/>
    <col min="15" max="15" width="5.7109375" style="39" customWidth="1"/>
    <col min="16" max="16384" width="8.85546875" style="39"/>
  </cols>
  <sheetData>
    <row r="1" spans="1:15" s="38" customFormat="1" ht="13.5" thickBot="1">
      <c r="A1" s="36"/>
      <c r="B1" s="37"/>
      <c r="C1" s="37"/>
      <c r="D1" s="37"/>
      <c r="E1" s="37"/>
      <c r="F1" s="37"/>
      <c r="G1" s="37"/>
      <c r="H1" s="37"/>
      <c r="I1" s="37"/>
      <c r="J1" s="37"/>
      <c r="K1" s="37"/>
      <c r="L1" s="37"/>
      <c r="M1" s="37"/>
      <c r="N1" s="37"/>
      <c r="O1" s="36"/>
    </row>
    <row r="2" spans="1:15" ht="13.5" thickBot="1">
      <c r="A2" s="36"/>
      <c r="B2" s="443" t="s">
        <v>147</v>
      </c>
      <c r="C2" s="444"/>
      <c r="D2" s="444"/>
      <c r="E2" s="444"/>
      <c r="F2" s="444"/>
      <c r="G2" s="444"/>
      <c r="H2" s="444"/>
      <c r="I2" s="444"/>
      <c r="J2" s="444"/>
      <c r="K2" s="444"/>
      <c r="L2" s="444"/>
      <c r="M2" s="444"/>
      <c r="N2" s="445"/>
      <c r="O2" s="36"/>
    </row>
    <row r="3" spans="1:15" ht="32.1" customHeight="1" thickBot="1">
      <c r="A3" s="36"/>
      <c r="B3" s="446" t="s">
        <v>8</v>
      </c>
      <c r="C3" s="447"/>
      <c r="D3" s="447"/>
      <c r="E3" s="448" t="s">
        <v>148</v>
      </c>
      <c r="F3" s="448"/>
      <c r="G3" s="448"/>
      <c r="H3" s="448"/>
      <c r="I3" s="448"/>
      <c r="J3" s="448"/>
      <c r="K3" s="448"/>
      <c r="L3" s="448"/>
      <c r="M3" s="448"/>
      <c r="N3" s="449"/>
      <c r="O3" s="36"/>
    </row>
    <row r="4" spans="1:15" ht="13.5" customHeight="1" thickBot="1">
      <c r="A4" s="36"/>
      <c r="B4" s="457" t="s">
        <v>9</v>
      </c>
      <c r="C4" s="467"/>
      <c r="D4" s="458"/>
      <c r="E4" s="453" t="s">
        <v>143</v>
      </c>
      <c r="F4" s="454"/>
      <c r="G4" s="454"/>
      <c r="H4" s="454"/>
      <c r="I4" s="450" t="s">
        <v>135</v>
      </c>
      <c r="J4" s="451"/>
      <c r="K4" s="457" t="s">
        <v>136</v>
      </c>
      <c r="L4" s="458"/>
      <c r="M4" s="461" t="s">
        <v>10</v>
      </c>
      <c r="N4" s="462"/>
      <c r="O4" s="36"/>
    </row>
    <row r="5" spans="1:15" ht="12.75" customHeight="1">
      <c r="A5" s="36"/>
      <c r="B5" s="459"/>
      <c r="C5" s="468"/>
      <c r="D5" s="460"/>
      <c r="E5" s="450" t="s">
        <v>144</v>
      </c>
      <c r="F5" s="451"/>
      <c r="G5" s="450" t="s">
        <v>145</v>
      </c>
      <c r="H5" s="452"/>
      <c r="I5" s="455"/>
      <c r="J5" s="456"/>
      <c r="K5" s="459"/>
      <c r="L5" s="460"/>
      <c r="M5" s="463"/>
      <c r="N5" s="464"/>
      <c r="O5" s="36"/>
    </row>
    <row r="6" spans="1:15" ht="13.5" thickBot="1">
      <c r="A6" s="36"/>
      <c r="B6" s="469"/>
      <c r="C6" s="470"/>
      <c r="D6" s="471"/>
      <c r="E6" s="40" t="s">
        <v>11</v>
      </c>
      <c r="F6" s="41" t="s">
        <v>12</v>
      </c>
      <c r="G6" s="40" t="s">
        <v>11</v>
      </c>
      <c r="H6" s="42" t="s">
        <v>12</v>
      </c>
      <c r="I6" s="40" t="s">
        <v>11</v>
      </c>
      <c r="J6" s="41" t="s">
        <v>12</v>
      </c>
      <c r="K6" s="40" t="s">
        <v>11</v>
      </c>
      <c r="L6" s="41" t="s">
        <v>12</v>
      </c>
      <c r="M6" s="465"/>
      <c r="N6" s="466"/>
      <c r="O6" s="36"/>
    </row>
    <row r="7" spans="1:15">
      <c r="A7" s="36"/>
      <c r="B7" s="422" t="s">
        <v>129</v>
      </c>
      <c r="C7" s="423"/>
      <c r="D7" s="424"/>
      <c r="E7" s="43">
        <v>6.91</v>
      </c>
      <c r="F7" s="44">
        <v>4.87</v>
      </c>
      <c r="G7" s="45">
        <v>7.27</v>
      </c>
      <c r="H7" s="44">
        <v>5.23</v>
      </c>
      <c r="I7" s="45">
        <v>5.26</v>
      </c>
      <c r="J7" s="44">
        <v>3.22</v>
      </c>
      <c r="K7" s="45">
        <v>5.81</v>
      </c>
      <c r="L7" s="43">
        <v>3.77</v>
      </c>
      <c r="M7" s="425"/>
      <c r="N7" s="426"/>
      <c r="O7" s="36"/>
    </row>
    <row r="8" spans="1:15">
      <c r="A8" s="36"/>
      <c r="B8" s="427" t="s">
        <v>130</v>
      </c>
      <c r="C8" s="428"/>
      <c r="D8" s="429"/>
      <c r="E8" s="46">
        <v>0.03</v>
      </c>
      <c r="F8" s="47">
        <v>0.03</v>
      </c>
      <c r="G8" s="46">
        <v>0.03</v>
      </c>
      <c r="H8" s="47">
        <v>0.03</v>
      </c>
      <c r="I8" s="46">
        <v>0.03</v>
      </c>
      <c r="J8" s="47">
        <v>0.03</v>
      </c>
      <c r="K8" s="48">
        <v>0.03</v>
      </c>
      <c r="L8" s="46">
        <v>0.03</v>
      </c>
      <c r="M8" s="430"/>
      <c r="N8" s="413"/>
      <c r="O8" s="36"/>
    </row>
    <row r="9" spans="1:15">
      <c r="A9" s="36"/>
      <c r="B9" s="427" t="s">
        <v>131</v>
      </c>
      <c r="C9" s="428"/>
      <c r="D9" s="429"/>
      <c r="E9" s="46">
        <v>0.88</v>
      </c>
      <c r="F9" s="47">
        <v>0.88</v>
      </c>
      <c r="G9" s="46">
        <v>0.88</v>
      </c>
      <c r="H9" s="47">
        <v>0.88</v>
      </c>
      <c r="I9" s="46">
        <v>0.88</v>
      </c>
      <c r="J9" s="47">
        <v>0.88</v>
      </c>
      <c r="K9" s="48">
        <v>0.88</v>
      </c>
      <c r="L9" s="46">
        <v>0.88</v>
      </c>
      <c r="M9" s="430"/>
      <c r="N9" s="413"/>
      <c r="O9" s="36"/>
    </row>
    <row r="10" spans="1:15">
      <c r="A10" s="36"/>
      <c r="B10" s="427" t="s">
        <v>132</v>
      </c>
      <c r="C10" s="428"/>
      <c r="D10" s="429"/>
      <c r="E10" s="46">
        <v>2.0699999999999998</v>
      </c>
      <c r="F10" s="47">
        <v>1.87</v>
      </c>
      <c r="G10" s="46">
        <v>2.0699999999999998</v>
      </c>
      <c r="H10" s="47">
        <v>1.87</v>
      </c>
      <c r="I10" s="46">
        <v>2.0699999999999998</v>
      </c>
      <c r="J10" s="47">
        <v>1.87</v>
      </c>
      <c r="K10" s="48">
        <v>2.0699999999999998</v>
      </c>
      <c r="L10" s="46">
        <v>1.87</v>
      </c>
      <c r="M10" s="430"/>
      <c r="N10" s="413"/>
      <c r="O10" s="36"/>
    </row>
    <row r="11" spans="1:15">
      <c r="A11" s="36"/>
      <c r="B11" s="427" t="s">
        <v>133</v>
      </c>
      <c r="C11" s="428"/>
      <c r="D11" s="429"/>
      <c r="E11" s="46">
        <v>0.03</v>
      </c>
      <c r="F11" s="47">
        <v>0.03</v>
      </c>
      <c r="G11" s="48">
        <v>0.22</v>
      </c>
      <c r="H11" s="47">
        <v>0.22</v>
      </c>
      <c r="I11" s="46">
        <v>0.03</v>
      </c>
      <c r="J11" s="47">
        <v>0.03</v>
      </c>
      <c r="K11" s="48">
        <v>0.03</v>
      </c>
      <c r="L11" s="46">
        <v>0.03</v>
      </c>
      <c r="M11" s="430"/>
      <c r="N11" s="413"/>
      <c r="O11" s="36"/>
    </row>
    <row r="12" spans="1:15">
      <c r="A12" s="36"/>
      <c r="B12" s="49" t="s">
        <v>134</v>
      </c>
      <c r="C12" s="50"/>
      <c r="D12" s="51"/>
      <c r="E12" s="46" t="s">
        <v>124</v>
      </c>
      <c r="F12" s="47" t="s">
        <v>124</v>
      </c>
      <c r="G12" s="48" t="s">
        <v>124</v>
      </c>
      <c r="H12" s="47" t="s">
        <v>124</v>
      </c>
      <c r="I12" s="46" t="s">
        <v>124</v>
      </c>
      <c r="J12" s="47" t="s">
        <v>124</v>
      </c>
      <c r="K12" s="48" t="s">
        <v>124</v>
      </c>
      <c r="L12" s="46" t="s">
        <v>124</v>
      </c>
      <c r="M12" s="430"/>
      <c r="N12" s="413"/>
      <c r="O12" s="36"/>
    </row>
    <row r="13" spans="1:15" ht="13.5" thickBot="1">
      <c r="A13" s="36"/>
      <c r="B13" s="436" t="s">
        <v>139</v>
      </c>
      <c r="C13" s="437"/>
      <c r="D13" s="438"/>
      <c r="E13" s="52">
        <f t="shared" ref="E13:L13" si="0">SUM(E7:E12)</f>
        <v>9.92</v>
      </c>
      <c r="F13" s="53">
        <f t="shared" si="0"/>
        <v>7.6800000000000006</v>
      </c>
      <c r="G13" s="52">
        <f t="shared" si="0"/>
        <v>10.47</v>
      </c>
      <c r="H13" s="53">
        <f t="shared" si="0"/>
        <v>8.2300000000000022</v>
      </c>
      <c r="I13" s="52">
        <f t="shared" si="0"/>
        <v>8.27</v>
      </c>
      <c r="J13" s="53">
        <f t="shared" si="0"/>
        <v>6.03</v>
      </c>
      <c r="K13" s="52">
        <f t="shared" si="0"/>
        <v>8.8199999999999985</v>
      </c>
      <c r="L13" s="53">
        <f t="shared" si="0"/>
        <v>6.58</v>
      </c>
      <c r="M13" s="439">
        <f>SUM(M7:N12)</f>
        <v>0</v>
      </c>
      <c r="N13" s="440"/>
      <c r="O13" s="36"/>
    </row>
    <row r="14" spans="1:15">
      <c r="A14" s="36"/>
      <c r="B14" s="49" t="s">
        <v>137</v>
      </c>
      <c r="C14" s="50"/>
      <c r="D14" s="51"/>
      <c r="E14" s="45">
        <v>0.26</v>
      </c>
      <c r="F14" s="44">
        <v>0.12</v>
      </c>
      <c r="G14" s="46">
        <v>0.26</v>
      </c>
      <c r="H14" s="46">
        <v>0.12</v>
      </c>
      <c r="I14" s="45">
        <v>0.26</v>
      </c>
      <c r="J14" s="44">
        <v>0.12</v>
      </c>
      <c r="K14" s="45">
        <v>0.26</v>
      </c>
      <c r="L14" s="44">
        <v>0.12</v>
      </c>
      <c r="M14" s="441"/>
      <c r="N14" s="442"/>
      <c r="O14" s="36"/>
    </row>
    <row r="15" spans="1:15">
      <c r="A15" s="36"/>
      <c r="B15" s="49" t="s">
        <v>133</v>
      </c>
      <c r="C15" s="50"/>
      <c r="D15" s="51"/>
      <c r="E15" s="48">
        <v>0.19</v>
      </c>
      <c r="F15" s="47">
        <v>0.19</v>
      </c>
      <c r="G15" s="46" t="s">
        <v>124</v>
      </c>
      <c r="H15" s="46" t="s">
        <v>124</v>
      </c>
      <c r="I15" s="48">
        <v>0.14000000000000001</v>
      </c>
      <c r="J15" s="47">
        <v>0.14000000000000001</v>
      </c>
      <c r="K15" s="48">
        <v>0.14000000000000001</v>
      </c>
      <c r="L15" s="47">
        <v>0.14000000000000001</v>
      </c>
      <c r="M15" s="430"/>
      <c r="N15" s="413"/>
      <c r="O15" s="36"/>
    </row>
    <row r="16" spans="1:15">
      <c r="A16" s="36"/>
      <c r="B16" s="49" t="s">
        <v>138</v>
      </c>
      <c r="C16" s="50"/>
      <c r="D16" s="51"/>
      <c r="E16" s="48">
        <v>1.98</v>
      </c>
      <c r="F16" s="47">
        <v>0</v>
      </c>
      <c r="G16" s="46">
        <v>1.98</v>
      </c>
      <c r="H16" s="46">
        <v>0</v>
      </c>
      <c r="I16" s="48">
        <v>1.98</v>
      </c>
      <c r="J16" s="47">
        <v>0</v>
      </c>
      <c r="K16" s="48">
        <v>1.98</v>
      </c>
      <c r="L16" s="47">
        <v>0</v>
      </c>
      <c r="M16" s="430"/>
      <c r="N16" s="413"/>
      <c r="O16" s="36"/>
    </row>
    <row r="17" spans="1:15">
      <c r="A17" s="36"/>
      <c r="B17" s="49" t="s">
        <v>14</v>
      </c>
      <c r="C17" s="50"/>
      <c r="D17" s="51"/>
      <c r="E17" s="48">
        <v>0.14000000000000001</v>
      </c>
      <c r="F17" s="47">
        <v>0.14000000000000001</v>
      </c>
      <c r="G17" s="46">
        <v>0.14000000000000001</v>
      </c>
      <c r="H17" s="46">
        <v>0.14000000000000001</v>
      </c>
      <c r="I17" s="48">
        <v>0.14000000000000001</v>
      </c>
      <c r="J17" s="47">
        <v>0.14000000000000001</v>
      </c>
      <c r="K17" s="48">
        <v>0.14000000000000001</v>
      </c>
      <c r="L17" s="47">
        <v>0.14000000000000001</v>
      </c>
      <c r="M17" s="430"/>
      <c r="N17" s="413"/>
      <c r="O17" s="36"/>
    </row>
    <row r="18" spans="1:15">
      <c r="A18" s="36"/>
      <c r="B18" s="49" t="s">
        <v>13</v>
      </c>
      <c r="C18" s="50"/>
      <c r="D18" s="51"/>
      <c r="E18" s="48">
        <v>0.36</v>
      </c>
      <c r="F18" s="47">
        <v>0.36</v>
      </c>
      <c r="G18" s="46">
        <v>0.2</v>
      </c>
      <c r="H18" s="46">
        <v>0.2</v>
      </c>
      <c r="I18" s="48">
        <v>0.19</v>
      </c>
      <c r="J18" s="47">
        <v>0.19</v>
      </c>
      <c r="K18" s="48">
        <v>0.19</v>
      </c>
      <c r="L18" s="47">
        <v>0.19</v>
      </c>
      <c r="M18" s="430"/>
      <c r="N18" s="413"/>
      <c r="O18" s="36"/>
    </row>
    <row r="19" spans="1:15">
      <c r="A19" s="36"/>
      <c r="B19" s="49" t="s">
        <v>134</v>
      </c>
      <c r="C19" s="50"/>
      <c r="D19" s="51"/>
      <c r="E19" s="48" t="s">
        <v>124</v>
      </c>
      <c r="F19" s="47" t="s">
        <v>124</v>
      </c>
      <c r="G19" s="46" t="s">
        <v>124</v>
      </c>
      <c r="H19" s="46" t="s">
        <v>124</v>
      </c>
      <c r="I19" s="48" t="s">
        <v>124</v>
      </c>
      <c r="J19" s="47" t="s">
        <v>124</v>
      </c>
      <c r="K19" s="48" t="s">
        <v>124</v>
      </c>
      <c r="L19" s="47" t="s">
        <v>124</v>
      </c>
      <c r="M19" s="430"/>
      <c r="N19" s="413"/>
      <c r="O19" s="36"/>
    </row>
    <row r="20" spans="1:15" ht="13.5" thickBot="1">
      <c r="A20" s="36"/>
      <c r="B20" s="433" t="s">
        <v>141</v>
      </c>
      <c r="C20" s="434"/>
      <c r="D20" s="435"/>
      <c r="E20" s="54">
        <f>SUM(E14:E19)</f>
        <v>2.93</v>
      </c>
      <c r="F20" s="53">
        <f>SUM(F14:F19)</f>
        <v>0.81</v>
      </c>
      <c r="G20" s="55" t="s">
        <v>142</v>
      </c>
      <c r="H20" s="55" t="s">
        <v>142</v>
      </c>
      <c r="I20" s="54">
        <f>SUM(I14:I19)</f>
        <v>2.71</v>
      </c>
      <c r="J20" s="53">
        <f>SUM(J14:J19)</f>
        <v>0.59000000000000008</v>
      </c>
      <c r="K20" s="54">
        <f>SUM(K14:K19)</f>
        <v>2.71</v>
      </c>
      <c r="L20" s="53">
        <f>SUM(L14:L19)</f>
        <v>0.59000000000000008</v>
      </c>
      <c r="M20" s="431">
        <f>SUM(M14:N19)</f>
        <v>0</v>
      </c>
      <c r="N20" s="432"/>
      <c r="O20" s="36"/>
    </row>
    <row r="21" spans="1:15">
      <c r="A21" s="36"/>
      <c r="B21" s="385" t="s">
        <v>140</v>
      </c>
      <c r="C21" s="386"/>
      <c r="D21" s="386"/>
      <c r="E21" s="45">
        <f t="shared" ref="E21:M21" si="1">SUM(E13,E20)</f>
        <v>12.85</v>
      </c>
      <c r="F21" s="44">
        <f t="shared" si="1"/>
        <v>8.49</v>
      </c>
      <c r="G21" s="45">
        <f t="shared" si="1"/>
        <v>10.47</v>
      </c>
      <c r="H21" s="43">
        <f t="shared" si="1"/>
        <v>8.2300000000000022</v>
      </c>
      <c r="I21" s="45">
        <f t="shared" si="1"/>
        <v>10.98</v>
      </c>
      <c r="J21" s="43">
        <f t="shared" si="1"/>
        <v>6.62</v>
      </c>
      <c r="K21" s="45">
        <f t="shared" si="1"/>
        <v>11.529999999999998</v>
      </c>
      <c r="L21" s="44">
        <f t="shared" si="1"/>
        <v>7.17</v>
      </c>
      <c r="M21" s="387">
        <f t="shared" si="1"/>
        <v>0</v>
      </c>
      <c r="N21" s="388"/>
      <c r="O21" s="36"/>
    </row>
    <row r="22" spans="1:15" ht="13.5" thickBot="1">
      <c r="A22" s="36"/>
      <c r="B22" s="398" t="s">
        <v>15</v>
      </c>
      <c r="C22" s="399"/>
      <c r="D22" s="399"/>
      <c r="E22" s="62">
        <f t="shared" ref="E22:M22" si="2">E21*0.1</f>
        <v>1.2850000000000001</v>
      </c>
      <c r="F22" s="63">
        <f t="shared" si="2"/>
        <v>0.84900000000000009</v>
      </c>
      <c r="G22" s="62">
        <f t="shared" si="2"/>
        <v>1.0470000000000002</v>
      </c>
      <c r="H22" s="63">
        <f t="shared" si="2"/>
        <v>0.82300000000000029</v>
      </c>
      <c r="I22" s="62">
        <f t="shared" si="2"/>
        <v>1.0980000000000001</v>
      </c>
      <c r="J22" s="63">
        <f t="shared" si="2"/>
        <v>0.66200000000000003</v>
      </c>
      <c r="K22" s="62">
        <f t="shared" si="2"/>
        <v>1.1529999999999998</v>
      </c>
      <c r="L22" s="63">
        <f t="shared" si="2"/>
        <v>0.71700000000000008</v>
      </c>
      <c r="M22" s="400">
        <f t="shared" si="2"/>
        <v>0</v>
      </c>
      <c r="N22" s="401"/>
      <c r="O22" s="36"/>
    </row>
    <row r="23" spans="1:15" ht="13.5" thickBot="1">
      <c r="A23" s="36"/>
      <c r="B23" s="402" t="s">
        <v>146</v>
      </c>
      <c r="C23" s="403"/>
      <c r="D23" s="403"/>
      <c r="E23" s="58">
        <f>SUM(E21:E22)</f>
        <v>14.135</v>
      </c>
      <c r="F23" s="59">
        <f t="shared" ref="F23:L23" si="3">SUM(F21:F22)</f>
        <v>9.3390000000000004</v>
      </c>
      <c r="G23" s="58">
        <f t="shared" si="3"/>
        <v>11.517000000000001</v>
      </c>
      <c r="H23" s="59">
        <f t="shared" si="3"/>
        <v>9.0530000000000026</v>
      </c>
      <c r="I23" s="58">
        <f t="shared" si="3"/>
        <v>12.078000000000001</v>
      </c>
      <c r="J23" s="60">
        <f t="shared" si="3"/>
        <v>7.282</v>
      </c>
      <c r="K23" s="61">
        <f t="shared" si="3"/>
        <v>12.682999999999998</v>
      </c>
      <c r="L23" s="61">
        <f t="shared" si="3"/>
        <v>7.8870000000000005</v>
      </c>
      <c r="M23" s="404">
        <f>SUM(M21:N22)</f>
        <v>0</v>
      </c>
      <c r="N23" s="405"/>
      <c r="O23" s="36"/>
    </row>
    <row r="24" spans="1:15" ht="13.5" thickBot="1">
      <c r="A24" s="36"/>
      <c r="B24" s="36"/>
      <c r="C24" s="36"/>
      <c r="D24" s="36"/>
      <c r="E24" s="36"/>
      <c r="F24" s="36"/>
      <c r="G24" s="36"/>
      <c r="H24" s="36"/>
      <c r="I24" s="36"/>
      <c r="J24" s="36"/>
      <c r="K24" s="36"/>
      <c r="L24" s="36"/>
      <c r="M24" s="36"/>
      <c r="N24" s="36"/>
      <c r="O24" s="36"/>
    </row>
    <row r="25" spans="1:15" ht="13.5" thickBot="1">
      <c r="A25" s="36"/>
      <c r="B25" s="97"/>
      <c r="C25" s="419" t="s">
        <v>16</v>
      </c>
      <c r="D25" s="420"/>
      <c r="E25" s="420"/>
      <c r="F25" s="420"/>
      <c r="G25" s="421"/>
      <c r="H25" s="410">
        <f>SUM(M23)</f>
        <v>0</v>
      </c>
      <c r="I25" s="411"/>
      <c r="J25" s="36"/>
      <c r="K25" s="56"/>
      <c r="L25" s="57" t="s">
        <v>191</v>
      </c>
      <c r="M25" s="408">
        <f>SUM(H25*H26)</f>
        <v>0</v>
      </c>
      <c r="N25" s="409"/>
      <c r="O25" s="36"/>
    </row>
    <row r="26" spans="1:15" ht="13.5" thickBot="1">
      <c r="A26" s="36"/>
      <c r="B26" s="97"/>
      <c r="C26" s="387" t="s">
        <v>1</v>
      </c>
      <c r="D26" s="417"/>
      <c r="E26" s="417"/>
      <c r="F26" s="417"/>
      <c r="G26" s="418"/>
      <c r="H26" s="412"/>
      <c r="I26" s="413"/>
      <c r="J26" s="36"/>
      <c r="K26" s="36"/>
      <c r="L26" s="36"/>
      <c r="M26" s="36"/>
      <c r="N26" s="36"/>
      <c r="O26" s="36"/>
    </row>
    <row r="27" spans="1:15" ht="13.5" thickBot="1">
      <c r="A27" s="36"/>
      <c r="B27" s="97"/>
      <c r="C27" s="414" t="s">
        <v>3</v>
      </c>
      <c r="D27" s="415"/>
      <c r="E27" s="415"/>
      <c r="F27" s="415"/>
      <c r="G27" s="416"/>
      <c r="H27" s="406"/>
      <c r="I27" s="407"/>
      <c r="J27" s="36"/>
      <c r="K27" s="56"/>
      <c r="L27" s="57" t="s">
        <v>192</v>
      </c>
      <c r="M27" s="408">
        <f>SUM(H25*H26*H27)</f>
        <v>0</v>
      </c>
      <c r="N27" s="409"/>
      <c r="O27" s="36"/>
    </row>
    <row r="28" spans="1:15" ht="13.5" thickBot="1">
      <c r="A28" s="36"/>
      <c r="B28" s="36"/>
      <c r="C28" s="36"/>
      <c r="D28" s="36"/>
      <c r="E28" s="36"/>
      <c r="F28" s="36"/>
      <c r="G28" s="36"/>
      <c r="H28" s="36"/>
      <c r="I28" s="36"/>
      <c r="J28" s="36"/>
      <c r="K28" s="36"/>
      <c r="L28" s="36"/>
      <c r="M28" s="36"/>
      <c r="N28" s="36"/>
      <c r="O28" s="36"/>
    </row>
    <row r="29" spans="1:15" ht="13.5" thickBot="1">
      <c r="A29" s="36"/>
      <c r="B29" s="36"/>
      <c r="C29" s="88"/>
      <c r="D29" s="90"/>
      <c r="E29" s="89" t="s">
        <v>190</v>
      </c>
      <c r="F29" s="381">
        <f>M25*0.00378541178</f>
        <v>0</v>
      </c>
      <c r="G29" s="382"/>
      <c r="H29" s="92"/>
      <c r="I29" s="92"/>
      <c r="J29" s="36"/>
      <c r="K29" s="383" t="s">
        <v>196</v>
      </c>
      <c r="L29" s="384"/>
      <c r="M29" s="381">
        <f>M25*3.8</f>
        <v>0</v>
      </c>
      <c r="N29" s="382"/>
      <c r="O29" s="36"/>
    </row>
    <row r="30" spans="1:15" ht="13.5" thickBot="1">
      <c r="A30" s="36"/>
      <c r="B30" s="36"/>
      <c r="C30" s="36"/>
      <c r="D30" s="36"/>
      <c r="E30" s="36"/>
      <c r="F30" s="91"/>
      <c r="G30" s="36"/>
      <c r="H30" s="36"/>
      <c r="I30" s="36"/>
      <c r="J30" s="36"/>
      <c r="K30" s="36"/>
      <c r="L30" s="36"/>
      <c r="M30" s="91"/>
      <c r="N30" s="36"/>
      <c r="O30" s="36"/>
    </row>
    <row r="31" spans="1:15" ht="13.5" thickBot="1">
      <c r="B31" s="36"/>
      <c r="C31" s="88"/>
      <c r="D31" s="90"/>
      <c r="E31" s="89" t="s">
        <v>189</v>
      </c>
      <c r="F31" s="381">
        <f>M27*0.00378541178</f>
        <v>0</v>
      </c>
      <c r="G31" s="382"/>
      <c r="H31" s="92"/>
      <c r="I31" s="92"/>
      <c r="J31" s="36"/>
      <c r="K31" s="383" t="s">
        <v>197</v>
      </c>
      <c r="L31" s="384"/>
      <c r="M31" s="381">
        <f>M27*3.8</f>
        <v>0</v>
      </c>
      <c r="N31" s="382"/>
      <c r="O31" s="36"/>
    </row>
    <row r="32" spans="1:15" ht="13.5" thickBot="1">
      <c r="A32" s="36"/>
      <c r="B32" s="36"/>
      <c r="C32" s="36"/>
      <c r="D32" s="36"/>
      <c r="E32" s="36"/>
      <c r="F32" s="36"/>
      <c r="G32" s="36"/>
      <c r="H32" s="36"/>
      <c r="I32" s="36"/>
      <c r="J32" s="36"/>
      <c r="K32" s="36"/>
      <c r="L32" s="36"/>
      <c r="M32" s="36"/>
      <c r="N32" s="36"/>
      <c r="O32" s="36"/>
    </row>
    <row r="33" spans="1:15" ht="13.5" customHeight="1">
      <c r="A33" s="36"/>
      <c r="B33" s="389" t="s">
        <v>193</v>
      </c>
      <c r="C33" s="390"/>
      <c r="D33" s="390"/>
      <c r="E33" s="390"/>
      <c r="F33" s="390"/>
      <c r="G33" s="390"/>
      <c r="H33" s="390"/>
      <c r="I33" s="390"/>
      <c r="J33" s="390"/>
      <c r="K33" s="390"/>
      <c r="L33" s="390"/>
      <c r="M33" s="390"/>
      <c r="N33" s="391"/>
      <c r="O33" s="36"/>
    </row>
    <row r="34" spans="1:15" ht="12.75" customHeight="1">
      <c r="A34" s="36"/>
      <c r="B34" s="392"/>
      <c r="C34" s="393"/>
      <c r="D34" s="393"/>
      <c r="E34" s="393"/>
      <c r="F34" s="393"/>
      <c r="G34" s="393"/>
      <c r="H34" s="393"/>
      <c r="I34" s="393"/>
      <c r="J34" s="393"/>
      <c r="K34" s="393"/>
      <c r="L34" s="393"/>
      <c r="M34" s="393"/>
      <c r="N34" s="394"/>
      <c r="O34" s="36"/>
    </row>
    <row r="35" spans="1:15" ht="12.75" customHeight="1">
      <c r="A35" s="36"/>
      <c r="B35" s="392"/>
      <c r="C35" s="393"/>
      <c r="D35" s="393"/>
      <c r="E35" s="393"/>
      <c r="F35" s="393"/>
      <c r="G35" s="393"/>
      <c r="H35" s="393"/>
      <c r="I35" s="393"/>
      <c r="J35" s="393"/>
      <c r="K35" s="393"/>
      <c r="L35" s="393"/>
      <c r="M35" s="393"/>
      <c r="N35" s="394"/>
      <c r="O35" s="36"/>
    </row>
    <row r="36" spans="1:15" ht="12.75" customHeight="1">
      <c r="A36" s="36"/>
      <c r="B36" s="392"/>
      <c r="C36" s="393"/>
      <c r="D36" s="393"/>
      <c r="E36" s="393"/>
      <c r="F36" s="393"/>
      <c r="G36" s="393"/>
      <c r="H36" s="393"/>
      <c r="I36" s="393"/>
      <c r="J36" s="393"/>
      <c r="K36" s="393"/>
      <c r="L36" s="393"/>
      <c r="M36" s="393"/>
      <c r="N36" s="394"/>
      <c r="O36" s="36"/>
    </row>
    <row r="37" spans="1:15" ht="12.75" customHeight="1">
      <c r="A37" s="36"/>
      <c r="B37" s="392"/>
      <c r="C37" s="393"/>
      <c r="D37" s="393"/>
      <c r="E37" s="393"/>
      <c r="F37" s="393"/>
      <c r="G37" s="393"/>
      <c r="H37" s="393"/>
      <c r="I37" s="393"/>
      <c r="J37" s="393"/>
      <c r="K37" s="393"/>
      <c r="L37" s="393"/>
      <c r="M37" s="393"/>
      <c r="N37" s="394"/>
      <c r="O37" s="36"/>
    </row>
    <row r="38" spans="1:15" ht="12.75" customHeight="1">
      <c r="A38" s="36"/>
      <c r="B38" s="392"/>
      <c r="C38" s="393"/>
      <c r="D38" s="393"/>
      <c r="E38" s="393"/>
      <c r="F38" s="393"/>
      <c r="G38" s="393"/>
      <c r="H38" s="393"/>
      <c r="I38" s="393"/>
      <c r="J38" s="393"/>
      <c r="K38" s="393"/>
      <c r="L38" s="393"/>
      <c r="M38" s="393"/>
      <c r="N38" s="394"/>
      <c r="O38" s="36"/>
    </row>
    <row r="39" spans="1:15" ht="12.75" customHeight="1">
      <c r="A39" s="36"/>
      <c r="B39" s="392"/>
      <c r="C39" s="393"/>
      <c r="D39" s="393"/>
      <c r="E39" s="393"/>
      <c r="F39" s="393"/>
      <c r="G39" s="393"/>
      <c r="H39" s="393"/>
      <c r="I39" s="393"/>
      <c r="J39" s="393"/>
      <c r="K39" s="393"/>
      <c r="L39" s="393"/>
      <c r="M39" s="393"/>
      <c r="N39" s="394"/>
      <c r="O39" s="36"/>
    </row>
    <row r="40" spans="1:15" ht="12.75" customHeight="1">
      <c r="A40" s="36"/>
      <c r="B40" s="392"/>
      <c r="C40" s="393"/>
      <c r="D40" s="393"/>
      <c r="E40" s="393"/>
      <c r="F40" s="393"/>
      <c r="G40" s="393"/>
      <c r="H40" s="393"/>
      <c r="I40" s="393"/>
      <c r="J40" s="393"/>
      <c r="K40" s="393"/>
      <c r="L40" s="393"/>
      <c r="M40" s="393"/>
      <c r="N40" s="394"/>
      <c r="O40" s="36"/>
    </row>
    <row r="41" spans="1:15" ht="13.5" customHeight="1" thickBot="1">
      <c r="A41" s="36"/>
      <c r="B41" s="395"/>
      <c r="C41" s="396"/>
      <c r="D41" s="396"/>
      <c r="E41" s="396"/>
      <c r="F41" s="396"/>
      <c r="G41" s="396"/>
      <c r="H41" s="396"/>
      <c r="I41" s="396"/>
      <c r="J41" s="396"/>
      <c r="K41" s="396"/>
      <c r="L41" s="396"/>
      <c r="M41" s="396"/>
      <c r="N41" s="397"/>
      <c r="O41" s="36"/>
    </row>
    <row r="42" spans="1:15" s="38" customFormat="1" ht="13.5" customHeight="1">
      <c r="A42" s="36"/>
      <c r="B42" s="93"/>
      <c r="C42" s="93"/>
      <c r="D42" s="93"/>
      <c r="E42" s="93"/>
      <c r="F42" s="93"/>
      <c r="G42" s="93"/>
      <c r="H42" s="93"/>
      <c r="I42" s="93"/>
      <c r="J42" s="93"/>
      <c r="K42" s="93"/>
      <c r="L42" s="93"/>
      <c r="M42" s="93"/>
      <c r="N42" s="93"/>
      <c r="O42" s="93"/>
    </row>
  </sheetData>
  <mergeCells count="52">
    <mergeCell ref="B2:N2"/>
    <mergeCell ref="B3:D3"/>
    <mergeCell ref="E3:N3"/>
    <mergeCell ref="E5:F5"/>
    <mergeCell ref="G5:H5"/>
    <mergeCell ref="E4:H4"/>
    <mergeCell ref="I4:J5"/>
    <mergeCell ref="K4:L5"/>
    <mergeCell ref="M4:N6"/>
    <mergeCell ref="B4:D6"/>
    <mergeCell ref="M17:N17"/>
    <mergeCell ref="M20:N20"/>
    <mergeCell ref="B8:D8"/>
    <mergeCell ref="M8:N8"/>
    <mergeCell ref="B9:D9"/>
    <mergeCell ref="M9:N9"/>
    <mergeCell ref="B10:D10"/>
    <mergeCell ref="M10:N10"/>
    <mergeCell ref="B20:D20"/>
    <mergeCell ref="B13:D13"/>
    <mergeCell ref="M13:N13"/>
    <mergeCell ref="M18:N18"/>
    <mergeCell ref="M19:N19"/>
    <mergeCell ref="M14:N14"/>
    <mergeCell ref="M15:N15"/>
    <mergeCell ref="M16:N16"/>
    <mergeCell ref="B7:D7"/>
    <mergeCell ref="M7:N7"/>
    <mergeCell ref="B11:D11"/>
    <mergeCell ref="M11:N11"/>
    <mergeCell ref="M12:N12"/>
    <mergeCell ref="B33:N41"/>
    <mergeCell ref="B22:D22"/>
    <mergeCell ref="M22:N22"/>
    <mergeCell ref="B23:D23"/>
    <mergeCell ref="M23:N23"/>
    <mergeCell ref="H27:I27"/>
    <mergeCell ref="M27:N27"/>
    <mergeCell ref="H25:I25"/>
    <mergeCell ref="M25:N25"/>
    <mergeCell ref="H26:I26"/>
    <mergeCell ref="C27:G27"/>
    <mergeCell ref="C26:G26"/>
    <mergeCell ref="C25:G25"/>
    <mergeCell ref="F29:G29"/>
    <mergeCell ref="F31:G31"/>
    <mergeCell ref="M29:N29"/>
    <mergeCell ref="M31:N31"/>
    <mergeCell ref="K31:L31"/>
    <mergeCell ref="K29:L29"/>
    <mergeCell ref="B21:D21"/>
    <mergeCell ref="M21:N21"/>
  </mergeCells>
  <printOptions horizontalCentered="1" verticalCentered="1"/>
  <pageMargins left="0" right="0.45" top="0" bottom="0" header="0" footer="0"/>
  <pageSetup scale="55" orientation="landscape" verticalDpi="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P77"/>
  <sheetViews>
    <sheetView workbookViewId="0">
      <selection activeCell="R1" sqref="R1"/>
    </sheetView>
  </sheetViews>
  <sheetFormatPr defaultColWidth="9.7109375" defaultRowHeight="12.75"/>
  <cols>
    <col min="1" max="1" width="3.7109375" customWidth="1"/>
    <col min="2" max="4" width="11.7109375" customWidth="1"/>
    <col min="6" max="6" width="11.42578125" customWidth="1"/>
    <col min="9" max="9" width="9.7109375" customWidth="1"/>
    <col min="10" max="13" width="10.7109375" customWidth="1"/>
    <col min="14" max="14" width="9.7109375" customWidth="1"/>
    <col min="15" max="15" width="3.7109375" customWidth="1"/>
  </cols>
  <sheetData>
    <row r="1" spans="1:16" ht="13.5" thickBot="1">
      <c r="A1" s="120"/>
      <c r="B1" s="120"/>
      <c r="C1" s="120"/>
      <c r="D1" s="120"/>
      <c r="E1" s="120"/>
      <c r="F1" s="120"/>
      <c r="G1" s="120"/>
      <c r="H1" s="120"/>
      <c r="I1" s="120"/>
      <c r="J1" s="120"/>
      <c r="K1" s="120"/>
      <c r="L1" s="120"/>
      <c r="M1" s="120"/>
      <c r="N1" s="120"/>
      <c r="O1" s="120"/>
    </row>
    <row r="2" spans="1:16" ht="24" customHeight="1" thickBot="1">
      <c r="A2" s="120"/>
      <c r="B2" s="472" t="s">
        <v>0</v>
      </c>
      <c r="C2" s="473"/>
      <c r="D2" s="473"/>
      <c r="E2" s="474" t="s">
        <v>222</v>
      </c>
      <c r="F2" s="474"/>
      <c r="G2" s="474"/>
      <c r="H2" s="474"/>
      <c r="I2" s="474"/>
      <c r="J2" s="474"/>
      <c r="K2" s="474"/>
      <c r="L2" s="474"/>
      <c r="M2" s="474"/>
      <c r="N2" s="475"/>
      <c r="O2" s="120"/>
    </row>
    <row r="3" spans="1:16">
      <c r="A3" s="120"/>
      <c r="B3" s="476" t="s">
        <v>1</v>
      </c>
      <c r="C3" s="477"/>
      <c r="D3" s="477"/>
      <c r="E3" s="477"/>
      <c r="F3" s="477"/>
      <c r="G3" s="478"/>
      <c r="H3" s="479"/>
      <c r="I3" s="121"/>
      <c r="J3" s="480" t="s">
        <v>223</v>
      </c>
      <c r="K3" s="474"/>
      <c r="L3" s="474"/>
      <c r="M3" s="475"/>
      <c r="N3" s="122"/>
      <c r="O3" s="123"/>
      <c r="P3" s="124"/>
    </row>
    <row r="4" spans="1:16">
      <c r="A4" s="120"/>
      <c r="B4" s="476" t="s">
        <v>2</v>
      </c>
      <c r="C4" s="477"/>
      <c r="D4" s="477"/>
      <c r="E4" s="477"/>
      <c r="F4" s="477"/>
      <c r="G4" s="479"/>
      <c r="H4" s="479"/>
      <c r="I4" s="121"/>
      <c r="J4" s="481"/>
      <c r="K4" s="482"/>
      <c r="L4" s="482"/>
      <c r="M4" s="483"/>
      <c r="N4" s="122"/>
      <c r="O4" s="123"/>
      <c r="P4" s="124"/>
    </row>
    <row r="5" spans="1:16">
      <c r="A5" s="120"/>
      <c r="B5" s="476" t="s">
        <v>3</v>
      </c>
      <c r="C5" s="477"/>
      <c r="D5" s="477"/>
      <c r="E5" s="477"/>
      <c r="F5" s="487"/>
      <c r="G5" s="479"/>
      <c r="H5" s="479"/>
      <c r="I5" s="121"/>
      <c r="J5" s="481"/>
      <c r="K5" s="482"/>
      <c r="L5" s="482"/>
      <c r="M5" s="483"/>
      <c r="N5" s="125"/>
      <c r="O5" s="120"/>
    </row>
    <row r="6" spans="1:16" ht="13.5" thickBot="1">
      <c r="A6" s="120"/>
      <c r="B6" s="126"/>
      <c r="C6" s="121"/>
      <c r="D6" s="121"/>
      <c r="E6" s="121"/>
      <c r="F6" s="121"/>
      <c r="G6" s="121"/>
      <c r="H6" s="121"/>
      <c r="I6" s="121"/>
      <c r="J6" s="484"/>
      <c r="K6" s="485"/>
      <c r="L6" s="485"/>
      <c r="M6" s="486"/>
      <c r="N6" s="125"/>
      <c r="O6" s="120"/>
    </row>
    <row r="7" spans="1:16" ht="15" customHeight="1" thickBot="1">
      <c r="A7" s="120"/>
      <c r="B7" s="126"/>
      <c r="C7" s="488" t="s">
        <v>224</v>
      </c>
      <c r="D7" s="489"/>
      <c r="E7" s="489"/>
      <c r="F7" s="490">
        <f>SUM(G3*G4*G5)</f>
        <v>0</v>
      </c>
      <c r="G7" s="490"/>
      <c r="H7" s="127"/>
      <c r="I7" s="121"/>
      <c r="J7" s="121"/>
      <c r="K7" s="128"/>
      <c r="L7" s="128"/>
      <c r="M7" s="128"/>
      <c r="N7" s="125"/>
      <c r="O7" s="120"/>
    </row>
    <row r="8" spans="1:16" ht="15" customHeight="1">
      <c r="A8" s="120"/>
      <c r="B8" s="126"/>
      <c r="C8" s="476" t="s">
        <v>4</v>
      </c>
      <c r="D8" s="477"/>
      <c r="E8" s="477"/>
      <c r="F8" s="491">
        <f>SUM(F7/12)</f>
        <v>0</v>
      </c>
      <c r="G8" s="491"/>
      <c r="H8" s="125"/>
      <c r="I8" s="121"/>
      <c r="J8" s="480" t="s">
        <v>365</v>
      </c>
      <c r="K8" s="474"/>
      <c r="L8" s="474"/>
      <c r="M8" s="475"/>
      <c r="N8" s="125"/>
      <c r="O8" s="120"/>
    </row>
    <row r="9" spans="1:16">
      <c r="A9" s="120"/>
      <c r="B9" s="126"/>
      <c r="C9" s="476" t="s">
        <v>5</v>
      </c>
      <c r="D9" s="477"/>
      <c r="E9" s="477"/>
      <c r="F9" s="492">
        <f>SUM(F8/48)</f>
        <v>0</v>
      </c>
      <c r="G9" s="492"/>
      <c r="H9" s="129"/>
      <c r="I9" s="121"/>
      <c r="J9" s="481"/>
      <c r="K9" s="482"/>
      <c r="L9" s="482"/>
      <c r="M9" s="483"/>
      <c r="N9" s="125"/>
      <c r="O9" s="120"/>
    </row>
    <row r="10" spans="1:16" ht="13.5" thickBot="1">
      <c r="A10" s="120"/>
      <c r="B10" s="126"/>
      <c r="C10" s="493" t="s">
        <v>6</v>
      </c>
      <c r="D10" s="494"/>
      <c r="E10" s="494"/>
      <c r="F10" s="495">
        <f>SUM(F9*917)</f>
        <v>0</v>
      </c>
      <c r="G10" s="495"/>
      <c r="H10" s="130" t="s">
        <v>7</v>
      </c>
      <c r="I10" s="121"/>
      <c r="J10" s="484"/>
      <c r="K10" s="485"/>
      <c r="L10" s="485"/>
      <c r="M10" s="486"/>
      <c r="N10" s="125"/>
      <c r="O10" s="120"/>
    </row>
    <row r="11" spans="1:16" ht="13.5" thickBot="1">
      <c r="A11" s="120"/>
      <c r="B11" s="131"/>
      <c r="C11" s="132"/>
      <c r="D11" s="133"/>
      <c r="E11" s="133"/>
      <c r="F11" s="133"/>
      <c r="G11" s="133"/>
      <c r="H11" s="132"/>
      <c r="I11" s="132"/>
      <c r="J11" s="132"/>
      <c r="K11" s="132"/>
      <c r="L11" s="132"/>
      <c r="M11" s="132"/>
      <c r="N11" s="134"/>
      <c r="O11" s="120"/>
    </row>
    <row r="12" spans="1:16" ht="13.5" thickBot="1">
      <c r="A12" s="120"/>
      <c r="B12" s="120"/>
      <c r="C12" s="120"/>
      <c r="D12" s="120"/>
      <c r="E12" s="120"/>
      <c r="F12" s="120"/>
      <c r="G12" s="120"/>
      <c r="H12" s="120"/>
      <c r="I12" s="120"/>
      <c r="J12" s="120"/>
      <c r="K12" s="120"/>
      <c r="L12" s="120"/>
      <c r="M12" s="120"/>
      <c r="N12" s="120"/>
      <c r="O12" s="120"/>
    </row>
    <row r="13" spans="1:16" ht="21.75" thickBot="1">
      <c r="A13" s="120"/>
      <c r="B13" s="496" t="s">
        <v>225</v>
      </c>
      <c r="C13" s="497"/>
      <c r="D13" s="497"/>
      <c r="E13" s="498" t="s">
        <v>222</v>
      </c>
      <c r="F13" s="498"/>
      <c r="G13" s="498"/>
      <c r="H13" s="498"/>
      <c r="I13" s="498"/>
      <c r="J13" s="498"/>
      <c r="K13" s="498"/>
      <c r="L13" s="498"/>
      <c r="M13" s="498"/>
      <c r="N13" s="499"/>
      <c r="O13" s="120"/>
    </row>
    <row r="14" spans="1:16">
      <c r="A14" s="120"/>
      <c r="B14" s="500" t="s">
        <v>1</v>
      </c>
      <c r="C14" s="501"/>
      <c r="D14" s="501"/>
      <c r="E14" s="501"/>
      <c r="F14" s="501"/>
      <c r="G14" s="502"/>
      <c r="H14" s="502"/>
      <c r="I14" s="135"/>
      <c r="J14" s="503" t="s">
        <v>364</v>
      </c>
      <c r="K14" s="498"/>
      <c r="L14" s="498"/>
      <c r="M14" s="499"/>
      <c r="N14" s="136"/>
      <c r="O14" s="120"/>
    </row>
    <row r="15" spans="1:16">
      <c r="A15" s="120"/>
      <c r="B15" s="500" t="s">
        <v>2</v>
      </c>
      <c r="C15" s="501"/>
      <c r="D15" s="501"/>
      <c r="E15" s="501"/>
      <c r="F15" s="501"/>
      <c r="G15" s="502"/>
      <c r="H15" s="502"/>
      <c r="I15" s="135"/>
      <c r="J15" s="504"/>
      <c r="K15" s="505"/>
      <c r="L15" s="505"/>
      <c r="M15" s="506"/>
      <c r="N15" s="136"/>
      <c r="O15" s="120"/>
    </row>
    <row r="16" spans="1:16">
      <c r="A16" s="120"/>
      <c r="B16" s="500" t="s">
        <v>3</v>
      </c>
      <c r="C16" s="501"/>
      <c r="D16" s="501"/>
      <c r="E16" s="501"/>
      <c r="F16" s="510"/>
      <c r="G16" s="502"/>
      <c r="H16" s="502"/>
      <c r="I16" s="135"/>
      <c r="J16" s="504"/>
      <c r="K16" s="505"/>
      <c r="L16" s="505"/>
      <c r="M16" s="506"/>
      <c r="N16" s="137"/>
      <c r="O16" s="120"/>
    </row>
    <row r="17" spans="1:15" ht="13.5" thickBot="1">
      <c r="A17" s="120"/>
      <c r="B17" s="138"/>
      <c r="C17" s="135"/>
      <c r="D17" s="135"/>
      <c r="E17" s="135"/>
      <c r="F17" s="135"/>
      <c r="G17" s="135"/>
      <c r="H17" s="135"/>
      <c r="I17" s="135"/>
      <c r="J17" s="507"/>
      <c r="K17" s="508"/>
      <c r="L17" s="508"/>
      <c r="M17" s="509"/>
      <c r="N17" s="137"/>
      <c r="O17" s="120"/>
    </row>
    <row r="18" spans="1:15" ht="13.5" thickBot="1">
      <c r="A18" s="120"/>
      <c r="B18" s="138"/>
      <c r="C18" s="511" t="s">
        <v>224</v>
      </c>
      <c r="D18" s="512"/>
      <c r="E18" s="512"/>
      <c r="F18" s="513">
        <f>SUM(G14*G15*G16)</f>
        <v>0</v>
      </c>
      <c r="G18" s="513"/>
      <c r="H18" s="139"/>
      <c r="I18" s="135"/>
      <c r="J18" s="135"/>
      <c r="K18" s="140"/>
      <c r="L18" s="140"/>
      <c r="M18" s="140"/>
      <c r="N18" s="137"/>
      <c r="O18" s="120"/>
    </row>
    <row r="19" spans="1:15">
      <c r="A19" s="120"/>
      <c r="B19" s="138"/>
      <c r="C19" s="500" t="s">
        <v>4</v>
      </c>
      <c r="D19" s="501"/>
      <c r="E19" s="501"/>
      <c r="F19" s="514">
        <f>SUM(F18/12)</f>
        <v>0</v>
      </c>
      <c r="G19" s="514"/>
      <c r="H19" s="137"/>
      <c r="I19" s="135"/>
      <c r="J19" s="503" t="s">
        <v>366</v>
      </c>
      <c r="K19" s="498"/>
      <c r="L19" s="498"/>
      <c r="M19" s="499"/>
      <c r="N19" s="137"/>
      <c r="O19" s="120"/>
    </row>
    <row r="20" spans="1:15">
      <c r="A20" s="120"/>
      <c r="B20" s="138"/>
      <c r="C20" s="500" t="s">
        <v>5</v>
      </c>
      <c r="D20" s="501"/>
      <c r="E20" s="501"/>
      <c r="F20" s="515">
        <f>SUM(F19/48)</f>
        <v>0</v>
      </c>
      <c r="G20" s="515"/>
      <c r="H20" s="141"/>
      <c r="I20" s="135"/>
      <c r="J20" s="504"/>
      <c r="K20" s="505"/>
      <c r="L20" s="505"/>
      <c r="M20" s="506"/>
      <c r="N20" s="137"/>
      <c r="O20" s="120"/>
    </row>
    <row r="21" spans="1:15" ht="13.5" thickBot="1">
      <c r="A21" s="120"/>
      <c r="B21" s="138"/>
      <c r="C21" s="516" t="s">
        <v>6</v>
      </c>
      <c r="D21" s="517"/>
      <c r="E21" s="517"/>
      <c r="F21" s="518">
        <f>SUM(F20*758)</f>
        <v>0</v>
      </c>
      <c r="G21" s="518"/>
      <c r="H21" s="142" t="s">
        <v>7</v>
      </c>
      <c r="I21" s="135"/>
      <c r="J21" s="507"/>
      <c r="K21" s="508"/>
      <c r="L21" s="508"/>
      <c r="M21" s="509"/>
      <c r="N21" s="137"/>
      <c r="O21" s="120"/>
    </row>
    <row r="22" spans="1:15" ht="13.5" thickBot="1">
      <c r="A22" s="120"/>
      <c r="B22" s="143"/>
      <c r="C22" s="144"/>
      <c r="D22" s="145"/>
      <c r="E22" s="145"/>
      <c r="F22" s="145"/>
      <c r="G22" s="145"/>
      <c r="H22" s="144"/>
      <c r="I22" s="144"/>
      <c r="J22" s="144"/>
      <c r="K22" s="144"/>
      <c r="L22" s="144"/>
      <c r="M22" s="144"/>
      <c r="N22" s="146"/>
      <c r="O22" s="120"/>
    </row>
    <row r="23" spans="1:15" ht="13.5" thickBot="1">
      <c r="A23" s="120"/>
      <c r="B23" s="120"/>
      <c r="C23" s="120"/>
      <c r="D23" s="120"/>
      <c r="E23" s="120"/>
      <c r="F23" s="120"/>
      <c r="G23" s="120"/>
      <c r="H23" s="120"/>
      <c r="I23" s="120"/>
      <c r="J23" s="120"/>
      <c r="K23" s="120"/>
      <c r="L23" s="120"/>
      <c r="M23" s="120"/>
      <c r="N23" s="120"/>
      <c r="O23" s="120"/>
    </row>
    <row r="24" spans="1:15" ht="21.75" customHeight="1" thickBot="1">
      <c r="A24" s="120"/>
      <c r="B24" s="519" t="s">
        <v>226</v>
      </c>
      <c r="C24" s="520"/>
      <c r="D24" s="520"/>
      <c r="E24" s="521" t="s">
        <v>222</v>
      </c>
      <c r="F24" s="521"/>
      <c r="G24" s="521"/>
      <c r="H24" s="521"/>
      <c r="I24" s="521"/>
      <c r="J24" s="521"/>
      <c r="K24" s="521"/>
      <c r="L24" s="521"/>
      <c r="M24" s="521"/>
      <c r="N24" s="522"/>
      <c r="O24" s="120"/>
    </row>
    <row r="25" spans="1:15" ht="12.75" customHeight="1">
      <c r="A25" s="120"/>
      <c r="B25" s="523" t="s">
        <v>1</v>
      </c>
      <c r="C25" s="524"/>
      <c r="D25" s="524"/>
      <c r="E25" s="524"/>
      <c r="F25" s="524"/>
      <c r="G25" s="502">
        <v>100</v>
      </c>
      <c r="H25" s="502"/>
      <c r="I25" s="147"/>
      <c r="J25" s="525" t="s">
        <v>363</v>
      </c>
      <c r="K25" s="521"/>
      <c r="L25" s="521"/>
      <c r="M25" s="522"/>
      <c r="N25" s="148"/>
      <c r="O25" s="120"/>
    </row>
    <row r="26" spans="1:15">
      <c r="A26" s="120"/>
      <c r="B26" s="523" t="s">
        <v>2</v>
      </c>
      <c r="C26" s="524"/>
      <c r="D26" s="524"/>
      <c r="E26" s="524"/>
      <c r="F26" s="524"/>
      <c r="G26" s="502">
        <v>1</v>
      </c>
      <c r="H26" s="502"/>
      <c r="I26" s="147"/>
      <c r="J26" s="526"/>
      <c r="K26" s="527"/>
      <c r="L26" s="527"/>
      <c r="M26" s="528"/>
      <c r="N26" s="148"/>
      <c r="O26" s="120"/>
    </row>
    <row r="27" spans="1:15">
      <c r="A27" s="120"/>
      <c r="B27" s="523" t="s">
        <v>3</v>
      </c>
      <c r="C27" s="524"/>
      <c r="D27" s="524"/>
      <c r="E27" s="524"/>
      <c r="F27" s="532"/>
      <c r="G27" s="502">
        <v>1</v>
      </c>
      <c r="H27" s="502"/>
      <c r="I27" s="147"/>
      <c r="J27" s="526"/>
      <c r="K27" s="527"/>
      <c r="L27" s="527"/>
      <c r="M27" s="528"/>
      <c r="N27" s="149"/>
      <c r="O27" s="120"/>
    </row>
    <row r="28" spans="1:15" ht="13.5" thickBot="1">
      <c r="A28" s="120"/>
      <c r="B28" s="150"/>
      <c r="C28" s="147"/>
      <c r="D28" s="147"/>
      <c r="E28" s="147"/>
      <c r="F28" s="147"/>
      <c r="G28" s="147"/>
      <c r="H28" s="147"/>
      <c r="I28" s="147"/>
      <c r="J28" s="529"/>
      <c r="K28" s="530"/>
      <c r="L28" s="530"/>
      <c r="M28" s="531"/>
      <c r="N28" s="149"/>
      <c r="O28" s="120"/>
    </row>
    <row r="29" spans="1:15" ht="13.5" thickBot="1">
      <c r="A29" s="120"/>
      <c r="B29" s="150"/>
      <c r="C29" s="533" t="s">
        <v>126</v>
      </c>
      <c r="D29" s="534"/>
      <c r="E29" s="534"/>
      <c r="F29" s="535">
        <f>SUM(G25*G26*G27)</f>
        <v>100</v>
      </c>
      <c r="G29" s="535"/>
      <c r="H29" s="151"/>
      <c r="I29" s="147"/>
      <c r="J29" s="147"/>
      <c r="K29" s="152"/>
      <c r="L29" s="152"/>
      <c r="M29" s="152"/>
      <c r="N29" s="149"/>
      <c r="O29" s="120"/>
    </row>
    <row r="30" spans="1:15" ht="12.75" customHeight="1">
      <c r="A30" s="120"/>
      <c r="B30" s="150"/>
      <c r="C30" s="523" t="s">
        <v>127</v>
      </c>
      <c r="D30" s="524"/>
      <c r="E30" s="524"/>
      <c r="F30" s="536">
        <f>SUM(F29/50)</f>
        <v>2</v>
      </c>
      <c r="G30" s="536"/>
      <c r="H30" s="149"/>
      <c r="I30" s="147"/>
      <c r="J30" s="525" t="s">
        <v>367</v>
      </c>
      <c r="K30" s="521"/>
      <c r="L30" s="521"/>
      <c r="M30" s="522"/>
      <c r="N30" s="149"/>
      <c r="O30" s="120"/>
    </row>
    <row r="31" spans="1:15" ht="13.5" thickBot="1">
      <c r="A31" s="120"/>
      <c r="B31" s="150"/>
      <c r="C31" s="523" t="s">
        <v>5</v>
      </c>
      <c r="D31" s="524"/>
      <c r="E31" s="524"/>
      <c r="F31" s="537">
        <f>SUM(F30/24)</f>
        <v>8.3333333333333329E-2</v>
      </c>
      <c r="G31" s="537"/>
      <c r="H31" s="153"/>
      <c r="I31" s="147"/>
      <c r="J31" s="526"/>
      <c r="K31" s="527"/>
      <c r="L31" s="527"/>
      <c r="M31" s="528"/>
      <c r="N31" s="149"/>
      <c r="O31" s="120"/>
    </row>
    <row r="32" spans="1:15" ht="13.5" thickBot="1">
      <c r="A32" s="120"/>
      <c r="B32" s="150"/>
      <c r="C32" s="538" t="s">
        <v>6</v>
      </c>
      <c r="D32" s="539"/>
      <c r="E32" s="539"/>
      <c r="F32" s="540">
        <f>SUM(F31*642)</f>
        <v>53.5</v>
      </c>
      <c r="G32" s="540"/>
      <c r="H32" s="154" t="s">
        <v>7</v>
      </c>
      <c r="I32" s="147"/>
      <c r="J32" s="541" t="s">
        <v>227</v>
      </c>
      <c r="K32" s="542"/>
      <c r="L32" s="542"/>
      <c r="M32" s="543"/>
      <c r="N32" s="149"/>
      <c r="O32" s="120"/>
    </row>
    <row r="33" spans="1:15" ht="13.5" thickBot="1">
      <c r="A33" s="120"/>
      <c r="B33" s="155"/>
      <c r="C33" s="156"/>
      <c r="D33" s="157"/>
      <c r="E33" s="157"/>
      <c r="F33" s="157"/>
      <c r="G33" s="157"/>
      <c r="H33" s="156"/>
      <c r="I33" s="156"/>
      <c r="J33" s="156"/>
      <c r="K33" s="156"/>
      <c r="L33" s="156"/>
      <c r="M33" s="156"/>
      <c r="N33" s="158"/>
      <c r="O33" s="120"/>
    </row>
    <row r="34" spans="1:15" ht="13.5" thickBot="1">
      <c r="A34" s="120"/>
      <c r="B34" s="120"/>
      <c r="C34" s="120"/>
      <c r="D34" s="120"/>
      <c r="E34" s="120"/>
      <c r="F34" s="120"/>
      <c r="G34" s="120"/>
      <c r="H34" s="120"/>
      <c r="I34" s="120"/>
      <c r="J34" s="120"/>
      <c r="K34" s="120"/>
      <c r="L34" s="120"/>
      <c r="M34" s="120"/>
      <c r="N34" s="120"/>
      <c r="O34" s="120"/>
    </row>
    <row r="35" spans="1:15" ht="21.75" customHeight="1" thickBot="1">
      <c r="A35" s="120"/>
      <c r="B35" s="544" t="s">
        <v>228</v>
      </c>
      <c r="C35" s="545"/>
      <c r="D35" s="545"/>
      <c r="E35" s="546" t="s">
        <v>222</v>
      </c>
      <c r="F35" s="546"/>
      <c r="G35" s="546"/>
      <c r="H35" s="546"/>
      <c r="I35" s="546"/>
      <c r="J35" s="546"/>
      <c r="K35" s="546"/>
      <c r="L35" s="546"/>
      <c r="M35" s="546"/>
      <c r="N35" s="547"/>
      <c r="O35" s="120"/>
    </row>
    <row r="36" spans="1:15" ht="12.75" customHeight="1">
      <c r="A36" s="120"/>
      <c r="B36" s="548" t="s">
        <v>1</v>
      </c>
      <c r="C36" s="549"/>
      <c r="D36" s="549"/>
      <c r="E36" s="549"/>
      <c r="F36" s="549"/>
      <c r="G36" s="502">
        <v>100</v>
      </c>
      <c r="H36" s="502"/>
      <c r="I36" s="159"/>
      <c r="J36" s="550" t="s">
        <v>229</v>
      </c>
      <c r="K36" s="546"/>
      <c r="L36" s="546"/>
      <c r="M36" s="547"/>
      <c r="N36" s="160"/>
      <c r="O36" s="120"/>
    </row>
    <row r="37" spans="1:15">
      <c r="A37" s="120"/>
      <c r="B37" s="548" t="s">
        <v>2</v>
      </c>
      <c r="C37" s="549"/>
      <c r="D37" s="549"/>
      <c r="E37" s="549"/>
      <c r="F37" s="549"/>
      <c r="G37" s="502">
        <v>1</v>
      </c>
      <c r="H37" s="502"/>
      <c r="I37" s="159"/>
      <c r="J37" s="551"/>
      <c r="K37" s="552"/>
      <c r="L37" s="552"/>
      <c r="M37" s="553"/>
      <c r="N37" s="160"/>
      <c r="O37" s="120"/>
    </row>
    <row r="38" spans="1:15">
      <c r="A38" s="120"/>
      <c r="B38" s="548" t="s">
        <v>3</v>
      </c>
      <c r="C38" s="549"/>
      <c r="D38" s="549"/>
      <c r="E38" s="549"/>
      <c r="F38" s="557"/>
      <c r="G38" s="502">
        <v>1</v>
      </c>
      <c r="H38" s="502"/>
      <c r="I38" s="159"/>
      <c r="J38" s="551"/>
      <c r="K38" s="552"/>
      <c r="L38" s="552"/>
      <c r="M38" s="553"/>
      <c r="N38" s="161"/>
      <c r="O38" s="120"/>
    </row>
    <row r="39" spans="1:15" ht="13.5" thickBot="1">
      <c r="A39" s="120"/>
      <c r="B39" s="162"/>
      <c r="C39" s="159"/>
      <c r="D39" s="159"/>
      <c r="E39" s="159"/>
      <c r="F39" s="159"/>
      <c r="G39" s="159"/>
      <c r="H39" s="159"/>
      <c r="I39" s="159"/>
      <c r="J39" s="554"/>
      <c r="K39" s="555"/>
      <c r="L39" s="555"/>
      <c r="M39" s="556"/>
      <c r="N39" s="161"/>
      <c r="O39" s="120"/>
    </row>
    <row r="40" spans="1:15" ht="13.5" thickBot="1">
      <c r="A40" s="120"/>
      <c r="B40" s="162"/>
      <c r="C40" s="568" t="s">
        <v>126</v>
      </c>
      <c r="D40" s="569"/>
      <c r="E40" s="569"/>
      <c r="F40" s="570">
        <f>SUM(G36*G37*G38)</f>
        <v>100</v>
      </c>
      <c r="G40" s="570"/>
      <c r="H40" s="163"/>
      <c r="I40" s="159"/>
      <c r="J40" s="159"/>
      <c r="K40" s="164"/>
      <c r="L40" s="164"/>
      <c r="M40" s="164"/>
      <c r="N40" s="161"/>
      <c r="O40" s="120"/>
    </row>
    <row r="41" spans="1:15" ht="12.75" customHeight="1">
      <c r="A41" s="120"/>
      <c r="B41" s="162"/>
      <c r="C41" s="548" t="s">
        <v>127</v>
      </c>
      <c r="D41" s="549"/>
      <c r="E41" s="549"/>
      <c r="F41" s="571">
        <f>SUM(F40/50)</f>
        <v>2</v>
      </c>
      <c r="G41" s="571"/>
      <c r="H41" s="161"/>
      <c r="I41" s="159"/>
      <c r="J41" s="550" t="s">
        <v>368</v>
      </c>
      <c r="K41" s="546"/>
      <c r="L41" s="546"/>
      <c r="M41" s="547"/>
      <c r="N41" s="161"/>
      <c r="O41" s="120"/>
    </row>
    <row r="42" spans="1:15" ht="13.5" thickBot="1">
      <c r="A42" s="120"/>
      <c r="B42" s="162"/>
      <c r="C42" s="548" t="s">
        <v>5</v>
      </c>
      <c r="D42" s="549"/>
      <c r="E42" s="549"/>
      <c r="F42" s="572">
        <f>SUM(F41/12)</f>
        <v>0.16666666666666666</v>
      </c>
      <c r="G42" s="572"/>
      <c r="H42" s="165"/>
      <c r="I42" s="159"/>
      <c r="J42" s="551"/>
      <c r="K42" s="552"/>
      <c r="L42" s="552"/>
      <c r="M42" s="553"/>
      <c r="N42" s="161"/>
      <c r="O42" s="120"/>
    </row>
    <row r="43" spans="1:15" ht="13.5" thickBot="1">
      <c r="A43" s="120"/>
      <c r="B43" s="162"/>
      <c r="C43" s="558" t="s">
        <v>6</v>
      </c>
      <c r="D43" s="559"/>
      <c r="E43" s="559"/>
      <c r="F43" s="560">
        <f>SUM(F42*844)</f>
        <v>140.66666666666666</v>
      </c>
      <c r="G43" s="560"/>
      <c r="H43" s="166" t="s">
        <v>7</v>
      </c>
      <c r="I43" s="159"/>
      <c r="J43" s="561" t="s">
        <v>230</v>
      </c>
      <c r="K43" s="562"/>
      <c r="L43" s="562"/>
      <c r="M43" s="563"/>
      <c r="N43" s="161"/>
      <c r="O43" s="120"/>
    </row>
    <row r="44" spans="1:15" ht="13.5" thickBot="1">
      <c r="A44" s="120"/>
      <c r="B44" s="167"/>
      <c r="C44" s="168"/>
      <c r="D44" s="169"/>
      <c r="E44" s="169"/>
      <c r="F44" s="169"/>
      <c r="G44" s="169"/>
      <c r="H44" s="168"/>
      <c r="I44" s="168"/>
      <c r="J44" s="168"/>
      <c r="K44" s="168"/>
      <c r="L44" s="168"/>
      <c r="M44" s="168"/>
      <c r="N44" s="170"/>
      <c r="O44" s="120"/>
    </row>
    <row r="45" spans="1:15" ht="13.5" thickBot="1">
      <c r="A45" s="120"/>
      <c r="B45" s="120"/>
      <c r="C45" s="120"/>
      <c r="D45" s="120"/>
      <c r="E45" s="120"/>
      <c r="F45" s="120"/>
      <c r="G45" s="120"/>
      <c r="H45" s="120"/>
      <c r="I45" s="120"/>
      <c r="J45" s="120"/>
      <c r="K45" s="120"/>
      <c r="L45" s="120"/>
      <c r="M45" s="120"/>
      <c r="N45" s="120"/>
      <c r="O45" s="120"/>
    </row>
    <row r="46" spans="1:15" ht="21.75" customHeight="1" thickBot="1">
      <c r="A46" s="120"/>
      <c r="B46" s="564" t="s">
        <v>231</v>
      </c>
      <c r="C46" s="565"/>
      <c r="D46" s="565"/>
      <c r="E46" s="566" t="s">
        <v>222</v>
      </c>
      <c r="F46" s="566"/>
      <c r="G46" s="566"/>
      <c r="H46" s="566"/>
      <c r="I46" s="566"/>
      <c r="J46" s="566"/>
      <c r="K46" s="566"/>
      <c r="L46" s="566"/>
      <c r="M46" s="566"/>
      <c r="N46" s="567"/>
      <c r="O46" s="120"/>
    </row>
    <row r="47" spans="1:15" ht="12.75" customHeight="1">
      <c r="A47" s="120"/>
      <c r="B47" s="576" t="s">
        <v>1</v>
      </c>
      <c r="C47" s="577"/>
      <c r="D47" s="577"/>
      <c r="E47" s="577"/>
      <c r="F47" s="577"/>
      <c r="G47" s="502">
        <v>0</v>
      </c>
      <c r="H47" s="502"/>
      <c r="I47" s="171"/>
      <c r="J47" s="579" t="s">
        <v>232</v>
      </c>
      <c r="K47" s="566"/>
      <c r="L47" s="566"/>
      <c r="M47" s="567"/>
      <c r="N47" s="172"/>
      <c r="O47" s="120"/>
    </row>
    <row r="48" spans="1:15">
      <c r="A48" s="120"/>
      <c r="B48" s="576" t="s">
        <v>2</v>
      </c>
      <c r="C48" s="577"/>
      <c r="D48" s="577"/>
      <c r="E48" s="577"/>
      <c r="F48" s="577"/>
      <c r="G48" s="502">
        <v>0</v>
      </c>
      <c r="H48" s="502"/>
      <c r="I48" s="171"/>
      <c r="J48" s="580"/>
      <c r="K48" s="581"/>
      <c r="L48" s="581"/>
      <c r="M48" s="582"/>
      <c r="N48" s="172"/>
      <c r="O48" s="120"/>
    </row>
    <row r="49" spans="1:15">
      <c r="A49" s="120"/>
      <c r="B49" s="576" t="s">
        <v>3</v>
      </c>
      <c r="C49" s="577"/>
      <c r="D49" s="577"/>
      <c r="E49" s="577"/>
      <c r="F49" s="587"/>
      <c r="G49" s="502">
        <v>0</v>
      </c>
      <c r="H49" s="502"/>
      <c r="I49" s="171"/>
      <c r="J49" s="580"/>
      <c r="K49" s="581"/>
      <c r="L49" s="581"/>
      <c r="M49" s="582"/>
      <c r="N49" s="173"/>
      <c r="O49" s="120"/>
    </row>
    <row r="50" spans="1:15" ht="13.5" thickBot="1">
      <c r="A50" s="120"/>
      <c r="B50" s="174"/>
      <c r="C50" s="171"/>
      <c r="D50" s="171"/>
      <c r="E50" s="171"/>
      <c r="F50" s="171"/>
      <c r="G50" s="171"/>
      <c r="H50" s="171"/>
      <c r="I50" s="171"/>
      <c r="J50" s="584"/>
      <c r="K50" s="585"/>
      <c r="L50" s="585"/>
      <c r="M50" s="586"/>
      <c r="N50" s="173"/>
      <c r="O50" s="120"/>
    </row>
    <row r="51" spans="1:15" ht="13.5" thickBot="1">
      <c r="A51" s="120"/>
      <c r="B51" s="174"/>
      <c r="C51" s="573" t="s">
        <v>126</v>
      </c>
      <c r="D51" s="574"/>
      <c r="E51" s="574"/>
      <c r="F51" s="575">
        <f>SUM(G47*G48*G49)</f>
        <v>0</v>
      </c>
      <c r="G51" s="575"/>
      <c r="H51" s="175"/>
      <c r="I51" s="171"/>
      <c r="J51" s="171"/>
      <c r="K51" s="176"/>
      <c r="L51" s="176"/>
      <c r="M51" s="176"/>
      <c r="N51" s="173"/>
      <c r="O51" s="120"/>
    </row>
    <row r="52" spans="1:15" ht="12.75" customHeight="1">
      <c r="A52" s="120"/>
      <c r="B52" s="174"/>
      <c r="C52" s="576" t="s">
        <v>127</v>
      </c>
      <c r="D52" s="577"/>
      <c r="E52" s="577"/>
      <c r="F52" s="578">
        <f>SUM(F51/50)</f>
        <v>0</v>
      </c>
      <c r="G52" s="578"/>
      <c r="H52" s="173"/>
      <c r="I52" s="171"/>
      <c r="J52" s="579" t="s">
        <v>369</v>
      </c>
      <c r="K52" s="566"/>
      <c r="L52" s="566"/>
      <c r="M52" s="567"/>
      <c r="N52" s="173"/>
      <c r="O52" s="120"/>
    </row>
    <row r="53" spans="1:15" ht="13.5" thickBot="1">
      <c r="A53" s="120"/>
      <c r="B53" s="174"/>
      <c r="C53" s="576" t="s">
        <v>5</v>
      </c>
      <c r="D53" s="577"/>
      <c r="E53" s="577"/>
      <c r="F53" s="583">
        <f>SUM(F52/8)</f>
        <v>0</v>
      </c>
      <c r="G53" s="583"/>
      <c r="H53" s="177"/>
      <c r="I53" s="171"/>
      <c r="J53" s="580"/>
      <c r="K53" s="581"/>
      <c r="L53" s="581"/>
      <c r="M53" s="582"/>
      <c r="N53" s="173"/>
      <c r="O53" s="120"/>
    </row>
    <row r="54" spans="1:15" ht="13.5" thickBot="1">
      <c r="A54" s="120"/>
      <c r="B54" s="174"/>
      <c r="C54" s="600" t="s">
        <v>6</v>
      </c>
      <c r="D54" s="601"/>
      <c r="E54" s="601"/>
      <c r="F54" s="602">
        <f>SUM(F53*1045)</f>
        <v>0</v>
      </c>
      <c r="G54" s="602"/>
      <c r="H54" s="178" t="s">
        <v>7</v>
      </c>
      <c r="I54" s="171"/>
      <c r="J54" s="603" t="s">
        <v>233</v>
      </c>
      <c r="K54" s="604"/>
      <c r="L54" s="604"/>
      <c r="M54" s="605"/>
      <c r="N54" s="173"/>
      <c r="O54" s="120"/>
    </row>
    <row r="55" spans="1:15" ht="13.5" thickBot="1">
      <c r="A55" s="120"/>
      <c r="B55" s="179"/>
      <c r="C55" s="180"/>
      <c r="D55" s="181"/>
      <c r="E55" s="181"/>
      <c r="F55" s="181"/>
      <c r="G55" s="181"/>
      <c r="H55" s="180"/>
      <c r="I55" s="180"/>
      <c r="J55" s="180"/>
      <c r="K55" s="180"/>
      <c r="L55" s="180"/>
      <c r="M55" s="180"/>
      <c r="N55" s="182"/>
      <c r="O55" s="120"/>
    </row>
    <row r="56" spans="1:15" ht="13.5" thickBot="1">
      <c r="A56" s="120"/>
      <c r="B56" s="120"/>
      <c r="C56" s="120"/>
      <c r="D56" s="120"/>
      <c r="E56" s="120"/>
      <c r="F56" s="120"/>
      <c r="G56" s="120"/>
      <c r="H56" s="120"/>
      <c r="I56" s="120"/>
      <c r="J56" s="120"/>
      <c r="K56" s="120"/>
      <c r="L56" s="120"/>
      <c r="M56" s="120"/>
      <c r="N56" s="120"/>
      <c r="O56" s="120"/>
    </row>
    <row r="57" spans="1:15" ht="21.75" customHeight="1" thickBot="1">
      <c r="A57" s="120"/>
      <c r="B57" s="606" t="s">
        <v>125</v>
      </c>
      <c r="C57" s="607"/>
      <c r="D57" s="607"/>
      <c r="E57" s="591" t="s">
        <v>222</v>
      </c>
      <c r="F57" s="591"/>
      <c r="G57" s="591"/>
      <c r="H57" s="591"/>
      <c r="I57" s="591"/>
      <c r="J57" s="591"/>
      <c r="K57" s="591"/>
      <c r="L57" s="591"/>
      <c r="M57" s="591"/>
      <c r="N57" s="592"/>
      <c r="O57" s="120"/>
    </row>
    <row r="58" spans="1:15">
      <c r="A58" s="120"/>
      <c r="B58" s="588" t="s">
        <v>1</v>
      </c>
      <c r="C58" s="589"/>
      <c r="D58" s="589"/>
      <c r="E58" s="589"/>
      <c r="F58" s="589"/>
      <c r="G58" s="502">
        <v>0</v>
      </c>
      <c r="H58" s="502"/>
      <c r="I58" s="183"/>
      <c r="J58" s="590" t="s">
        <v>234</v>
      </c>
      <c r="K58" s="591"/>
      <c r="L58" s="591"/>
      <c r="M58" s="592"/>
      <c r="N58" s="184"/>
      <c r="O58" s="120"/>
    </row>
    <row r="59" spans="1:15">
      <c r="A59" s="120"/>
      <c r="B59" s="588" t="s">
        <v>2</v>
      </c>
      <c r="C59" s="589"/>
      <c r="D59" s="589"/>
      <c r="E59" s="589"/>
      <c r="F59" s="589"/>
      <c r="G59" s="502">
        <v>0</v>
      </c>
      <c r="H59" s="502"/>
      <c r="I59" s="183"/>
      <c r="J59" s="593"/>
      <c r="K59" s="594"/>
      <c r="L59" s="594"/>
      <c r="M59" s="595"/>
      <c r="N59" s="184"/>
      <c r="O59" s="120"/>
    </row>
    <row r="60" spans="1:15">
      <c r="A60" s="120"/>
      <c r="B60" s="588" t="s">
        <v>3</v>
      </c>
      <c r="C60" s="589"/>
      <c r="D60" s="589"/>
      <c r="E60" s="589"/>
      <c r="F60" s="599"/>
      <c r="G60" s="502">
        <v>0</v>
      </c>
      <c r="H60" s="502"/>
      <c r="I60" s="183"/>
      <c r="J60" s="593"/>
      <c r="K60" s="594"/>
      <c r="L60" s="594"/>
      <c r="M60" s="595"/>
      <c r="N60" s="185"/>
      <c r="O60" s="120"/>
    </row>
    <row r="61" spans="1:15" ht="13.5" thickBot="1">
      <c r="A61" s="120"/>
      <c r="B61" s="186"/>
      <c r="C61" s="183"/>
      <c r="D61" s="183"/>
      <c r="E61" s="183"/>
      <c r="F61" s="183"/>
      <c r="G61" s="183"/>
      <c r="H61" s="183"/>
      <c r="I61" s="183"/>
      <c r="J61" s="596"/>
      <c r="K61" s="597"/>
      <c r="L61" s="597"/>
      <c r="M61" s="598"/>
      <c r="N61" s="185"/>
      <c r="O61" s="120"/>
    </row>
    <row r="62" spans="1:15" ht="13.5" thickBot="1">
      <c r="A62" s="120"/>
      <c r="B62" s="186"/>
      <c r="C62" s="608" t="s">
        <v>126</v>
      </c>
      <c r="D62" s="609"/>
      <c r="E62" s="609"/>
      <c r="F62" s="610">
        <f>SUM(G58*G59*G60)</f>
        <v>0</v>
      </c>
      <c r="G62" s="610"/>
      <c r="H62" s="187"/>
      <c r="I62" s="183"/>
      <c r="J62" s="183"/>
      <c r="K62" s="188"/>
      <c r="L62" s="188"/>
      <c r="M62" s="188"/>
      <c r="N62" s="185"/>
      <c r="O62" s="120"/>
    </row>
    <row r="63" spans="1:15" ht="12.75" customHeight="1">
      <c r="A63" s="120"/>
      <c r="B63" s="186"/>
      <c r="C63" s="588" t="s">
        <v>127</v>
      </c>
      <c r="D63" s="589"/>
      <c r="E63" s="589"/>
      <c r="F63" s="611">
        <f>SUM(F62/50)</f>
        <v>0</v>
      </c>
      <c r="G63" s="611"/>
      <c r="H63" s="185"/>
      <c r="I63" s="183"/>
      <c r="J63" s="590" t="s">
        <v>370</v>
      </c>
      <c r="K63" s="591"/>
      <c r="L63" s="591"/>
      <c r="M63" s="592"/>
      <c r="N63" s="185"/>
      <c r="O63" s="120"/>
    </row>
    <row r="64" spans="1:15">
      <c r="A64" s="120"/>
      <c r="B64" s="186"/>
      <c r="C64" s="588" t="s">
        <v>5</v>
      </c>
      <c r="D64" s="589"/>
      <c r="E64" s="589"/>
      <c r="F64" s="612">
        <f>SUM(F63/8)</f>
        <v>0</v>
      </c>
      <c r="G64" s="612"/>
      <c r="H64" s="189"/>
      <c r="I64" s="183"/>
      <c r="J64" s="593"/>
      <c r="K64" s="594"/>
      <c r="L64" s="594"/>
      <c r="M64" s="595"/>
      <c r="N64" s="185"/>
      <c r="O64" s="120"/>
    </row>
    <row r="65" spans="1:15" ht="13.5" thickBot="1">
      <c r="A65" s="120"/>
      <c r="B65" s="186"/>
      <c r="C65" s="613" t="s">
        <v>6</v>
      </c>
      <c r="D65" s="614"/>
      <c r="E65" s="614"/>
      <c r="F65" s="615">
        <f>SUM(F64*1036)</f>
        <v>0</v>
      </c>
      <c r="G65" s="615"/>
      <c r="H65" s="190" t="s">
        <v>7</v>
      </c>
      <c r="I65" s="183"/>
      <c r="J65" s="596"/>
      <c r="K65" s="597"/>
      <c r="L65" s="597"/>
      <c r="M65" s="598"/>
      <c r="N65" s="185"/>
      <c r="O65" s="120"/>
    </row>
    <row r="66" spans="1:15" ht="13.5" thickBot="1">
      <c r="A66" s="120"/>
      <c r="B66" s="191"/>
      <c r="C66" s="192"/>
      <c r="D66" s="193"/>
      <c r="E66" s="193"/>
      <c r="F66" s="193"/>
      <c r="G66" s="193"/>
      <c r="H66" s="192"/>
      <c r="I66" s="192"/>
      <c r="J66" s="192"/>
      <c r="K66" s="192"/>
      <c r="L66" s="192"/>
      <c r="M66" s="192"/>
      <c r="N66" s="194"/>
      <c r="O66" s="120"/>
    </row>
    <row r="67" spans="1:15" ht="13.5" thickBot="1">
      <c r="A67" s="120"/>
      <c r="B67" s="120"/>
      <c r="C67" s="120"/>
      <c r="D67" s="120"/>
      <c r="E67" s="120"/>
      <c r="F67" s="120"/>
      <c r="G67" s="120"/>
      <c r="H67" s="120"/>
      <c r="I67" s="120"/>
      <c r="J67" s="120"/>
      <c r="K67" s="120"/>
      <c r="L67" s="120"/>
      <c r="M67" s="120"/>
      <c r="N67" s="120"/>
      <c r="O67" s="120"/>
    </row>
    <row r="68" spans="1:15" ht="21.75" thickBot="1">
      <c r="A68" s="120"/>
      <c r="B68" s="616" t="s">
        <v>128</v>
      </c>
      <c r="C68" s="617"/>
      <c r="D68" s="617"/>
      <c r="E68" s="618" t="s">
        <v>222</v>
      </c>
      <c r="F68" s="618"/>
      <c r="G68" s="618"/>
      <c r="H68" s="618"/>
      <c r="I68" s="618"/>
      <c r="J68" s="618"/>
      <c r="K68" s="618"/>
      <c r="L68" s="618"/>
      <c r="M68" s="618"/>
      <c r="N68" s="619"/>
      <c r="O68" s="120"/>
    </row>
    <row r="69" spans="1:15">
      <c r="A69" s="120"/>
      <c r="B69" s="620" t="s">
        <v>1</v>
      </c>
      <c r="C69" s="621"/>
      <c r="D69" s="621"/>
      <c r="E69" s="621"/>
      <c r="F69" s="621"/>
      <c r="G69" s="502">
        <v>0</v>
      </c>
      <c r="H69" s="502"/>
      <c r="I69" s="195"/>
      <c r="J69" s="622" t="s">
        <v>235</v>
      </c>
      <c r="K69" s="618"/>
      <c r="L69" s="618"/>
      <c r="M69" s="619"/>
      <c r="N69" s="196"/>
      <c r="O69" s="120"/>
    </row>
    <row r="70" spans="1:15">
      <c r="A70" s="120"/>
      <c r="B70" s="620" t="s">
        <v>2</v>
      </c>
      <c r="C70" s="621"/>
      <c r="D70" s="621"/>
      <c r="E70" s="621"/>
      <c r="F70" s="621"/>
      <c r="G70" s="502">
        <v>0</v>
      </c>
      <c r="H70" s="502"/>
      <c r="I70" s="195"/>
      <c r="J70" s="623"/>
      <c r="K70" s="624"/>
      <c r="L70" s="624"/>
      <c r="M70" s="625"/>
      <c r="N70" s="196"/>
      <c r="O70" s="120"/>
    </row>
    <row r="71" spans="1:15">
      <c r="A71" s="120"/>
      <c r="B71" s="620" t="s">
        <v>3</v>
      </c>
      <c r="C71" s="621"/>
      <c r="D71" s="621"/>
      <c r="E71" s="621"/>
      <c r="F71" s="629"/>
      <c r="G71" s="502">
        <v>0</v>
      </c>
      <c r="H71" s="502"/>
      <c r="I71" s="195"/>
      <c r="J71" s="623"/>
      <c r="K71" s="624"/>
      <c r="L71" s="624"/>
      <c r="M71" s="625"/>
      <c r="N71" s="197"/>
      <c r="O71" s="120"/>
    </row>
    <row r="72" spans="1:15" ht="13.5" thickBot="1">
      <c r="A72" s="120"/>
      <c r="B72" s="198"/>
      <c r="C72" s="195"/>
      <c r="D72" s="195"/>
      <c r="E72" s="195"/>
      <c r="F72" s="195"/>
      <c r="G72" s="195"/>
      <c r="H72" s="195"/>
      <c r="I72" s="195"/>
      <c r="J72" s="626"/>
      <c r="K72" s="627"/>
      <c r="L72" s="627"/>
      <c r="M72" s="628"/>
      <c r="N72" s="197"/>
      <c r="O72" s="120"/>
    </row>
    <row r="73" spans="1:15" ht="13.5" thickBot="1">
      <c r="A73" s="120"/>
      <c r="B73" s="198"/>
      <c r="C73" s="630" t="s">
        <v>126</v>
      </c>
      <c r="D73" s="631"/>
      <c r="E73" s="631"/>
      <c r="F73" s="632">
        <f>SUM(G69*G70*G71)</f>
        <v>0</v>
      </c>
      <c r="G73" s="632"/>
      <c r="H73" s="199"/>
      <c r="I73" s="195"/>
      <c r="J73" s="195"/>
      <c r="K73" s="200"/>
      <c r="L73" s="200"/>
      <c r="M73" s="200"/>
      <c r="N73" s="197"/>
      <c r="O73" s="120"/>
    </row>
    <row r="74" spans="1:15">
      <c r="A74" s="120"/>
      <c r="B74" s="198"/>
      <c r="C74" s="620" t="s">
        <v>127</v>
      </c>
      <c r="D74" s="621"/>
      <c r="E74" s="621"/>
      <c r="F74" s="633">
        <f>SUM(F73/18)</f>
        <v>0</v>
      </c>
      <c r="G74" s="633"/>
      <c r="H74" s="197"/>
      <c r="I74" s="195"/>
      <c r="J74" s="622" t="s">
        <v>371</v>
      </c>
      <c r="K74" s="618"/>
      <c r="L74" s="618"/>
      <c r="M74" s="619"/>
      <c r="N74" s="197"/>
      <c r="O74" s="120"/>
    </row>
    <row r="75" spans="1:15">
      <c r="A75" s="120"/>
      <c r="B75" s="198"/>
      <c r="C75" s="620" t="s">
        <v>5</v>
      </c>
      <c r="D75" s="621"/>
      <c r="E75" s="621"/>
      <c r="F75" s="634">
        <f>SUM(F74/18)</f>
        <v>0</v>
      </c>
      <c r="G75" s="634"/>
      <c r="H75" s="201"/>
      <c r="I75" s="195"/>
      <c r="J75" s="623"/>
      <c r="K75" s="624"/>
      <c r="L75" s="624"/>
      <c r="M75" s="625"/>
      <c r="N75" s="197"/>
      <c r="O75" s="120"/>
    </row>
    <row r="76" spans="1:15" ht="13.5" thickBot="1">
      <c r="A76" s="120"/>
      <c r="B76" s="198"/>
      <c r="C76" s="635" t="s">
        <v>6</v>
      </c>
      <c r="D76" s="636"/>
      <c r="E76" s="636"/>
      <c r="F76" s="637">
        <f>SUM(F75*816)</f>
        <v>0</v>
      </c>
      <c r="G76" s="637"/>
      <c r="H76" s="202" t="s">
        <v>7</v>
      </c>
      <c r="I76" s="195"/>
      <c r="J76" s="626"/>
      <c r="K76" s="627"/>
      <c r="L76" s="627"/>
      <c r="M76" s="628"/>
      <c r="N76" s="197"/>
      <c r="O76" s="120"/>
    </row>
    <row r="77" spans="1:15" ht="13.5" thickBot="1">
      <c r="A77" s="120"/>
      <c r="B77" s="203"/>
      <c r="C77" s="204"/>
      <c r="D77" s="205"/>
      <c r="E77" s="205"/>
      <c r="F77" s="205"/>
      <c r="G77" s="205"/>
      <c r="H77" s="204"/>
      <c r="I77" s="204"/>
      <c r="J77" s="204"/>
      <c r="K77" s="204"/>
      <c r="L77" s="204"/>
      <c r="M77" s="204"/>
      <c r="N77" s="206"/>
      <c r="O77" s="120"/>
    </row>
  </sheetData>
  <mergeCells count="129">
    <mergeCell ref="C73:E73"/>
    <mergeCell ref="F73:G73"/>
    <mergeCell ref="C74:E74"/>
    <mergeCell ref="F74:G74"/>
    <mergeCell ref="J74:M76"/>
    <mergeCell ref="C75:E75"/>
    <mergeCell ref="F75:G75"/>
    <mergeCell ref="C76:E76"/>
    <mergeCell ref="F76:G76"/>
    <mergeCell ref="B68:D68"/>
    <mergeCell ref="E68:N68"/>
    <mergeCell ref="B69:F69"/>
    <mergeCell ref="G69:H69"/>
    <mergeCell ref="J69:M72"/>
    <mergeCell ref="B70:F70"/>
    <mergeCell ref="G70:H70"/>
    <mergeCell ref="B71:F71"/>
    <mergeCell ref="G71:H71"/>
    <mergeCell ref="C62:E62"/>
    <mergeCell ref="F62:G62"/>
    <mergeCell ref="C63:E63"/>
    <mergeCell ref="F63:G63"/>
    <mergeCell ref="J63:M65"/>
    <mergeCell ref="C64:E64"/>
    <mergeCell ref="F64:G64"/>
    <mergeCell ref="C65:E65"/>
    <mergeCell ref="F65:G65"/>
    <mergeCell ref="B58:F58"/>
    <mergeCell ref="G58:H58"/>
    <mergeCell ref="J58:M61"/>
    <mergeCell ref="B59:F59"/>
    <mergeCell ref="G59:H59"/>
    <mergeCell ref="B60:F60"/>
    <mergeCell ref="G60:H60"/>
    <mergeCell ref="C54:E54"/>
    <mergeCell ref="F54:G54"/>
    <mergeCell ref="J54:M54"/>
    <mergeCell ref="B57:D57"/>
    <mergeCell ref="E57:N57"/>
    <mergeCell ref="C51:E51"/>
    <mergeCell ref="F51:G51"/>
    <mergeCell ref="C52:E52"/>
    <mergeCell ref="F52:G52"/>
    <mergeCell ref="J52:M53"/>
    <mergeCell ref="C53:E53"/>
    <mergeCell ref="F53:G53"/>
    <mergeCell ref="B47:F47"/>
    <mergeCell ref="G47:H47"/>
    <mergeCell ref="J47:M50"/>
    <mergeCell ref="B48:F48"/>
    <mergeCell ref="G48:H48"/>
    <mergeCell ref="B49:F49"/>
    <mergeCell ref="G49:H49"/>
    <mergeCell ref="C43:E43"/>
    <mergeCell ref="F43:G43"/>
    <mergeCell ref="J43:M43"/>
    <mergeCell ref="B46:D46"/>
    <mergeCell ref="E46:N46"/>
    <mergeCell ref="C40:E40"/>
    <mergeCell ref="F40:G40"/>
    <mergeCell ref="C41:E41"/>
    <mergeCell ref="F41:G41"/>
    <mergeCell ref="J41:M42"/>
    <mergeCell ref="C42:E42"/>
    <mergeCell ref="F42:G42"/>
    <mergeCell ref="B35:D35"/>
    <mergeCell ref="E35:N35"/>
    <mergeCell ref="B36:F36"/>
    <mergeCell ref="G36:H36"/>
    <mergeCell ref="J36:M39"/>
    <mergeCell ref="B37:F37"/>
    <mergeCell ref="G37:H37"/>
    <mergeCell ref="B38:F38"/>
    <mergeCell ref="G38:H38"/>
    <mergeCell ref="C29:E29"/>
    <mergeCell ref="F29:G29"/>
    <mergeCell ref="C30:E30"/>
    <mergeCell ref="F30:G30"/>
    <mergeCell ref="C31:E31"/>
    <mergeCell ref="F31:G31"/>
    <mergeCell ref="C32:E32"/>
    <mergeCell ref="F32:G32"/>
    <mergeCell ref="J30:M31"/>
    <mergeCell ref="J32:M32"/>
    <mergeCell ref="B24:D24"/>
    <mergeCell ref="E24:N24"/>
    <mergeCell ref="B25:F25"/>
    <mergeCell ref="G25:H25"/>
    <mergeCell ref="J25:M28"/>
    <mergeCell ref="B26:F26"/>
    <mergeCell ref="G26:H26"/>
    <mergeCell ref="B27:F27"/>
    <mergeCell ref="G27:H27"/>
    <mergeCell ref="C18:E18"/>
    <mergeCell ref="F18:G18"/>
    <mergeCell ref="C19:E19"/>
    <mergeCell ref="F19:G19"/>
    <mergeCell ref="J19:M21"/>
    <mergeCell ref="C20:E20"/>
    <mergeCell ref="F20:G20"/>
    <mergeCell ref="C21:E21"/>
    <mergeCell ref="F21:G21"/>
    <mergeCell ref="B13:D13"/>
    <mergeCell ref="E13:N13"/>
    <mergeCell ref="B14:F14"/>
    <mergeCell ref="G14:H14"/>
    <mergeCell ref="J14:M17"/>
    <mergeCell ref="B15:F15"/>
    <mergeCell ref="G15:H15"/>
    <mergeCell ref="B16:F16"/>
    <mergeCell ref="G16:H16"/>
    <mergeCell ref="C7:E7"/>
    <mergeCell ref="F7:G7"/>
    <mergeCell ref="C8:E8"/>
    <mergeCell ref="F8:G8"/>
    <mergeCell ref="J8:M10"/>
    <mergeCell ref="C9:E9"/>
    <mergeCell ref="F9:G9"/>
    <mergeCell ref="C10:E10"/>
    <mergeCell ref="F10:G10"/>
    <mergeCell ref="B2:D2"/>
    <mergeCell ref="E2:N2"/>
    <mergeCell ref="B3:F3"/>
    <mergeCell ref="G3:H3"/>
    <mergeCell ref="J3:M6"/>
    <mergeCell ref="B4:F4"/>
    <mergeCell ref="G4:H4"/>
    <mergeCell ref="B5:F5"/>
    <mergeCell ref="G5:H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F53"/>
  <sheetViews>
    <sheetView workbookViewId="0">
      <selection activeCell="I16" sqref="I16"/>
    </sheetView>
  </sheetViews>
  <sheetFormatPr defaultColWidth="12.42578125" defaultRowHeight="15.75"/>
  <cols>
    <col min="1" max="1" width="15.85546875" style="66" bestFit="1" customWidth="1"/>
    <col min="2" max="2" width="9.85546875" style="66" bestFit="1" customWidth="1"/>
    <col min="3" max="3" width="35.7109375" style="66" customWidth="1"/>
    <col min="4" max="4" width="11.42578125" style="66" bestFit="1" customWidth="1"/>
    <col min="5" max="5" width="10.140625" style="67" bestFit="1" customWidth="1"/>
    <col min="6" max="6" width="9.28515625" style="66" bestFit="1" customWidth="1"/>
    <col min="7" max="251" width="12.42578125" style="66"/>
    <col min="252" max="252" width="19.140625" style="66" bestFit="1" customWidth="1"/>
    <col min="253" max="253" width="12.28515625" style="66" bestFit="1" customWidth="1"/>
    <col min="254" max="254" width="12.42578125" style="66" customWidth="1"/>
    <col min="255" max="255" width="14.140625" style="66" bestFit="1" customWidth="1"/>
    <col min="256" max="256" width="12.42578125" style="66" bestFit="1" customWidth="1"/>
    <col min="257" max="257" width="18" style="66" customWidth="1"/>
    <col min="258" max="259" width="12.42578125" style="66"/>
    <col min="260" max="260" width="12.42578125" style="66" bestFit="1" customWidth="1"/>
    <col min="261" max="507" width="12.42578125" style="66"/>
    <col min="508" max="508" width="19.140625" style="66" bestFit="1" customWidth="1"/>
    <col min="509" max="509" width="12.28515625" style="66" bestFit="1" customWidth="1"/>
    <col min="510" max="510" width="12.42578125" style="66" customWidth="1"/>
    <col min="511" max="511" width="14.140625" style="66" bestFit="1" customWidth="1"/>
    <col min="512" max="512" width="12.42578125" style="66" bestFit="1" customWidth="1"/>
    <col min="513" max="513" width="18" style="66" customWidth="1"/>
    <col min="514" max="515" width="12.42578125" style="66"/>
    <col min="516" max="516" width="12.42578125" style="66" bestFit="1" customWidth="1"/>
    <col min="517" max="763" width="12.42578125" style="66"/>
    <col min="764" max="764" width="19.140625" style="66" bestFit="1" customWidth="1"/>
    <col min="765" max="765" width="12.28515625" style="66" bestFit="1" customWidth="1"/>
    <col min="766" max="766" width="12.42578125" style="66" customWidth="1"/>
    <col min="767" max="767" width="14.140625" style="66" bestFit="1" customWidth="1"/>
    <col min="768" max="768" width="12.42578125" style="66" bestFit="1" customWidth="1"/>
    <col min="769" max="769" width="18" style="66" customWidth="1"/>
    <col min="770" max="771" width="12.42578125" style="66"/>
    <col min="772" max="772" width="12.42578125" style="66" bestFit="1" customWidth="1"/>
    <col min="773" max="1019" width="12.42578125" style="66"/>
    <col min="1020" max="1020" width="19.140625" style="66" bestFit="1" customWidth="1"/>
    <col min="1021" max="1021" width="12.28515625" style="66" bestFit="1" customWidth="1"/>
    <col min="1022" max="1022" width="12.42578125" style="66" customWidth="1"/>
    <col min="1023" max="1023" width="14.140625" style="66" bestFit="1" customWidth="1"/>
    <col min="1024" max="1024" width="12.42578125" style="66" bestFit="1" customWidth="1"/>
    <col min="1025" max="1025" width="18" style="66" customWidth="1"/>
    <col min="1026" max="1027" width="12.42578125" style="66"/>
    <col min="1028" max="1028" width="12.42578125" style="66" bestFit="1" customWidth="1"/>
    <col min="1029" max="1275" width="12.42578125" style="66"/>
    <col min="1276" max="1276" width="19.140625" style="66" bestFit="1" customWidth="1"/>
    <col min="1277" max="1277" width="12.28515625" style="66" bestFit="1" customWidth="1"/>
    <col min="1278" max="1278" width="12.42578125" style="66" customWidth="1"/>
    <col min="1279" max="1279" width="14.140625" style="66" bestFit="1" customWidth="1"/>
    <col min="1280" max="1280" width="12.42578125" style="66" bestFit="1" customWidth="1"/>
    <col min="1281" max="1281" width="18" style="66" customWidth="1"/>
    <col min="1282" max="1283" width="12.42578125" style="66"/>
    <col min="1284" max="1284" width="12.42578125" style="66" bestFit="1" customWidth="1"/>
    <col min="1285" max="1531" width="12.42578125" style="66"/>
    <col min="1532" max="1532" width="19.140625" style="66" bestFit="1" customWidth="1"/>
    <col min="1533" max="1533" width="12.28515625" style="66" bestFit="1" customWidth="1"/>
    <col min="1534" max="1534" width="12.42578125" style="66" customWidth="1"/>
    <col min="1535" max="1535" width="14.140625" style="66" bestFit="1" customWidth="1"/>
    <col min="1536" max="1536" width="12.42578125" style="66" bestFit="1" customWidth="1"/>
    <col min="1537" max="1537" width="18" style="66" customWidth="1"/>
    <col min="1538" max="1539" width="12.42578125" style="66"/>
    <col min="1540" max="1540" width="12.42578125" style="66" bestFit="1" customWidth="1"/>
    <col min="1541" max="1787" width="12.42578125" style="66"/>
    <col min="1788" max="1788" width="19.140625" style="66" bestFit="1" customWidth="1"/>
    <col min="1789" max="1789" width="12.28515625" style="66" bestFit="1" customWidth="1"/>
    <col min="1790" max="1790" width="12.42578125" style="66" customWidth="1"/>
    <col min="1791" max="1791" width="14.140625" style="66" bestFit="1" customWidth="1"/>
    <col min="1792" max="1792" width="12.42578125" style="66" bestFit="1" customWidth="1"/>
    <col min="1793" max="1793" width="18" style="66" customWidth="1"/>
    <col min="1794" max="1795" width="12.42578125" style="66"/>
    <col min="1796" max="1796" width="12.42578125" style="66" bestFit="1" customWidth="1"/>
    <col min="1797" max="2043" width="12.42578125" style="66"/>
    <col min="2044" max="2044" width="19.140625" style="66" bestFit="1" customWidth="1"/>
    <col min="2045" max="2045" width="12.28515625" style="66" bestFit="1" customWidth="1"/>
    <col min="2046" max="2046" width="12.42578125" style="66" customWidth="1"/>
    <col min="2047" max="2047" width="14.140625" style="66" bestFit="1" customWidth="1"/>
    <col min="2048" max="2048" width="12.42578125" style="66" bestFit="1" customWidth="1"/>
    <col min="2049" max="2049" width="18" style="66" customWidth="1"/>
    <col min="2050" max="2051" width="12.42578125" style="66"/>
    <col min="2052" max="2052" width="12.42578125" style="66" bestFit="1" customWidth="1"/>
    <col min="2053" max="2299" width="12.42578125" style="66"/>
    <col min="2300" max="2300" width="19.140625" style="66" bestFit="1" customWidth="1"/>
    <col min="2301" max="2301" width="12.28515625" style="66" bestFit="1" customWidth="1"/>
    <col min="2302" max="2302" width="12.42578125" style="66" customWidth="1"/>
    <col min="2303" max="2303" width="14.140625" style="66" bestFit="1" customWidth="1"/>
    <col min="2304" max="2304" width="12.42578125" style="66" bestFit="1" customWidth="1"/>
    <col min="2305" max="2305" width="18" style="66" customWidth="1"/>
    <col min="2306" max="2307" width="12.42578125" style="66"/>
    <col min="2308" max="2308" width="12.42578125" style="66" bestFit="1" customWidth="1"/>
    <col min="2309" max="2555" width="12.42578125" style="66"/>
    <col min="2556" max="2556" width="19.140625" style="66" bestFit="1" customWidth="1"/>
    <col min="2557" max="2557" width="12.28515625" style="66" bestFit="1" customWidth="1"/>
    <col min="2558" max="2558" width="12.42578125" style="66" customWidth="1"/>
    <col min="2559" max="2559" width="14.140625" style="66" bestFit="1" customWidth="1"/>
    <col min="2560" max="2560" width="12.42578125" style="66" bestFit="1" customWidth="1"/>
    <col min="2561" max="2561" width="18" style="66" customWidth="1"/>
    <col min="2562" max="2563" width="12.42578125" style="66"/>
    <col min="2564" max="2564" width="12.42578125" style="66" bestFit="1" customWidth="1"/>
    <col min="2565" max="2811" width="12.42578125" style="66"/>
    <col min="2812" max="2812" width="19.140625" style="66" bestFit="1" customWidth="1"/>
    <col min="2813" max="2813" width="12.28515625" style="66" bestFit="1" customWidth="1"/>
    <col min="2814" max="2814" width="12.42578125" style="66" customWidth="1"/>
    <col min="2815" max="2815" width="14.140625" style="66" bestFit="1" customWidth="1"/>
    <col min="2816" max="2816" width="12.42578125" style="66" bestFit="1" customWidth="1"/>
    <col min="2817" max="2817" width="18" style="66" customWidth="1"/>
    <col min="2818" max="2819" width="12.42578125" style="66"/>
    <col min="2820" max="2820" width="12.42578125" style="66" bestFit="1" customWidth="1"/>
    <col min="2821" max="3067" width="12.42578125" style="66"/>
    <col min="3068" max="3068" width="19.140625" style="66" bestFit="1" customWidth="1"/>
    <col min="3069" max="3069" width="12.28515625" style="66" bestFit="1" customWidth="1"/>
    <col min="3070" max="3070" width="12.42578125" style="66" customWidth="1"/>
    <col min="3071" max="3071" width="14.140625" style="66" bestFit="1" customWidth="1"/>
    <col min="3072" max="3072" width="12.42578125" style="66" bestFit="1" customWidth="1"/>
    <col min="3073" max="3073" width="18" style="66" customWidth="1"/>
    <col min="3074" max="3075" width="12.42578125" style="66"/>
    <col min="3076" max="3076" width="12.42578125" style="66" bestFit="1" customWidth="1"/>
    <col min="3077" max="3323" width="12.42578125" style="66"/>
    <col min="3324" max="3324" width="19.140625" style="66" bestFit="1" customWidth="1"/>
    <col min="3325" max="3325" width="12.28515625" style="66" bestFit="1" customWidth="1"/>
    <col min="3326" max="3326" width="12.42578125" style="66" customWidth="1"/>
    <col min="3327" max="3327" width="14.140625" style="66" bestFit="1" customWidth="1"/>
    <col min="3328" max="3328" width="12.42578125" style="66" bestFit="1" customWidth="1"/>
    <col min="3329" max="3329" width="18" style="66" customWidth="1"/>
    <col min="3330" max="3331" width="12.42578125" style="66"/>
    <col min="3332" max="3332" width="12.42578125" style="66" bestFit="1" customWidth="1"/>
    <col min="3333" max="3579" width="12.42578125" style="66"/>
    <col min="3580" max="3580" width="19.140625" style="66" bestFit="1" customWidth="1"/>
    <col min="3581" max="3581" width="12.28515625" style="66" bestFit="1" customWidth="1"/>
    <col min="3582" max="3582" width="12.42578125" style="66" customWidth="1"/>
    <col min="3583" max="3583" width="14.140625" style="66" bestFit="1" customWidth="1"/>
    <col min="3584" max="3584" width="12.42578125" style="66" bestFit="1" customWidth="1"/>
    <col min="3585" max="3585" width="18" style="66" customWidth="1"/>
    <col min="3586" max="3587" width="12.42578125" style="66"/>
    <col min="3588" max="3588" width="12.42578125" style="66" bestFit="1" customWidth="1"/>
    <col min="3589" max="3835" width="12.42578125" style="66"/>
    <col min="3836" max="3836" width="19.140625" style="66" bestFit="1" customWidth="1"/>
    <col min="3837" max="3837" width="12.28515625" style="66" bestFit="1" customWidth="1"/>
    <col min="3838" max="3838" width="12.42578125" style="66" customWidth="1"/>
    <col min="3839" max="3839" width="14.140625" style="66" bestFit="1" customWidth="1"/>
    <col min="3840" max="3840" width="12.42578125" style="66" bestFit="1" customWidth="1"/>
    <col min="3841" max="3841" width="18" style="66" customWidth="1"/>
    <col min="3842" max="3843" width="12.42578125" style="66"/>
    <col min="3844" max="3844" width="12.42578125" style="66" bestFit="1" customWidth="1"/>
    <col min="3845" max="4091" width="12.42578125" style="66"/>
    <col min="4092" max="4092" width="19.140625" style="66" bestFit="1" customWidth="1"/>
    <col min="4093" max="4093" width="12.28515625" style="66" bestFit="1" customWidth="1"/>
    <col min="4094" max="4094" width="12.42578125" style="66" customWidth="1"/>
    <col min="4095" max="4095" width="14.140625" style="66" bestFit="1" customWidth="1"/>
    <col min="4096" max="4096" width="12.42578125" style="66" bestFit="1" customWidth="1"/>
    <col min="4097" max="4097" width="18" style="66" customWidth="1"/>
    <col min="4098" max="4099" width="12.42578125" style="66"/>
    <col min="4100" max="4100" width="12.42578125" style="66" bestFit="1" customWidth="1"/>
    <col min="4101" max="4347" width="12.42578125" style="66"/>
    <col min="4348" max="4348" width="19.140625" style="66" bestFit="1" customWidth="1"/>
    <col min="4349" max="4349" width="12.28515625" style="66" bestFit="1" customWidth="1"/>
    <col min="4350" max="4350" width="12.42578125" style="66" customWidth="1"/>
    <col min="4351" max="4351" width="14.140625" style="66" bestFit="1" customWidth="1"/>
    <col min="4352" max="4352" width="12.42578125" style="66" bestFit="1" customWidth="1"/>
    <col min="4353" max="4353" width="18" style="66" customWidth="1"/>
    <col min="4354" max="4355" width="12.42578125" style="66"/>
    <col min="4356" max="4356" width="12.42578125" style="66" bestFit="1" customWidth="1"/>
    <col min="4357" max="4603" width="12.42578125" style="66"/>
    <col min="4604" max="4604" width="19.140625" style="66" bestFit="1" customWidth="1"/>
    <col min="4605" max="4605" width="12.28515625" style="66" bestFit="1" customWidth="1"/>
    <col min="4606" max="4606" width="12.42578125" style="66" customWidth="1"/>
    <col min="4607" max="4607" width="14.140625" style="66" bestFit="1" customWidth="1"/>
    <col min="4608" max="4608" width="12.42578125" style="66" bestFit="1" customWidth="1"/>
    <col min="4609" max="4609" width="18" style="66" customWidth="1"/>
    <col min="4610" max="4611" width="12.42578125" style="66"/>
    <col min="4612" max="4612" width="12.42578125" style="66" bestFit="1" customWidth="1"/>
    <col min="4613" max="4859" width="12.42578125" style="66"/>
    <col min="4860" max="4860" width="19.140625" style="66" bestFit="1" customWidth="1"/>
    <col min="4861" max="4861" width="12.28515625" style="66" bestFit="1" customWidth="1"/>
    <col min="4862" max="4862" width="12.42578125" style="66" customWidth="1"/>
    <col min="4863" max="4863" width="14.140625" style="66" bestFit="1" customWidth="1"/>
    <col min="4864" max="4864" width="12.42578125" style="66" bestFit="1" customWidth="1"/>
    <col min="4865" max="4865" width="18" style="66" customWidth="1"/>
    <col min="4866" max="4867" width="12.42578125" style="66"/>
    <col min="4868" max="4868" width="12.42578125" style="66" bestFit="1" customWidth="1"/>
    <col min="4869" max="5115" width="12.42578125" style="66"/>
    <col min="5116" max="5116" width="19.140625" style="66" bestFit="1" customWidth="1"/>
    <col min="5117" max="5117" width="12.28515625" style="66" bestFit="1" customWidth="1"/>
    <col min="5118" max="5118" width="12.42578125" style="66" customWidth="1"/>
    <col min="5119" max="5119" width="14.140625" style="66" bestFit="1" customWidth="1"/>
    <col min="5120" max="5120" width="12.42578125" style="66" bestFit="1" customWidth="1"/>
    <col min="5121" max="5121" width="18" style="66" customWidth="1"/>
    <col min="5122" max="5123" width="12.42578125" style="66"/>
    <col min="5124" max="5124" width="12.42578125" style="66" bestFit="1" customWidth="1"/>
    <col min="5125" max="5371" width="12.42578125" style="66"/>
    <col min="5372" max="5372" width="19.140625" style="66" bestFit="1" customWidth="1"/>
    <col min="5373" max="5373" width="12.28515625" style="66" bestFit="1" customWidth="1"/>
    <col min="5374" max="5374" width="12.42578125" style="66" customWidth="1"/>
    <col min="5375" max="5375" width="14.140625" style="66" bestFit="1" customWidth="1"/>
    <col min="5376" max="5376" width="12.42578125" style="66" bestFit="1" customWidth="1"/>
    <col min="5377" max="5377" width="18" style="66" customWidth="1"/>
    <col min="5378" max="5379" width="12.42578125" style="66"/>
    <col min="5380" max="5380" width="12.42578125" style="66" bestFit="1" customWidth="1"/>
    <col min="5381" max="5627" width="12.42578125" style="66"/>
    <col min="5628" max="5628" width="19.140625" style="66" bestFit="1" customWidth="1"/>
    <col min="5629" max="5629" width="12.28515625" style="66" bestFit="1" customWidth="1"/>
    <col min="5630" max="5630" width="12.42578125" style="66" customWidth="1"/>
    <col min="5631" max="5631" width="14.140625" style="66" bestFit="1" customWidth="1"/>
    <col min="5632" max="5632" width="12.42578125" style="66" bestFit="1" customWidth="1"/>
    <col min="5633" max="5633" width="18" style="66" customWidth="1"/>
    <col min="5634" max="5635" width="12.42578125" style="66"/>
    <col min="5636" max="5636" width="12.42578125" style="66" bestFit="1" customWidth="1"/>
    <col min="5637" max="5883" width="12.42578125" style="66"/>
    <col min="5884" max="5884" width="19.140625" style="66" bestFit="1" customWidth="1"/>
    <col min="5885" max="5885" width="12.28515625" style="66" bestFit="1" customWidth="1"/>
    <col min="5886" max="5886" width="12.42578125" style="66" customWidth="1"/>
    <col min="5887" max="5887" width="14.140625" style="66" bestFit="1" customWidth="1"/>
    <col min="5888" max="5888" width="12.42578125" style="66" bestFit="1" customWidth="1"/>
    <col min="5889" max="5889" width="18" style="66" customWidth="1"/>
    <col min="5890" max="5891" width="12.42578125" style="66"/>
    <col min="5892" max="5892" width="12.42578125" style="66" bestFit="1" customWidth="1"/>
    <col min="5893" max="6139" width="12.42578125" style="66"/>
    <col min="6140" max="6140" width="19.140625" style="66" bestFit="1" customWidth="1"/>
    <col min="6141" max="6141" width="12.28515625" style="66" bestFit="1" customWidth="1"/>
    <col min="6142" max="6142" width="12.42578125" style="66" customWidth="1"/>
    <col min="6143" max="6143" width="14.140625" style="66" bestFit="1" customWidth="1"/>
    <col min="6144" max="6144" width="12.42578125" style="66" bestFit="1" customWidth="1"/>
    <col min="6145" max="6145" width="18" style="66" customWidth="1"/>
    <col min="6146" max="6147" width="12.42578125" style="66"/>
    <col min="6148" max="6148" width="12.42578125" style="66" bestFit="1" customWidth="1"/>
    <col min="6149" max="6395" width="12.42578125" style="66"/>
    <col min="6396" max="6396" width="19.140625" style="66" bestFit="1" customWidth="1"/>
    <col min="6397" max="6397" width="12.28515625" style="66" bestFit="1" customWidth="1"/>
    <col min="6398" max="6398" width="12.42578125" style="66" customWidth="1"/>
    <col min="6399" max="6399" width="14.140625" style="66" bestFit="1" customWidth="1"/>
    <col min="6400" max="6400" width="12.42578125" style="66" bestFit="1" customWidth="1"/>
    <col min="6401" max="6401" width="18" style="66" customWidth="1"/>
    <col min="6402" max="6403" width="12.42578125" style="66"/>
    <col min="6404" max="6404" width="12.42578125" style="66" bestFit="1" customWidth="1"/>
    <col min="6405" max="6651" width="12.42578125" style="66"/>
    <col min="6652" max="6652" width="19.140625" style="66" bestFit="1" customWidth="1"/>
    <col min="6653" max="6653" width="12.28515625" style="66" bestFit="1" customWidth="1"/>
    <col min="6654" max="6654" width="12.42578125" style="66" customWidth="1"/>
    <col min="6655" max="6655" width="14.140625" style="66" bestFit="1" customWidth="1"/>
    <col min="6656" max="6656" width="12.42578125" style="66" bestFit="1" customWidth="1"/>
    <col min="6657" max="6657" width="18" style="66" customWidth="1"/>
    <col min="6658" max="6659" width="12.42578125" style="66"/>
    <col min="6660" max="6660" width="12.42578125" style="66" bestFit="1" customWidth="1"/>
    <col min="6661" max="6907" width="12.42578125" style="66"/>
    <col min="6908" max="6908" width="19.140625" style="66" bestFit="1" customWidth="1"/>
    <col min="6909" max="6909" width="12.28515625" style="66" bestFit="1" customWidth="1"/>
    <col min="6910" max="6910" width="12.42578125" style="66" customWidth="1"/>
    <col min="6911" max="6911" width="14.140625" style="66" bestFit="1" customWidth="1"/>
    <col min="6912" max="6912" width="12.42578125" style="66" bestFit="1" customWidth="1"/>
    <col min="6913" max="6913" width="18" style="66" customWidth="1"/>
    <col min="6914" max="6915" width="12.42578125" style="66"/>
    <col min="6916" max="6916" width="12.42578125" style="66" bestFit="1" customWidth="1"/>
    <col min="6917" max="7163" width="12.42578125" style="66"/>
    <col min="7164" max="7164" width="19.140625" style="66" bestFit="1" customWidth="1"/>
    <col min="7165" max="7165" width="12.28515625" style="66" bestFit="1" customWidth="1"/>
    <col min="7166" max="7166" width="12.42578125" style="66" customWidth="1"/>
    <col min="7167" max="7167" width="14.140625" style="66" bestFit="1" customWidth="1"/>
    <col min="7168" max="7168" width="12.42578125" style="66" bestFit="1" customWidth="1"/>
    <col min="7169" max="7169" width="18" style="66" customWidth="1"/>
    <col min="7170" max="7171" width="12.42578125" style="66"/>
    <col min="7172" max="7172" width="12.42578125" style="66" bestFit="1" customWidth="1"/>
    <col min="7173" max="7419" width="12.42578125" style="66"/>
    <col min="7420" max="7420" width="19.140625" style="66" bestFit="1" customWidth="1"/>
    <col min="7421" max="7421" width="12.28515625" style="66" bestFit="1" customWidth="1"/>
    <col min="7422" max="7422" width="12.42578125" style="66" customWidth="1"/>
    <col min="7423" max="7423" width="14.140625" style="66" bestFit="1" customWidth="1"/>
    <col min="7424" max="7424" width="12.42578125" style="66" bestFit="1" customWidth="1"/>
    <col min="7425" max="7425" width="18" style="66" customWidth="1"/>
    <col min="7426" max="7427" width="12.42578125" style="66"/>
    <col min="7428" max="7428" width="12.42578125" style="66" bestFit="1" customWidth="1"/>
    <col min="7429" max="7675" width="12.42578125" style="66"/>
    <col min="7676" max="7676" width="19.140625" style="66" bestFit="1" customWidth="1"/>
    <col min="7677" max="7677" width="12.28515625" style="66" bestFit="1" customWidth="1"/>
    <col min="7678" max="7678" width="12.42578125" style="66" customWidth="1"/>
    <col min="7679" max="7679" width="14.140625" style="66" bestFit="1" customWidth="1"/>
    <col min="7680" max="7680" width="12.42578125" style="66" bestFit="1" customWidth="1"/>
    <col min="7681" max="7681" width="18" style="66" customWidth="1"/>
    <col min="7682" max="7683" width="12.42578125" style="66"/>
    <col min="7684" max="7684" width="12.42578125" style="66" bestFit="1" customWidth="1"/>
    <col min="7685" max="7931" width="12.42578125" style="66"/>
    <col min="7932" max="7932" width="19.140625" style="66" bestFit="1" customWidth="1"/>
    <col min="7933" max="7933" width="12.28515625" style="66" bestFit="1" customWidth="1"/>
    <col min="7934" max="7934" width="12.42578125" style="66" customWidth="1"/>
    <col min="7935" max="7935" width="14.140625" style="66" bestFit="1" customWidth="1"/>
    <col min="7936" max="7936" width="12.42578125" style="66" bestFit="1" customWidth="1"/>
    <col min="7937" max="7937" width="18" style="66" customWidth="1"/>
    <col min="7938" max="7939" width="12.42578125" style="66"/>
    <col min="7940" max="7940" width="12.42578125" style="66" bestFit="1" customWidth="1"/>
    <col min="7941" max="8187" width="12.42578125" style="66"/>
    <col min="8188" max="8188" width="19.140625" style="66" bestFit="1" customWidth="1"/>
    <col min="8189" max="8189" width="12.28515625" style="66" bestFit="1" customWidth="1"/>
    <col min="8190" max="8190" width="12.42578125" style="66" customWidth="1"/>
    <col min="8191" max="8191" width="14.140625" style="66" bestFit="1" customWidth="1"/>
    <col min="8192" max="8192" width="12.42578125" style="66" bestFit="1" customWidth="1"/>
    <col min="8193" max="8193" width="18" style="66" customWidth="1"/>
    <col min="8194" max="8195" width="12.42578125" style="66"/>
    <col min="8196" max="8196" width="12.42578125" style="66" bestFit="1" customWidth="1"/>
    <col min="8197" max="8443" width="12.42578125" style="66"/>
    <col min="8444" max="8444" width="19.140625" style="66" bestFit="1" customWidth="1"/>
    <col min="8445" max="8445" width="12.28515625" style="66" bestFit="1" customWidth="1"/>
    <col min="8446" max="8446" width="12.42578125" style="66" customWidth="1"/>
    <col min="8447" max="8447" width="14.140625" style="66" bestFit="1" customWidth="1"/>
    <col min="8448" max="8448" width="12.42578125" style="66" bestFit="1" customWidth="1"/>
    <col min="8449" max="8449" width="18" style="66" customWidth="1"/>
    <col min="8450" max="8451" width="12.42578125" style="66"/>
    <col min="8452" max="8452" width="12.42578125" style="66" bestFit="1" customWidth="1"/>
    <col min="8453" max="8699" width="12.42578125" style="66"/>
    <col min="8700" max="8700" width="19.140625" style="66" bestFit="1" customWidth="1"/>
    <col min="8701" max="8701" width="12.28515625" style="66" bestFit="1" customWidth="1"/>
    <col min="8702" max="8702" width="12.42578125" style="66" customWidth="1"/>
    <col min="8703" max="8703" width="14.140625" style="66" bestFit="1" customWidth="1"/>
    <col min="8704" max="8704" width="12.42578125" style="66" bestFit="1" customWidth="1"/>
    <col min="8705" max="8705" width="18" style="66" customWidth="1"/>
    <col min="8706" max="8707" width="12.42578125" style="66"/>
    <col min="8708" max="8708" width="12.42578125" style="66" bestFit="1" customWidth="1"/>
    <col min="8709" max="8955" width="12.42578125" style="66"/>
    <col min="8956" max="8956" width="19.140625" style="66" bestFit="1" customWidth="1"/>
    <col min="8957" max="8957" width="12.28515625" style="66" bestFit="1" customWidth="1"/>
    <col min="8958" max="8958" width="12.42578125" style="66" customWidth="1"/>
    <col min="8959" max="8959" width="14.140625" style="66" bestFit="1" customWidth="1"/>
    <col min="8960" max="8960" width="12.42578125" style="66" bestFit="1" customWidth="1"/>
    <col min="8961" max="8961" width="18" style="66" customWidth="1"/>
    <col min="8962" max="8963" width="12.42578125" style="66"/>
    <col min="8964" max="8964" width="12.42578125" style="66" bestFit="1" customWidth="1"/>
    <col min="8965" max="9211" width="12.42578125" style="66"/>
    <col min="9212" max="9212" width="19.140625" style="66" bestFit="1" customWidth="1"/>
    <col min="9213" max="9213" width="12.28515625" style="66" bestFit="1" customWidth="1"/>
    <col min="9214" max="9214" width="12.42578125" style="66" customWidth="1"/>
    <col min="9215" max="9215" width="14.140625" style="66" bestFit="1" customWidth="1"/>
    <col min="9216" max="9216" width="12.42578125" style="66" bestFit="1" customWidth="1"/>
    <col min="9217" max="9217" width="18" style="66" customWidth="1"/>
    <col min="9218" max="9219" width="12.42578125" style="66"/>
    <col min="9220" max="9220" width="12.42578125" style="66" bestFit="1" customWidth="1"/>
    <col min="9221" max="9467" width="12.42578125" style="66"/>
    <col min="9468" max="9468" width="19.140625" style="66" bestFit="1" customWidth="1"/>
    <col min="9469" max="9469" width="12.28515625" style="66" bestFit="1" customWidth="1"/>
    <col min="9470" max="9470" width="12.42578125" style="66" customWidth="1"/>
    <col min="9471" max="9471" width="14.140625" style="66" bestFit="1" customWidth="1"/>
    <col min="9472" max="9472" width="12.42578125" style="66" bestFit="1" customWidth="1"/>
    <col min="9473" max="9473" width="18" style="66" customWidth="1"/>
    <col min="9474" max="9475" width="12.42578125" style="66"/>
    <col min="9476" max="9476" width="12.42578125" style="66" bestFit="1" customWidth="1"/>
    <col min="9477" max="9723" width="12.42578125" style="66"/>
    <col min="9724" max="9724" width="19.140625" style="66" bestFit="1" customWidth="1"/>
    <col min="9725" max="9725" width="12.28515625" style="66" bestFit="1" customWidth="1"/>
    <col min="9726" max="9726" width="12.42578125" style="66" customWidth="1"/>
    <col min="9727" max="9727" width="14.140625" style="66" bestFit="1" customWidth="1"/>
    <col min="9728" max="9728" width="12.42578125" style="66" bestFit="1" customWidth="1"/>
    <col min="9729" max="9729" width="18" style="66" customWidth="1"/>
    <col min="9730" max="9731" width="12.42578125" style="66"/>
    <col min="9732" max="9732" width="12.42578125" style="66" bestFit="1" customWidth="1"/>
    <col min="9733" max="9979" width="12.42578125" style="66"/>
    <col min="9980" max="9980" width="19.140625" style="66" bestFit="1" customWidth="1"/>
    <col min="9981" max="9981" width="12.28515625" style="66" bestFit="1" customWidth="1"/>
    <col min="9982" max="9982" width="12.42578125" style="66" customWidth="1"/>
    <col min="9983" max="9983" width="14.140625" style="66" bestFit="1" customWidth="1"/>
    <col min="9984" max="9984" width="12.42578125" style="66" bestFit="1" customWidth="1"/>
    <col min="9985" max="9985" width="18" style="66" customWidth="1"/>
    <col min="9986" max="9987" width="12.42578125" style="66"/>
    <col min="9988" max="9988" width="12.42578125" style="66" bestFit="1" customWidth="1"/>
    <col min="9989" max="10235" width="12.42578125" style="66"/>
    <col min="10236" max="10236" width="19.140625" style="66" bestFit="1" customWidth="1"/>
    <col min="10237" max="10237" width="12.28515625" style="66" bestFit="1" customWidth="1"/>
    <col min="10238" max="10238" width="12.42578125" style="66" customWidth="1"/>
    <col min="10239" max="10239" width="14.140625" style="66" bestFit="1" customWidth="1"/>
    <col min="10240" max="10240" width="12.42578125" style="66" bestFit="1" customWidth="1"/>
    <col min="10241" max="10241" width="18" style="66" customWidth="1"/>
    <col min="10242" max="10243" width="12.42578125" style="66"/>
    <col min="10244" max="10244" width="12.42578125" style="66" bestFit="1" customWidth="1"/>
    <col min="10245" max="10491" width="12.42578125" style="66"/>
    <col min="10492" max="10492" width="19.140625" style="66" bestFit="1" customWidth="1"/>
    <col min="10493" max="10493" width="12.28515625" style="66" bestFit="1" customWidth="1"/>
    <col min="10494" max="10494" width="12.42578125" style="66" customWidth="1"/>
    <col min="10495" max="10495" width="14.140625" style="66" bestFit="1" customWidth="1"/>
    <col min="10496" max="10496" width="12.42578125" style="66" bestFit="1" customWidth="1"/>
    <col min="10497" max="10497" width="18" style="66" customWidth="1"/>
    <col min="10498" max="10499" width="12.42578125" style="66"/>
    <col min="10500" max="10500" width="12.42578125" style="66" bestFit="1" customWidth="1"/>
    <col min="10501" max="10747" width="12.42578125" style="66"/>
    <col min="10748" max="10748" width="19.140625" style="66" bestFit="1" customWidth="1"/>
    <col min="10749" max="10749" width="12.28515625" style="66" bestFit="1" customWidth="1"/>
    <col min="10750" max="10750" width="12.42578125" style="66" customWidth="1"/>
    <col min="10751" max="10751" width="14.140625" style="66" bestFit="1" customWidth="1"/>
    <col min="10752" max="10752" width="12.42578125" style="66" bestFit="1" customWidth="1"/>
    <col min="10753" max="10753" width="18" style="66" customWidth="1"/>
    <col min="10754" max="10755" width="12.42578125" style="66"/>
    <col min="10756" max="10756" width="12.42578125" style="66" bestFit="1" customWidth="1"/>
    <col min="10757" max="11003" width="12.42578125" style="66"/>
    <col min="11004" max="11004" width="19.140625" style="66" bestFit="1" customWidth="1"/>
    <col min="11005" max="11005" width="12.28515625" style="66" bestFit="1" customWidth="1"/>
    <col min="11006" max="11006" width="12.42578125" style="66" customWidth="1"/>
    <col min="11007" max="11007" width="14.140625" style="66" bestFit="1" customWidth="1"/>
    <col min="11008" max="11008" width="12.42578125" style="66" bestFit="1" customWidth="1"/>
    <col min="11009" max="11009" width="18" style="66" customWidth="1"/>
    <col min="11010" max="11011" width="12.42578125" style="66"/>
    <col min="11012" max="11012" width="12.42578125" style="66" bestFit="1" customWidth="1"/>
    <col min="11013" max="11259" width="12.42578125" style="66"/>
    <col min="11260" max="11260" width="19.140625" style="66" bestFit="1" customWidth="1"/>
    <col min="11261" max="11261" width="12.28515625" style="66" bestFit="1" customWidth="1"/>
    <col min="11262" max="11262" width="12.42578125" style="66" customWidth="1"/>
    <col min="11263" max="11263" width="14.140625" style="66" bestFit="1" customWidth="1"/>
    <col min="11264" max="11264" width="12.42578125" style="66" bestFit="1" customWidth="1"/>
    <col min="11265" max="11265" width="18" style="66" customWidth="1"/>
    <col min="11266" max="11267" width="12.42578125" style="66"/>
    <col min="11268" max="11268" width="12.42578125" style="66" bestFit="1" customWidth="1"/>
    <col min="11269" max="11515" width="12.42578125" style="66"/>
    <col min="11516" max="11516" width="19.140625" style="66" bestFit="1" customWidth="1"/>
    <col min="11517" max="11517" width="12.28515625" style="66" bestFit="1" customWidth="1"/>
    <col min="11518" max="11518" width="12.42578125" style="66" customWidth="1"/>
    <col min="11519" max="11519" width="14.140625" style="66" bestFit="1" customWidth="1"/>
    <col min="11520" max="11520" width="12.42578125" style="66" bestFit="1" customWidth="1"/>
    <col min="11521" max="11521" width="18" style="66" customWidth="1"/>
    <col min="11522" max="11523" width="12.42578125" style="66"/>
    <col min="11524" max="11524" width="12.42578125" style="66" bestFit="1" customWidth="1"/>
    <col min="11525" max="11771" width="12.42578125" style="66"/>
    <col min="11772" max="11772" width="19.140625" style="66" bestFit="1" customWidth="1"/>
    <col min="11773" max="11773" width="12.28515625" style="66" bestFit="1" customWidth="1"/>
    <col min="11774" max="11774" width="12.42578125" style="66" customWidth="1"/>
    <col min="11775" max="11775" width="14.140625" style="66" bestFit="1" customWidth="1"/>
    <col min="11776" max="11776" width="12.42578125" style="66" bestFit="1" customWidth="1"/>
    <col min="11777" max="11777" width="18" style="66" customWidth="1"/>
    <col min="11778" max="11779" width="12.42578125" style="66"/>
    <col min="11780" max="11780" width="12.42578125" style="66" bestFit="1" customWidth="1"/>
    <col min="11781" max="12027" width="12.42578125" style="66"/>
    <col min="12028" max="12028" width="19.140625" style="66" bestFit="1" customWidth="1"/>
    <col min="12029" max="12029" width="12.28515625" style="66" bestFit="1" customWidth="1"/>
    <col min="12030" max="12030" width="12.42578125" style="66" customWidth="1"/>
    <col min="12031" max="12031" width="14.140625" style="66" bestFit="1" customWidth="1"/>
    <col min="12032" max="12032" width="12.42578125" style="66" bestFit="1" customWidth="1"/>
    <col min="12033" max="12033" width="18" style="66" customWidth="1"/>
    <col min="12034" max="12035" width="12.42578125" style="66"/>
    <col min="12036" max="12036" width="12.42578125" style="66" bestFit="1" customWidth="1"/>
    <col min="12037" max="12283" width="12.42578125" style="66"/>
    <col min="12284" max="12284" width="19.140625" style="66" bestFit="1" customWidth="1"/>
    <col min="12285" max="12285" width="12.28515625" style="66" bestFit="1" customWidth="1"/>
    <col min="12286" max="12286" width="12.42578125" style="66" customWidth="1"/>
    <col min="12287" max="12287" width="14.140625" style="66" bestFit="1" customWidth="1"/>
    <col min="12288" max="12288" width="12.42578125" style="66" bestFit="1" customWidth="1"/>
    <col min="12289" max="12289" width="18" style="66" customWidth="1"/>
    <col min="12290" max="12291" width="12.42578125" style="66"/>
    <col min="12292" max="12292" width="12.42578125" style="66" bestFit="1" customWidth="1"/>
    <col min="12293" max="12539" width="12.42578125" style="66"/>
    <col min="12540" max="12540" width="19.140625" style="66" bestFit="1" customWidth="1"/>
    <col min="12541" max="12541" width="12.28515625" style="66" bestFit="1" customWidth="1"/>
    <col min="12542" max="12542" width="12.42578125" style="66" customWidth="1"/>
    <col min="12543" max="12543" width="14.140625" style="66" bestFit="1" customWidth="1"/>
    <col min="12544" max="12544" width="12.42578125" style="66" bestFit="1" customWidth="1"/>
    <col min="12545" max="12545" width="18" style="66" customWidth="1"/>
    <col min="12546" max="12547" width="12.42578125" style="66"/>
    <col min="12548" max="12548" width="12.42578125" style="66" bestFit="1" customWidth="1"/>
    <col min="12549" max="12795" width="12.42578125" style="66"/>
    <col min="12796" max="12796" width="19.140625" style="66" bestFit="1" customWidth="1"/>
    <col min="12797" max="12797" width="12.28515625" style="66" bestFit="1" customWidth="1"/>
    <col min="12798" max="12798" width="12.42578125" style="66" customWidth="1"/>
    <col min="12799" max="12799" width="14.140625" style="66" bestFit="1" customWidth="1"/>
    <col min="12800" max="12800" width="12.42578125" style="66" bestFit="1" customWidth="1"/>
    <col min="12801" max="12801" width="18" style="66" customWidth="1"/>
    <col min="12802" max="12803" width="12.42578125" style="66"/>
    <col min="12804" max="12804" width="12.42578125" style="66" bestFit="1" customWidth="1"/>
    <col min="12805" max="13051" width="12.42578125" style="66"/>
    <col min="13052" max="13052" width="19.140625" style="66" bestFit="1" customWidth="1"/>
    <col min="13053" max="13053" width="12.28515625" style="66" bestFit="1" customWidth="1"/>
    <col min="13054" max="13054" width="12.42578125" style="66" customWidth="1"/>
    <col min="13055" max="13055" width="14.140625" style="66" bestFit="1" customWidth="1"/>
    <col min="13056" max="13056" width="12.42578125" style="66" bestFit="1" customWidth="1"/>
    <col min="13057" max="13057" width="18" style="66" customWidth="1"/>
    <col min="13058" max="13059" width="12.42578125" style="66"/>
    <col min="13060" max="13060" width="12.42578125" style="66" bestFit="1" customWidth="1"/>
    <col min="13061" max="13307" width="12.42578125" style="66"/>
    <col min="13308" max="13308" width="19.140625" style="66" bestFit="1" customWidth="1"/>
    <col min="13309" max="13309" width="12.28515625" style="66" bestFit="1" customWidth="1"/>
    <col min="13310" max="13310" width="12.42578125" style="66" customWidth="1"/>
    <col min="13311" max="13311" width="14.140625" style="66" bestFit="1" customWidth="1"/>
    <col min="13312" max="13312" width="12.42578125" style="66" bestFit="1" customWidth="1"/>
    <col min="13313" max="13313" width="18" style="66" customWidth="1"/>
    <col min="13314" max="13315" width="12.42578125" style="66"/>
    <col min="13316" max="13316" width="12.42578125" style="66" bestFit="1" customWidth="1"/>
    <col min="13317" max="13563" width="12.42578125" style="66"/>
    <col min="13564" max="13564" width="19.140625" style="66" bestFit="1" customWidth="1"/>
    <col min="13565" max="13565" width="12.28515625" style="66" bestFit="1" customWidth="1"/>
    <col min="13566" max="13566" width="12.42578125" style="66" customWidth="1"/>
    <col min="13567" max="13567" width="14.140625" style="66" bestFit="1" customWidth="1"/>
    <col min="13568" max="13568" width="12.42578125" style="66" bestFit="1" customWidth="1"/>
    <col min="13569" max="13569" width="18" style="66" customWidth="1"/>
    <col min="13570" max="13571" width="12.42578125" style="66"/>
    <col min="13572" max="13572" width="12.42578125" style="66" bestFit="1" customWidth="1"/>
    <col min="13573" max="13819" width="12.42578125" style="66"/>
    <col min="13820" max="13820" width="19.140625" style="66" bestFit="1" customWidth="1"/>
    <col min="13821" max="13821" width="12.28515625" style="66" bestFit="1" customWidth="1"/>
    <col min="13822" max="13822" width="12.42578125" style="66" customWidth="1"/>
    <col min="13823" max="13823" width="14.140625" style="66" bestFit="1" customWidth="1"/>
    <col min="13824" max="13824" width="12.42578125" style="66" bestFit="1" customWidth="1"/>
    <col min="13825" max="13825" width="18" style="66" customWidth="1"/>
    <col min="13826" max="13827" width="12.42578125" style="66"/>
    <col min="13828" max="13828" width="12.42578125" style="66" bestFit="1" customWidth="1"/>
    <col min="13829" max="14075" width="12.42578125" style="66"/>
    <col min="14076" max="14076" width="19.140625" style="66" bestFit="1" customWidth="1"/>
    <col min="14077" max="14077" width="12.28515625" style="66" bestFit="1" customWidth="1"/>
    <col min="14078" max="14078" width="12.42578125" style="66" customWidth="1"/>
    <col min="14079" max="14079" width="14.140625" style="66" bestFit="1" customWidth="1"/>
    <col min="14080" max="14080" width="12.42578125" style="66" bestFit="1" customWidth="1"/>
    <col min="14081" max="14081" width="18" style="66" customWidth="1"/>
    <col min="14082" max="14083" width="12.42578125" style="66"/>
    <col min="14084" max="14084" width="12.42578125" style="66" bestFit="1" customWidth="1"/>
    <col min="14085" max="14331" width="12.42578125" style="66"/>
    <col min="14332" max="14332" width="19.140625" style="66" bestFit="1" customWidth="1"/>
    <col min="14333" max="14333" width="12.28515625" style="66" bestFit="1" customWidth="1"/>
    <col min="14334" max="14334" width="12.42578125" style="66" customWidth="1"/>
    <col min="14335" max="14335" width="14.140625" style="66" bestFit="1" customWidth="1"/>
    <col min="14336" max="14336" width="12.42578125" style="66" bestFit="1" customWidth="1"/>
    <col min="14337" max="14337" width="18" style="66" customWidth="1"/>
    <col min="14338" max="14339" width="12.42578125" style="66"/>
    <col min="14340" max="14340" width="12.42578125" style="66" bestFit="1" customWidth="1"/>
    <col min="14341" max="14587" width="12.42578125" style="66"/>
    <col min="14588" max="14588" width="19.140625" style="66" bestFit="1" customWidth="1"/>
    <col min="14589" max="14589" width="12.28515625" style="66" bestFit="1" customWidth="1"/>
    <col min="14590" max="14590" width="12.42578125" style="66" customWidth="1"/>
    <col min="14591" max="14591" width="14.140625" style="66" bestFit="1" customWidth="1"/>
    <col min="14592" max="14592" width="12.42578125" style="66" bestFit="1" customWidth="1"/>
    <col min="14593" max="14593" width="18" style="66" customWidth="1"/>
    <col min="14594" max="14595" width="12.42578125" style="66"/>
    <col min="14596" max="14596" width="12.42578125" style="66" bestFit="1" customWidth="1"/>
    <col min="14597" max="14843" width="12.42578125" style="66"/>
    <col min="14844" max="14844" width="19.140625" style="66" bestFit="1" customWidth="1"/>
    <col min="14845" max="14845" width="12.28515625" style="66" bestFit="1" customWidth="1"/>
    <col min="14846" max="14846" width="12.42578125" style="66" customWidth="1"/>
    <col min="14847" max="14847" width="14.140625" style="66" bestFit="1" customWidth="1"/>
    <col min="14848" max="14848" width="12.42578125" style="66" bestFit="1" customWidth="1"/>
    <col min="14849" max="14849" width="18" style="66" customWidth="1"/>
    <col min="14850" max="14851" width="12.42578125" style="66"/>
    <col min="14852" max="14852" width="12.42578125" style="66" bestFit="1" customWidth="1"/>
    <col min="14853" max="15099" width="12.42578125" style="66"/>
    <col min="15100" max="15100" width="19.140625" style="66" bestFit="1" customWidth="1"/>
    <col min="15101" max="15101" width="12.28515625" style="66" bestFit="1" customWidth="1"/>
    <col min="15102" max="15102" width="12.42578125" style="66" customWidth="1"/>
    <col min="15103" max="15103" width="14.140625" style="66" bestFit="1" customWidth="1"/>
    <col min="15104" max="15104" width="12.42578125" style="66" bestFit="1" customWidth="1"/>
    <col min="15105" max="15105" width="18" style="66" customWidth="1"/>
    <col min="15106" max="15107" width="12.42578125" style="66"/>
    <col min="15108" max="15108" width="12.42578125" style="66" bestFit="1" customWidth="1"/>
    <col min="15109" max="15355" width="12.42578125" style="66"/>
    <col min="15356" max="15356" width="19.140625" style="66" bestFit="1" customWidth="1"/>
    <col min="15357" max="15357" width="12.28515625" style="66" bestFit="1" customWidth="1"/>
    <col min="15358" max="15358" width="12.42578125" style="66" customWidth="1"/>
    <col min="15359" max="15359" width="14.140625" style="66" bestFit="1" customWidth="1"/>
    <col min="15360" max="15360" width="12.42578125" style="66" bestFit="1" customWidth="1"/>
    <col min="15361" max="15361" width="18" style="66" customWidth="1"/>
    <col min="15362" max="15363" width="12.42578125" style="66"/>
    <col min="15364" max="15364" width="12.42578125" style="66" bestFit="1" customWidth="1"/>
    <col min="15365" max="15611" width="12.42578125" style="66"/>
    <col min="15612" max="15612" width="19.140625" style="66" bestFit="1" customWidth="1"/>
    <col min="15613" max="15613" width="12.28515625" style="66" bestFit="1" customWidth="1"/>
    <col min="15614" max="15614" width="12.42578125" style="66" customWidth="1"/>
    <col min="15615" max="15615" width="14.140625" style="66" bestFit="1" customWidth="1"/>
    <col min="15616" max="15616" width="12.42578125" style="66" bestFit="1" customWidth="1"/>
    <col min="15617" max="15617" width="18" style="66" customWidth="1"/>
    <col min="15618" max="15619" width="12.42578125" style="66"/>
    <col min="15620" max="15620" width="12.42578125" style="66" bestFit="1" customWidth="1"/>
    <col min="15621" max="15867" width="12.42578125" style="66"/>
    <col min="15868" max="15868" width="19.140625" style="66" bestFit="1" customWidth="1"/>
    <col min="15869" max="15869" width="12.28515625" style="66" bestFit="1" customWidth="1"/>
    <col min="15870" max="15870" width="12.42578125" style="66" customWidth="1"/>
    <col min="15871" max="15871" width="14.140625" style="66" bestFit="1" customWidth="1"/>
    <col min="15872" max="15872" width="12.42578125" style="66" bestFit="1" customWidth="1"/>
    <col min="15873" max="15873" width="18" style="66" customWidth="1"/>
    <col min="15874" max="15875" width="12.42578125" style="66"/>
    <col min="15876" max="15876" width="12.42578125" style="66" bestFit="1" customWidth="1"/>
    <col min="15877" max="16123" width="12.42578125" style="66"/>
    <col min="16124" max="16124" width="19.140625" style="66" bestFit="1" customWidth="1"/>
    <col min="16125" max="16125" width="12.28515625" style="66" bestFit="1" customWidth="1"/>
    <col min="16126" max="16126" width="12.42578125" style="66" customWidth="1"/>
    <col min="16127" max="16127" width="14.140625" style="66" bestFit="1" customWidth="1"/>
    <col min="16128" max="16128" width="12.42578125" style="66" bestFit="1" customWidth="1"/>
    <col min="16129" max="16129" width="18" style="66" customWidth="1"/>
    <col min="16130" max="16131" width="12.42578125" style="66"/>
    <col min="16132" max="16132" width="12.42578125" style="66" bestFit="1" customWidth="1"/>
    <col min="16133" max="16384" width="12.42578125" style="66"/>
  </cols>
  <sheetData>
    <row r="1" spans="1:6">
      <c r="A1" s="64"/>
      <c r="B1" s="64"/>
      <c r="C1" s="65" t="s">
        <v>151</v>
      </c>
    </row>
    <row r="2" spans="1:6">
      <c r="A2" s="68" t="s">
        <v>152</v>
      </c>
      <c r="B2" s="68" t="s">
        <v>152</v>
      </c>
      <c r="C2" s="68" t="s">
        <v>152</v>
      </c>
      <c r="D2" s="68" t="s">
        <v>152</v>
      </c>
      <c r="E2" s="69" t="s">
        <v>152</v>
      </c>
      <c r="F2" s="68" t="s">
        <v>152</v>
      </c>
    </row>
    <row r="3" spans="1:6">
      <c r="A3" s="64"/>
      <c r="B3" s="65" t="s">
        <v>153</v>
      </c>
      <c r="C3" s="65" t="s">
        <v>154</v>
      </c>
      <c r="D3" s="65" t="s">
        <v>155</v>
      </c>
      <c r="E3" s="70"/>
    </row>
    <row r="4" spans="1:6">
      <c r="A4" s="65" t="s">
        <v>156</v>
      </c>
      <c r="B4" s="65" t="s">
        <v>157</v>
      </c>
      <c r="C4" s="65" t="s">
        <v>158</v>
      </c>
      <c r="D4" s="65" t="s">
        <v>154</v>
      </c>
      <c r="E4" s="71" t="s">
        <v>159</v>
      </c>
      <c r="F4" s="65" t="s">
        <v>160</v>
      </c>
    </row>
    <row r="5" spans="1:6">
      <c r="A5" s="65" t="s">
        <v>161</v>
      </c>
      <c r="B5" s="65" t="s">
        <v>162</v>
      </c>
      <c r="C5" s="65" t="s">
        <v>162</v>
      </c>
      <c r="D5" s="65" t="s">
        <v>163</v>
      </c>
      <c r="E5" s="71" t="s">
        <v>161</v>
      </c>
      <c r="F5" s="65" t="s">
        <v>164</v>
      </c>
    </row>
    <row r="6" spans="1:6">
      <c r="A6" s="68" t="s">
        <v>152</v>
      </c>
      <c r="B6" s="68" t="s">
        <v>152</v>
      </c>
      <c r="C6" s="68" t="s">
        <v>152</v>
      </c>
      <c r="D6" s="68" t="s">
        <v>152</v>
      </c>
      <c r="E6" s="72" t="s">
        <v>152</v>
      </c>
      <c r="F6" s="68" t="s">
        <v>152</v>
      </c>
    </row>
    <row r="7" spans="1:6">
      <c r="A7" s="73" t="s">
        <v>165</v>
      </c>
      <c r="B7" s="66">
        <v>1035</v>
      </c>
      <c r="C7" s="66">
        <v>1.5</v>
      </c>
      <c r="D7" s="66">
        <v>1.7</v>
      </c>
      <c r="E7" s="74">
        <v>0</v>
      </c>
      <c r="F7" s="75">
        <f t="shared" ref="F7:F18" si="0">((B37*C7)*D7)*E7</f>
        <v>0</v>
      </c>
    </row>
    <row r="8" spans="1:6">
      <c r="A8" s="73" t="s">
        <v>166</v>
      </c>
      <c r="B8" s="66">
        <v>1427</v>
      </c>
      <c r="C8" s="76">
        <v>1</v>
      </c>
      <c r="D8" s="66">
        <v>2.2999999999999998</v>
      </c>
      <c r="E8" s="74">
        <v>0</v>
      </c>
      <c r="F8" s="75">
        <f t="shared" si="0"/>
        <v>0</v>
      </c>
    </row>
    <row r="9" spans="1:6">
      <c r="A9" s="73" t="s">
        <v>167</v>
      </c>
      <c r="B9" s="66">
        <v>1170</v>
      </c>
      <c r="C9" s="76">
        <v>1</v>
      </c>
      <c r="D9" s="66">
        <v>2.6</v>
      </c>
      <c r="E9" s="74">
        <v>0</v>
      </c>
      <c r="F9" s="75">
        <f t="shared" si="0"/>
        <v>0</v>
      </c>
    </row>
    <row r="10" spans="1:6">
      <c r="A10" s="73" t="s">
        <v>168</v>
      </c>
      <c r="B10" s="66">
        <v>758</v>
      </c>
      <c r="C10" s="76">
        <v>1</v>
      </c>
      <c r="D10" s="76">
        <v>3</v>
      </c>
      <c r="E10" s="74">
        <v>0</v>
      </c>
      <c r="F10" s="75">
        <f t="shared" si="0"/>
        <v>0</v>
      </c>
    </row>
    <row r="11" spans="1:6">
      <c r="A11" s="73" t="s">
        <v>169</v>
      </c>
      <c r="B11" s="66">
        <v>542</v>
      </c>
      <c r="C11" s="76">
        <v>1.3</v>
      </c>
      <c r="D11" s="76">
        <v>2</v>
      </c>
      <c r="E11" s="74">
        <v>0</v>
      </c>
      <c r="F11" s="75">
        <f t="shared" si="0"/>
        <v>0</v>
      </c>
    </row>
    <row r="12" spans="1:6">
      <c r="A12" s="73" t="s">
        <v>170</v>
      </c>
      <c r="B12" s="66">
        <v>992</v>
      </c>
      <c r="C12" s="76">
        <v>2</v>
      </c>
      <c r="D12" s="76">
        <v>1.3</v>
      </c>
      <c r="E12" s="74">
        <v>0</v>
      </c>
      <c r="F12" s="75">
        <f t="shared" si="0"/>
        <v>0</v>
      </c>
    </row>
    <row r="13" spans="1:6">
      <c r="A13" s="73" t="s">
        <v>171</v>
      </c>
      <c r="B13" s="66">
        <v>775</v>
      </c>
      <c r="C13" s="76">
        <v>8</v>
      </c>
      <c r="D13" s="76">
        <v>2</v>
      </c>
      <c r="E13" s="74">
        <v>0</v>
      </c>
      <c r="F13" s="75">
        <f t="shared" si="0"/>
        <v>0</v>
      </c>
    </row>
    <row r="14" spans="1:6">
      <c r="A14" s="73" t="s">
        <v>172</v>
      </c>
      <c r="B14" s="66">
        <v>94</v>
      </c>
      <c r="C14" s="76">
        <v>2</v>
      </c>
      <c r="D14" s="76">
        <v>1.8</v>
      </c>
      <c r="E14" s="74">
        <v>0</v>
      </c>
      <c r="F14" s="75">
        <f t="shared" si="0"/>
        <v>0</v>
      </c>
    </row>
    <row r="15" spans="1:6">
      <c r="A15" s="73" t="s">
        <v>173</v>
      </c>
      <c r="B15" s="66">
        <v>255</v>
      </c>
      <c r="C15" s="76">
        <v>3</v>
      </c>
      <c r="D15" s="76">
        <v>3.8</v>
      </c>
      <c r="E15" s="74">
        <v>0</v>
      </c>
      <c r="F15" s="75">
        <f t="shared" si="0"/>
        <v>0</v>
      </c>
    </row>
    <row r="16" spans="1:6">
      <c r="A16" s="73" t="s">
        <v>174</v>
      </c>
      <c r="B16" s="66">
        <v>435</v>
      </c>
      <c r="C16" s="76">
        <v>3</v>
      </c>
      <c r="D16" s="76">
        <v>3.8</v>
      </c>
      <c r="E16" s="74">
        <v>0</v>
      </c>
      <c r="F16" s="75">
        <f t="shared" si="0"/>
        <v>0</v>
      </c>
    </row>
    <row r="17" spans="1:6">
      <c r="A17" s="73" t="s">
        <v>175</v>
      </c>
      <c r="B17" s="66">
        <v>145</v>
      </c>
      <c r="C17" s="76">
        <v>3</v>
      </c>
      <c r="D17" s="76">
        <v>3.8</v>
      </c>
      <c r="E17" s="74">
        <v>0</v>
      </c>
      <c r="F17" s="75">
        <f t="shared" si="0"/>
        <v>0</v>
      </c>
    </row>
    <row r="18" spans="1:6">
      <c r="A18" s="73" t="s">
        <v>176</v>
      </c>
      <c r="B18" s="77"/>
      <c r="C18" s="78"/>
      <c r="D18" s="76">
        <v>2.5</v>
      </c>
      <c r="E18" s="74">
        <v>0</v>
      </c>
      <c r="F18" s="75">
        <f t="shared" si="0"/>
        <v>0</v>
      </c>
    </row>
    <row r="19" spans="1:6">
      <c r="A19" s="73" t="s">
        <v>186</v>
      </c>
      <c r="B19" s="66">
        <v>87</v>
      </c>
      <c r="C19" s="76">
        <v>3</v>
      </c>
      <c r="D19" s="76">
        <v>3.4</v>
      </c>
      <c r="E19" s="74">
        <v>0</v>
      </c>
      <c r="F19" s="75">
        <f>((B48*C19)*D19)*E19</f>
        <v>0</v>
      </c>
    </row>
    <row r="20" spans="1:6">
      <c r="A20" s="73" t="s">
        <v>177</v>
      </c>
      <c r="B20" s="66">
        <v>97</v>
      </c>
      <c r="C20" s="76">
        <v>1.2</v>
      </c>
      <c r="D20" s="76">
        <v>3.4</v>
      </c>
      <c r="E20" s="74">
        <v>0</v>
      </c>
      <c r="F20" s="75">
        <f>((B48*C20)*D20)*E20</f>
        <v>0</v>
      </c>
    </row>
    <row r="21" spans="1:6">
      <c r="A21" s="73" t="s">
        <v>178</v>
      </c>
      <c r="B21" s="77"/>
      <c r="C21" s="78"/>
      <c r="D21" s="78"/>
      <c r="E21" s="74">
        <v>0</v>
      </c>
      <c r="F21" s="75">
        <f>((B49*C21)*D21)*E21</f>
        <v>0</v>
      </c>
    </row>
    <row r="22" spans="1:6">
      <c r="A22" s="79" t="s">
        <v>152</v>
      </c>
      <c r="B22" s="79" t="s">
        <v>152</v>
      </c>
      <c r="C22" s="79" t="s">
        <v>152</v>
      </c>
      <c r="D22" s="79" t="s">
        <v>152</v>
      </c>
      <c r="E22" s="80" t="s">
        <v>152</v>
      </c>
      <c r="F22" s="81" t="s">
        <v>152</v>
      </c>
    </row>
    <row r="23" spans="1:6">
      <c r="A23" s="73" t="s">
        <v>179</v>
      </c>
      <c r="C23" s="64"/>
      <c r="D23" s="64"/>
      <c r="E23" s="70">
        <f>SUM(E7:E21)</f>
        <v>0</v>
      </c>
      <c r="F23" s="75">
        <f>SUM(F7:F21)</f>
        <v>0</v>
      </c>
    </row>
    <row r="24" spans="1:6">
      <c r="E24" s="70"/>
    </row>
    <row r="25" spans="1:6">
      <c r="A25" s="73" t="s">
        <v>180</v>
      </c>
      <c r="B25" s="64"/>
      <c r="C25" s="64"/>
      <c r="D25" s="64"/>
      <c r="E25" s="82"/>
      <c r="F25" s="75">
        <f>F23*30</f>
        <v>0</v>
      </c>
    </row>
    <row r="26" spans="1:6">
      <c r="A26" s="64"/>
      <c r="B26" s="64"/>
      <c r="C26" s="64"/>
      <c r="D26" s="64"/>
      <c r="E26" s="82"/>
      <c r="F26" s="75"/>
    </row>
    <row r="27" spans="1:6">
      <c r="A27" s="68" t="s">
        <v>152</v>
      </c>
      <c r="B27" s="68" t="s">
        <v>152</v>
      </c>
      <c r="C27" s="68" t="s">
        <v>152</v>
      </c>
      <c r="D27" s="68" t="s">
        <v>152</v>
      </c>
      <c r="E27" s="72" t="s">
        <v>152</v>
      </c>
      <c r="F27" s="68" t="s">
        <v>152</v>
      </c>
    </row>
    <row r="28" spans="1:6">
      <c r="E28" s="70"/>
    </row>
    <row r="29" spans="1:6">
      <c r="E29" s="70"/>
    </row>
    <row r="30" spans="1:6">
      <c r="E30" s="70"/>
    </row>
    <row r="31" spans="1:6">
      <c r="A31" s="64"/>
      <c r="B31" s="64"/>
      <c r="C31" s="65" t="s">
        <v>181</v>
      </c>
      <c r="E31" s="70"/>
    </row>
    <row r="32" spans="1:6">
      <c r="A32" s="68" t="s">
        <v>152</v>
      </c>
      <c r="B32" s="68" t="s">
        <v>152</v>
      </c>
      <c r="C32" s="68" t="s">
        <v>152</v>
      </c>
      <c r="D32" s="68" t="s">
        <v>152</v>
      </c>
      <c r="E32" s="72" t="s">
        <v>152</v>
      </c>
      <c r="F32" s="68" t="s">
        <v>152</v>
      </c>
    </row>
    <row r="33" spans="1:6">
      <c r="A33" s="64"/>
      <c r="B33" s="65" t="s">
        <v>153</v>
      </c>
      <c r="C33" s="65" t="s">
        <v>182</v>
      </c>
      <c r="E33" s="70"/>
    </row>
    <row r="34" spans="1:6">
      <c r="A34" s="73" t="s">
        <v>156</v>
      </c>
      <c r="B34" s="73" t="s">
        <v>157</v>
      </c>
      <c r="C34" s="73" t="s">
        <v>183</v>
      </c>
      <c r="D34" s="64"/>
      <c r="E34" s="71" t="s">
        <v>159</v>
      </c>
      <c r="F34" s="65" t="s">
        <v>160</v>
      </c>
    </row>
    <row r="35" spans="1:6">
      <c r="A35" s="73" t="s">
        <v>161</v>
      </c>
      <c r="B35" s="73" t="s">
        <v>162</v>
      </c>
      <c r="C35" s="73" t="s">
        <v>184</v>
      </c>
      <c r="D35" s="64"/>
      <c r="E35" s="71" t="s">
        <v>161</v>
      </c>
      <c r="F35" s="65" t="s">
        <v>164</v>
      </c>
    </row>
    <row r="36" spans="1:6">
      <c r="A36" s="68" t="s">
        <v>152</v>
      </c>
      <c r="B36" s="68" t="s">
        <v>152</v>
      </c>
      <c r="C36" s="68" t="s">
        <v>152</v>
      </c>
      <c r="D36" s="68" t="s">
        <v>152</v>
      </c>
      <c r="E36" s="72" t="s">
        <v>152</v>
      </c>
      <c r="F36" s="68" t="s">
        <v>152</v>
      </c>
    </row>
    <row r="37" spans="1:6">
      <c r="A37" s="73" t="s">
        <v>165</v>
      </c>
      <c r="B37" s="66">
        <v>1035</v>
      </c>
      <c r="C37" s="66">
        <v>40.1</v>
      </c>
      <c r="D37" s="64"/>
      <c r="E37" s="67">
        <v>0</v>
      </c>
      <c r="F37" s="75">
        <f t="shared" ref="F37:F49" si="1">((B37*C37)*E37)/30</f>
        <v>0</v>
      </c>
    </row>
    <row r="38" spans="1:6">
      <c r="A38" s="73" t="s">
        <v>166</v>
      </c>
      <c r="B38" s="66">
        <v>1427</v>
      </c>
      <c r="C38" s="76">
        <v>31.1</v>
      </c>
      <c r="D38" s="64"/>
      <c r="E38" s="67">
        <v>0</v>
      </c>
      <c r="F38" s="75">
        <f t="shared" si="1"/>
        <v>0</v>
      </c>
    </row>
    <row r="39" spans="1:6">
      <c r="A39" s="73" t="s">
        <v>167</v>
      </c>
      <c r="B39" s="66">
        <v>1170</v>
      </c>
      <c r="C39" s="76">
        <v>47.2</v>
      </c>
      <c r="D39" s="64"/>
      <c r="E39" s="67">
        <v>0</v>
      </c>
      <c r="F39" s="75">
        <f t="shared" si="1"/>
        <v>0</v>
      </c>
    </row>
    <row r="40" spans="1:6">
      <c r="A40" s="73" t="s">
        <v>168</v>
      </c>
      <c r="B40" s="66">
        <v>758</v>
      </c>
      <c r="C40" s="76">
        <v>39.9</v>
      </c>
      <c r="D40" s="76"/>
      <c r="E40" s="67">
        <f>+E10</f>
        <v>0</v>
      </c>
      <c r="F40" s="75">
        <f t="shared" si="1"/>
        <v>0</v>
      </c>
    </row>
    <row r="41" spans="1:6">
      <c r="A41" s="73" t="s">
        <v>169</v>
      </c>
      <c r="B41" s="66">
        <v>542</v>
      </c>
      <c r="C41" s="76">
        <v>35</v>
      </c>
      <c r="D41" s="76"/>
      <c r="E41" s="67">
        <f>+E11</f>
        <v>0</v>
      </c>
      <c r="F41" s="75">
        <f t="shared" si="1"/>
        <v>0</v>
      </c>
    </row>
    <row r="42" spans="1:6">
      <c r="A42" s="73" t="s">
        <v>170</v>
      </c>
      <c r="B42" s="66">
        <v>992</v>
      </c>
      <c r="C42" s="76">
        <v>48.8</v>
      </c>
      <c r="D42" s="76"/>
      <c r="E42" s="67">
        <f>+E12</f>
        <v>0</v>
      </c>
      <c r="F42" s="75">
        <f t="shared" si="1"/>
        <v>0</v>
      </c>
    </row>
    <row r="43" spans="1:6">
      <c r="A43" s="73" t="s">
        <v>171</v>
      </c>
      <c r="B43" s="66">
        <v>775</v>
      </c>
      <c r="C43" s="76">
        <v>120</v>
      </c>
      <c r="D43" s="76"/>
      <c r="E43" s="67">
        <v>0</v>
      </c>
      <c r="F43" s="75">
        <f t="shared" si="1"/>
        <v>0</v>
      </c>
    </row>
    <row r="44" spans="1:6">
      <c r="A44" s="73" t="s">
        <v>172</v>
      </c>
      <c r="B44" s="66">
        <v>94</v>
      </c>
      <c r="C44" s="76">
        <v>34.5</v>
      </c>
      <c r="D44" s="76"/>
      <c r="E44" s="67">
        <f>+E14</f>
        <v>0</v>
      </c>
      <c r="F44" s="75">
        <f t="shared" si="1"/>
        <v>0</v>
      </c>
    </row>
    <row r="45" spans="1:6">
      <c r="A45" s="73" t="s">
        <v>173</v>
      </c>
      <c r="B45" s="66">
        <v>255</v>
      </c>
      <c r="C45" s="76">
        <v>35.5</v>
      </c>
      <c r="D45" s="76"/>
      <c r="E45" s="67">
        <f>+E15</f>
        <v>0</v>
      </c>
      <c r="F45" s="75">
        <f t="shared" si="1"/>
        <v>0</v>
      </c>
    </row>
    <row r="46" spans="1:6">
      <c r="A46" s="73" t="s">
        <v>174</v>
      </c>
      <c r="B46" s="66">
        <v>435</v>
      </c>
      <c r="C46" s="76">
        <v>35.5</v>
      </c>
      <c r="D46" s="76"/>
      <c r="E46" s="67">
        <v>0</v>
      </c>
      <c r="F46" s="75">
        <f t="shared" si="1"/>
        <v>0</v>
      </c>
    </row>
    <row r="47" spans="1:6">
      <c r="A47" s="73" t="s">
        <v>175</v>
      </c>
      <c r="B47" s="66">
        <v>145</v>
      </c>
      <c r="C47" s="76">
        <v>35.200000000000003</v>
      </c>
      <c r="D47" s="76"/>
      <c r="E47" s="67">
        <f>+E17</f>
        <v>0</v>
      </c>
      <c r="F47" s="75">
        <f t="shared" si="1"/>
        <v>0</v>
      </c>
    </row>
    <row r="48" spans="1:6">
      <c r="A48" s="73" t="s">
        <v>185</v>
      </c>
      <c r="B48" s="66">
        <v>87</v>
      </c>
      <c r="C48" s="76">
        <v>36.299999999999997</v>
      </c>
      <c r="D48" s="76"/>
      <c r="E48" s="67">
        <v>0</v>
      </c>
      <c r="F48" s="75">
        <f t="shared" si="1"/>
        <v>0</v>
      </c>
    </row>
    <row r="49" spans="1:6">
      <c r="A49" s="73" t="s">
        <v>177</v>
      </c>
      <c r="B49" s="66">
        <v>97</v>
      </c>
      <c r="C49" s="76">
        <v>35.4</v>
      </c>
      <c r="D49" s="76"/>
      <c r="E49" s="67">
        <f>+E21</f>
        <v>0</v>
      </c>
      <c r="F49" s="75">
        <f t="shared" si="1"/>
        <v>0</v>
      </c>
    </row>
    <row r="50" spans="1:6">
      <c r="A50" s="79" t="s">
        <v>152</v>
      </c>
      <c r="B50" s="79" t="s">
        <v>152</v>
      </c>
      <c r="C50" s="79" t="s">
        <v>152</v>
      </c>
      <c r="D50" s="79" t="s">
        <v>152</v>
      </c>
      <c r="E50" s="80" t="s">
        <v>152</v>
      </c>
      <c r="F50" s="81" t="s">
        <v>152</v>
      </c>
    </row>
    <row r="51" spans="1:6">
      <c r="A51" s="73" t="s">
        <v>179</v>
      </c>
      <c r="C51" s="64"/>
      <c r="D51" s="64"/>
      <c r="E51" s="70">
        <f>SUM(E37:E49)</f>
        <v>0</v>
      </c>
      <c r="F51" s="75">
        <f>SUM(F37:F49)</f>
        <v>0</v>
      </c>
    </row>
    <row r="53" spans="1:6">
      <c r="A53" s="73" t="s">
        <v>180</v>
      </c>
      <c r="B53" s="64"/>
      <c r="C53" s="64"/>
      <c r="D53" s="64"/>
      <c r="E53" s="83"/>
      <c r="F53" s="75">
        <f>F51*30</f>
        <v>0</v>
      </c>
    </row>
  </sheetData>
  <pageMargins left="0.7" right="0.7" top="0.75" bottom="0.75" header="0.3" footer="0.3"/>
  <pageSetup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F28"/>
  <sheetViews>
    <sheetView workbookViewId="0">
      <selection activeCell="H16" sqref="H16"/>
    </sheetView>
  </sheetViews>
  <sheetFormatPr defaultRowHeight="13.5"/>
  <cols>
    <col min="1" max="1" width="15.5703125" style="1" customWidth="1"/>
    <col min="2" max="2" width="13.85546875" style="1" customWidth="1"/>
    <col min="3" max="5" width="18.7109375" style="6" customWidth="1"/>
    <col min="6" max="16384" width="9.140625" style="1"/>
  </cols>
  <sheetData>
    <row r="1" spans="1:6">
      <c r="A1" s="644" t="s">
        <v>37</v>
      </c>
      <c r="B1" s="644"/>
      <c r="C1" s="644"/>
      <c r="D1" s="644"/>
      <c r="E1" s="644"/>
    </row>
    <row r="2" spans="1:6" ht="27">
      <c r="A2" s="2"/>
      <c r="B2" s="2" t="s">
        <v>40</v>
      </c>
      <c r="C2" s="3" t="s">
        <v>41</v>
      </c>
      <c r="D2" s="3" t="s">
        <v>42</v>
      </c>
      <c r="E2" s="3" t="s">
        <v>43</v>
      </c>
      <c r="F2" s="4"/>
    </row>
    <row r="3" spans="1:6">
      <c r="A3" s="645" t="s">
        <v>38</v>
      </c>
      <c r="B3" s="2" t="s">
        <v>44</v>
      </c>
      <c r="C3" s="2">
        <v>4</v>
      </c>
      <c r="D3" s="2">
        <v>32</v>
      </c>
      <c r="E3" s="2">
        <v>48</v>
      </c>
    </row>
    <row r="4" spans="1:6">
      <c r="A4" s="645"/>
      <c r="B4" s="2" t="s">
        <v>45</v>
      </c>
      <c r="C4" s="2">
        <v>3</v>
      </c>
      <c r="D4" s="2">
        <v>24</v>
      </c>
      <c r="E4" s="2">
        <v>36</v>
      </c>
    </row>
    <row r="5" spans="1:6">
      <c r="A5" s="645" t="s">
        <v>39</v>
      </c>
      <c r="B5" s="2" t="s">
        <v>46</v>
      </c>
      <c r="C5" s="2">
        <v>2</v>
      </c>
      <c r="D5" s="2">
        <v>16</v>
      </c>
      <c r="E5" s="2">
        <v>24</v>
      </c>
    </row>
    <row r="6" spans="1:6">
      <c r="A6" s="645"/>
      <c r="B6" s="2" t="s">
        <v>45</v>
      </c>
      <c r="C6" s="2">
        <v>1</v>
      </c>
      <c r="D6" s="2">
        <v>8</v>
      </c>
      <c r="E6" s="2">
        <v>12</v>
      </c>
    </row>
    <row r="7" spans="1:6">
      <c r="A7" s="645" t="s">
        <v>47</v>
      </c>
      <c r="B7" s="645"/>
      <c r="C7" s="645"/>
      <c r="D7" s="645"/>
      <c r="E7" s="645"/>
    </row>
    <row r="8" spans="1:6">
      <c r="A8" s="5"/>
      <c r="B8" s="5"/>
      <c r="C8" s="5"/>
      <c r="D8" s="5"/>
      <c r="E8" s="5"/>
    </row>
    <row r="9" spans="1:6">
      <c r="A9" s="644" t="s">
        <v>48</v>
      </c>
      <c r="B9" s="644"/>
      <c r="C9" s="644"/>
      <c r="D9" s="644"/>
      <c r="E9" s="644"/>
    </row>
    <row r="10" spans="1:6">
      <c r="A10" s="642"/>
      <c r="B10" s="643"/>
      <c r="C10" s="2" t="s">
        <v>40</v>
      </c>
      <c r="D10" s="3" t="s">
        <v>51</v>
      </c>
      <c r="E10" s="3" t="s">
        <v>52</v>
      </c>
    </row>
    <row r="11" spans="1:6">
      <c r="A11" s="638" t="s">
        <v>49</v>
      </c>
      <c r="B11" s="639"/>
      <c r="C11" s="2" t="s">
        <v>44</v>
      </c>
      <c r="D11" s="2" t="s">
        <v>53</v>
      </c>
      <c r="E11" s="2" t="s">
        <v>57</v>
      </c>
    </row>
    <row r="12" spans="1:6">
      <c r="A12" s="640"/>
      <c r="B12" s="641"/>
      <c r="C12" s="2" t="s">
        <v>45</v>
      </c>
      <c r="D12" s="2" t="s">
        <v>54</v>
      </c>
      <c r="E12" s="2" t="s">
        <v>58</v>
      </c>
    </row>
    <row r="13" spans="1:6">
      <c r="A13" s="638" t="s">
        <v>50</v>
      </c>
      <c r="B13" s="639"/>
      <c r="C13" s="2" t="s">
        <v>46</v>
      </c>
      <c r="D13" s="2" t="s">
        <v>55</v>
      </c>
      <c r="E13" s="2" t="s">
        <v>59</v>
      </c>
    </row>
    <row r="14" spans="1:6">
      <c r="A14" s="640"/>
      <c r="B14" s="641"/>
      <c r="C14" s="2" t="s">
        <v>45</v>
      </c>
      <c r="D14" s="2" t="s">
        <v>56</v>
      </c>
      <c r="E14" s="2" t="s">
        <v>60</v>
      </c>
    </row>
    <row r="15" spans="1:6">
      <c r="A15" s="5"/>
      <c r="B15" s="5"/>
      <c r="C15" s="5"/>
      <c r="D15" s="5"/>
      <c r="E15" s="5"/>
    </row>
    <row r="16" spans="1:6">
      <c r="A16" s="644" t="s">
        <v>66</v>
      </c>
      <c r="B16" s="644"/>
      <c r="C16" s="644"/>
      <c r="D16" s="644"/>
      <c r="E16" s="644"/>
    </row>
    <row r="17" spans="1:5">
      <c r="A17" s="642"/>
      <c r="B17" s="643"/>
      <c r="C17" s="2" t="s">
        <v>40</v>
      </c>
      <c r="D17" s="3" t="s">
        <v>51</v>
      </c>
      <c r="E17" s="3" t="s">
        <v>52</v>
      </c>
    </row>
    <row r="18" spans="1:5">
      <c r="A18" s="638" t="s">
        <v>49</v>
      </c>
      <c r="B18" s="639"/>
      <c r="C18" s="2" t="s">
        <v>44</v>
      </c>
      <c r="D18" s="2" t="s">
        <v>61</v>
      </c>
      <c r="E18" s="2" t="s">
        <v>61</v>
      </c>
    </row>
    <row r="19" spans="1:5">
      <c r="A19" s="640"/>
      <c r="B19" s="641"/>
      <c r="C19" s="2" t="s">
        <v>45</v>
      </c>
      <c r="D19" s="2" t="s">
        <v>62</v>
      </c>
      <c r="E19" s="2" t="s">
        <v>64</v>
      </c>
    </row>
    <row r="20" spans="1:5">
      <c r="A20" s="638" t="s">
        <v>50</v>
      </c>
      <c r="B20" s="639"/>
      <c r="C20" s="2" t="s">
        <v>46</v>
      </c>
      <c r="D20" s="2" t="s">
        <v>63</v>
      </c>
      <c r="E20" s="2" t="s">
        <v>62</v>
      </c>
    </row>
    <row r="21" spans="1:5">
      <c r="A21" s="640"/>
      <c r="B21" s="641"/>
      <c r="C21" s="2" t="s">
        <v>45</v>
      </c>
      <c r="D21" s="2" t="s">
        <v>64</v>
      </c>
      <c r="E21" s="2" t="s">
        <v>65</v>
      </c>
    </row>
    <row r="23" spans="1:5">
      <c r="A23" s="644" t="s">
        <v>67</v>
      </c>
      <c r="B23" s="644"/>
      <c r="C23" s="644"/>
      <c r="D23" s="644"/>
      <c r="E23" s="644"/>
    </row>
    <row r="24" spans="1:5">
      <c r="A24" s="642"/>
      <c r="B24" s="643"/>
      <c r="C24" s="2" t="s">
        <v>40</v>
      </c>
      <c r="D24" s="3" t="s">
        <v>51</v>
      </c>
      <c r="E24" s="3" t="s">
        <v>52</v>
      </c>
    </row>
    <row r="25" spans="1:5">
      <c r="A25" s="638" t="s">
        <v>49</v>
      </c>
      <c r="B25" s="639"/>
      <c r="C25" s="2" t="s">
        <v>44</v>
      </c>
      <c r="D25" s="2" t="s">
        <v>65</v>
      </c>
      <c r="E25" s="2" t="s">
        <v>69</v>
      </c>
    </row>
    <row r="26" spans="1:5">
      <c r="A26" s="640"/>
      <c r="B26" s="641"/>
      <c r="C26" s="2" t="s">
        <v>45</v>
      </c>
      <c r="D26" s="2" t="s">
        <v>68</v>
      </c>
      <c r="E26" s="2" t="s">
        <v>70</v>
      </c>
    </row>
    <row r="27" spans="1:5">
      <c r="A27" s="638" t="s">
        <v>50</v>
      </c>
      <c r="B27" s="639"/>
      <c r="C27" s="2" t="s">
        <v>46</v>
      </c>
      <c r="D27" s="2" t="s">
        <v>69</v>
      </c>
      <c r="E27" s="2" t="s">
        <v>71</v>
      </c>
    </row>
    <row r="28" spans="1:5">
      <c r="A28" s="640"/>
      <c r="B28" s="641"/>
      <c r="C28" s="2" t="s">
        <v>45</v>
      </c>
      <c r="D28" s="2" t="s">
        <v>70</v>
      </c>
      <c r="E28" s="2" t="s">
        <v>72</v>
      </c>
    </row>
  </sheetData>
  <mergeCells count="16">
    <mergeCell ref="A27:B28"/>
    <mergeCell ref="A17:B17"/>
    <mergeCell ref="A18:B19"/>
    <mergeCell ref="A20:B21"/>
    <mergeCell ref="A23:E23"/>
    <mergeCell ref="A24:B24"/>
    <mergeCell ref="A25:B26"/>
    <mergeCell ref="A11:B12"/>
    <mergeCell ref="A13:B14"/>
    <mergeCell ref="A10:B10"/>
    <mergeCell ref="A16:E16"/>
    <mergeCell ref="A1:E1"/>
    <mergeCell ref="A3:A4"/>
    <mergeCell ref="A5:A6"/>
    <mergeCell ref="A7:E7"/>
    <mergeCell ref="A9:E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R44"/>
  <sheetViews>
    <sheetView workbookViewId="0">
      <selection activeCell="K29" sqref="K29"/>
    </sheetView>
  </sheetViews>
  <sheetFormatPr defaultRowHeight="12.75"/>
  <cols>
    <col min="1" max="1" width="13" customWidth="1"/>
    <col min="2" max="2" width="23.5703125" customWidth="1"/>
    <col min="5" max="5" width="11.5703125" bestFit="1" customWidth="1"/>
    <col min="8" max="8" width="36.42578125" customWidth="1"/>
    <col min="9" max="9" width="12.42578125" bestFit="1" customWidth="1"/>
    <col min="10" max="10" width="12.140625" bestFit="1" customWidth="1"/>
    <col min="11" max="11" width="12.7109375" bestFit="1" customWidth="1"/>
    <col min="12" max="12" width="14.42578125" bestFit="1" customWidth="1"/>
    <col min="13" max="13" width="9.5703125" customWidth="1"/>
    <col min="14" max="14" width="11.42578125" customWidth="1"/>
    <col min="15" max="15" width="16.85546875" customWidth="1"/>
  </cols>
  <sheetData>
    <row r="1" spans="1:15">
      <c r="A1" s="646" t="s">
        <v>362</v>
      </c>
      <c r="B1" s="646"/>
      <c r="C1" s="646"/>
      <c r="D1" s="646"/>
      <c r="E1" s="646"/>
      <c r="G1" s="647" t="s">
        <v>361</v>
      </c>
      <c r="H1" s="648"/>
      <c r="I1" s="648"/>
      <c r="J1" s="648"/>
      <c r="K1" s="648"/>
      <c r="L1" s="648"/>
      <c r="M1" s="648"/>
      <c r="N1" s="648"/>
      <c r="O1" s="649"/>
    </row>
    <row r="2" spans="1:15" ht="25.5">
      <c r="A2" s="259" t="s">
        <v>357</v>
      </c>
      <c r="B2" s="259" t="s">
        <v>356</v>
      </c>
      <c r="C2" s="260" t="s">
        <v>360</v>
      </c>
      <c r="D2" s="260" t="s">
        <v>359</v>
      </c>
      <c r="E2" s="260" t="s">
        <v>358</v>
      </c>
      <c r="G2" s="259" t="s">
        <v>357</v>
      </c>
      <c r="H2" s="259" t="s">
        <v>356</v>
      </c>
      <c r="I2" s="259" t="s">
        <v>355</v>
      </c>
      <c r="J2" s="259" t="s">
        <v>354</v>
      </c>
      <c r="K2" s="259" t="s">
        <v>353</v>
      </c>
      <c r="L2" s="259" t="s">
        <v>352</v>
      </c>
      <c r="M2" s="258" t="s">
        <v>351</v>
      </c>
      <c r="N2" s="258" t="s">
        <v>350</v>
      </c>
      <c r="O2" s="258" t="s">
        <v>349</v>
      </c>
    </row>
    <row r="3" spans="1:15">
      <c r="A3" s="251" t="s">
        <v>348</v>
      </c>
      <c r="B3" s="251" t="s">
        <v>346</v>
      </c>
      <c r="C3" s="261"/>
      <c r="D3" s="265"/>
      <c r="E3" s="262"/>
      <c r="G3" s="251" t="s">
        <v>348</v>
      </c>
      <c r="H3" s="251" t="s">
        <v>347</v>
      </c>
      <c r="I3" s="253"/>
      <c r="J3" s="253"/>
      <c r="K3" s="253">
        <v>620</v>
      </c>
      <c r="L3" s="253"/>
      <c r="M3" s="253"/>
      <c r="N3" s="253"/>
      <c r="O3" s="253"/>
    </row>
    <row r="4" spans="1:15">
      <c r="A4" s="251" t="s">
        <v>345</v>
      </c>
      <c r="B4" s="251" t="s">
        <v>346</v>
      </c>
      <c r="C4" s="261"/>
      <c r="D4" s="265"/>
      <c r="E4" s="262"/>
      <c r="G4" s="251" t="s">
        <v>345</v>
      </c>
      <c r="H4" s="251" t="s">
        <v>344</v>
      </c>
      <c r="I4" s="253"/>
      <c r="J4" s="253"/>
      <c r="K4" s="253">
        <v>168</v>
      </c>
      <c r="L4" s="253"/>
      <c r="M4" s="253"/>
      <c r="N4" s="253"/>
      <c r="O4" s="253"/>
    </row>
    <row r="5" spans="1:15">
      <c r="A5" s="251" t="s">
        <v>342</v>
      </c>
      <c r="B5" s="251" t="s">
        <v>343</v>
      </c>
      <c r="C5" s="261"/>
      <c r="D5" s="264"/>
      <c r="E5" s="263"/>
      <c r="G5" s="251" t="s">
        <v>342</v>
      </c>
      <c r="H5" s="251" t="s">
        <v>341</v>
      </c>
      <c r="I5" s="253"/>
      <c r="J5" s="253"/>
      <c r="K5" s="253">
        <v>3000</v>
      </c>
      <c r="L5" s="253"/>
      <c r="M5" s="253"/>
      <c r="N5" s="253"/>
      <c r="O5" s="253"/>
    </row>
    <row r="6" spans="1:15">
      <c r="A6" s="251" t="s">
        <v>339</v>
      </c>
      <c r="B6" s="251" t="s">
        <v>340</v>
      </c>
      <c r="C6" s="261">
        <v>3</v>
      </c>
      <c r="D6" s="264">
        <v>3</v>
      </c>
      <c r="E6" s="263">
        <v>3</v>
      </c>
      <c r="G6" s="251" t="s">
        <v>339</v>
      </c>
      <c r="H6" s="251" t="s">
        <v>338</v>
      </c>
      <c r="I6" s="253"/>
      <c r="J6" s="253"/>
      <c r="K6" s="253">
        <v>900</v>
      </c>
      <c r="L6" s="253"/>
      <c r="M6" s="253"/>
      <c r="N6" s="253"/>
      <c r="O6" s="253"/>
    </row>
    <row r="7" spans="1:15">
      <c r="A7" s="251" t="s">
        <v>336</v>
      </c>
      <c r="B7" s="251" t="s">
        <v>337</v>
      </c>
      <c r="C7" s="261">
        <v>3</v>
      </c>
      <c r="D7" s="264">
        <v>3</v>
      </c>
      <c r="E7" s="263">
        <v>3</v>
      </c>
      <c r="G7" s="251" t="s">
        <v>336</v>
      </c>
      <c r="H7" s="251" t="s">
        <v>335</v>
      </c>
      <c r="I7" s="253"/>
      <c r="J7" s="253"/>
      <c r="K7" s="253"/>
      <c r="L7" s="253">
        <v>900</v>
      </c>
      <c r="M7" s="253"/>
      <c r="N7" s="253"/>
      <c r="O7" s="253"/>
    </row>
    <row r="8" spans="1:15">
      <c r="A8" s="251" t="s">
        <v>333</v>
      </c>
      <c r="B8" s="251" t="s">
        <v>334</v>
      </c>
      <c r="C8" s="261"/>
      <c r="D8" s="264"/>
      <c r="E8" s="263"/>
      <c r="G8" s="251" t="s">
        <v>333</v>
      </c>
      <c r="H8" s="251" t="s">
        <v>332</v>
      </c>
      <c r="I8" s="253"/>
      <c r="J8" s="253"/>
      <c r="K8" s="253"/>
      <c r="L8" s="253">
        <v>3000</v>
      </c>
      <c r="M8" s="253"/>
      <c r="N8" s="253"/>
      <c r="O8" s="253"/>
    </row>
    <row r="9" spans="1:15">
      <c r="A9" s="251" t="s">
        <v>330</v>
      </c>
      <c r="B9" s="251" t="s">
        <v>331</v>
      </c>
      <c r="C9" s="261">
        <v>5</v>
      </c>
      <c r="D9" s="264">
        <v>5</v>
      </c>
      <c r="E9" s="263">
        <v>1</v>
      </c>
      <c r="G9" s="251" t="s">
        <v>330</v>
      </c>
      <c r="H9" s="251" t="s">
        <v>329</v>
      </c>
      <c r="I9" s="253">
        <v>16</v>
      </c>
      <c r="J9" s="256">
        <v>0.5</v>
      </c>
      <c r="K9" s="253"/>
      <c r="L9" s="253"/>
      <c r="M9" s="253">
        <v>2</v>
      </c>
      <c r="N9" s="253">
        <v>2</v>
      </c>
      <c r="O9" s="253">
        <v>6</v>
      </c>
    </row>
    <row r="10" spans="1:15" ht="22.5">
      <c r="A10" s="251" t="s">
        <v>328</v>
      </c>
      <c r="B10" s="257" t="s">
        <v>327</v>
      </c>
      <c r="C10" s="261">
        <v>2</v>
      </c>
      <c r="D10" s="264">
        <v>2</v>
      </c>
      <c r="E10" s="263">
        <v>1</v>
      </c>
      <c r="G10" s="251" t="s">
        <v>328</v>
      </c>
      <c r="H10" s="251" t="s">
        <v>327</v>
      </c>
      <c r="I10" s="253">
        <v>20</v>
      </c>
      <c r="J10" s="256">
        <v>1</v>
      </c>
      <c r="K10" s="253"/>
      <c r="L10" s="253"/>
      <c r="M10" s="253">
        <v>3</v>
      </c>
      <c r="N10" s="253">
        <v>4</v>
      </c>
      <c r="O10" s="253">
        <v>8</v>
      </c>
    </row>
    <row r="11" spans="1:15">
      <c r="A11" s="251" t="s">
        <v>325</v>
      </c>
      <c r="B11" s="251" t="s">
        <v>326</v>
      </c>
      <c r="C11" s="261"/>
      <c r="D11" s="264"/>
      <c r="E11" s="263"/>
      <c r="G11" s="251" t="s">
        <v>325</v>
      </c>
      <c r="H11" s="251" t="s">
        <v>324</v>
      </c>
      <c r="I11" s="253"/>
      <c r="J11" s="256">
        <v>1</v>
      </c>
      <c r="K11" s="253"/>
      <c r="L11" s="253"/>
      <c r="M11" s="253">
        <v>3</v>
      </c>
      <c r="N11" s="253">
        <v>4</v>
      </c>
      <c r="O11" s="253">
        <v>8</v>
      </c>
    </row>
    <row r="12" spans="1:15">
      <c r="A12" s="251" t="s">
        <v>323</v>
      </c>
      <c r="B12" s="251" t="s">
        <v>311</v>
      </c>
      <c r="C12" s="261"/>
      <c r="D12" s="264"/>
      <c r="E12" s="263"/>
      <c r="G12" s="251" t="s">
        <v>323</v>
      </c>
      <c r="H12" s="251" t="s">
        <v>309</v>
      </c>
      <c r="I12" s="253"/>
      <c r="J12" s="256">
        <v>1</v>
      </c>
      <c r="K12" s="253"/>
      <c r="L12" s="253"/>
      <c r="M12" s="253">
        <v>3</v>
      </c>
      <c r="N12" s="253">
        <v>4</v>
      </c>
      <c r="O12" s="253">
        <v>8</v>
      </c>
    </row>
    <row r="13" spans="1:15">
      <c r="A13" s="251" t="s">
        <v>321</v>
      </c>
      <c r="B13" s="251" t="s">
        <v>322</v>
      </c>
      <c r="C13" s="261">
        <v>9</v>
      </c>
      <c r="D13" s="264">
        <v>9</v>
      </c>
      <c r="E13" s="263">
        <v>3</v>
      </c>
      <c r="G13" s="251" t="s">
        <v>321</v>
      </c>
      <c r="H13" s="251" t="s">
        <v>320</v>
      </c>
      <c r="I13" s="253">
        <v>16</v>
      </c>
      <c r="J13" s="253">
        <v>0.5</v>
      </c>
      <c r="K13" s="253"/>
      <c r="L13" s="253"/>
      <c r="M13" s="253">
        <v>2</v>
      </c>
      <c r="N13" s="253">
        <v>2</v>
      </c>
      <c r="O13" s="253">
        <v>6</v>
      </c>
    </row>
    <row r="14" spans="1:15">
      <c r="A14" s="251" t="s">
        <v>319</v>
      </c>
      <c r="B14" s="251" t="s">
        <v>318</v>
      </c>
      <c r="C14" s="261">
        <v>2</v>
      </c>
      <c r="D14" s="264">
        <v>2</v>
      </c>
      <c r="E14" s="263">
        <v>0</v>
      </c>
      <c r="G14" s="251" t="s">
        <v>319</v>
      </c>
      <c r="H14" s="251" t="s">
        <v>318</v>
      </c>
      <c r="I14" s="253"/>
      <c r="J14" s="253"/>
      <c r="K14" s="253">
        <v>2500</v>
      </c>
      <c r="L14" s="253"/>
      <c r="M14" s="253"/>
      <c r="N14" s="253"/>
      <c r="O14" s="253"/>
    </row>
    <row r="15" spans="1:15" ht="22.5">
      <c r="A15" s="251" t="s">
        <v>316</v>
      </c>
      <c r="B15" s="257" t="s">
        <v>317</v>
      </c>
      <c r="C15" s="261"/>
      <c r="D15" s="264"/>
      <c r="E15" s="263"/>
      <c r="G15" s="251" t="s">
        <v>316</v>
      </c>
      <c r="H15" s="251" t="s">
        <v>315</v>
      </c>
      <c r="I15" s="253"/>
      <c r="J15" s="253"/>
      <c r="K15" s="253">
        <v>5000</v>
      </c>
      <c r="L15" s="253"/>
      <c r="M15" s="253"/>
      <c r="N15" s="253"/>
      <c r="O15" s="253"/>
    </row>
    <row r="16" spans="1:15">
      <c r="A16" s="251" t="s">
        <v>313</v>
      </c>
      <c r="B16" s="251" t="s">
        <v>314</v>
      </c>
      <c r="C16" s="261">
        <v>1</v>
      </c>
      <c r="D16" s="264">
        <v>1</v>
      </c>
      <c r="E16" s="263">
        <v>0</v>
      </c>
      <c r="G16" s="251" t="s">
        <v>313</v>
      </c>
      <c r="H16" s="251" t="s">
        <v>312</v>
      </c>
      <c r="I16" s="253"/>
      <c r="J16" s="256">
        <v>1</v>
      </c>
      <c r="K16" s="253"/>
      <c r="L16" s="253"/>
      <c r="M16" s="253"/>
      <c r="N16" s="253"/>
      <c r="O16" s="253"/>
    </row>
    <row r="17" spans="1:18">
      <c r="A17" s="251" t="s">
        <v>310</v>
      </c>
      <c r="B17" s="251" t="s">
        <v>311</v>
      </c>
      <c r="C17" s="261">
        <v>4</v>
      </c>
      <c r="D17" s="264">
        <v>4</v>
      </c>
      <c r="E17" s="263">
        <v>2</v>
      </c>
      <c r="G17" s="251" t="s">
        <v>310</v>
      </c>
      <c r="H17" s="251" t="s">
        <v>309</v>
      </c>
      <c r="I17" s="253"/>
      <c r="J17" s="256">
        <v>1</v>
      </c>
      <c r="K17" s="253"/>
      <c r="L17" s="253"/>
      <c r="M17" s="253">
        <v>3</v>
      </c>
      <c r="N17" s="253">
        <v>4</v>
      </c>
      <c r="O17" s="253">
        <v>8</v>
      </c>
    </row>
    <row r="18" spans="1:18" ht="22.5">
      <c r="A18" s="251" t="s">
        <v>308</v>
      </c>
      <c r="B18" s="257" t="s">
        <v>307</v>
      </c>
      <c r="C18" s="261">
        <v>4</v>
      </c>
      <c r="D18" s="264">
        <v>4</v>
      </c>
      <c r="E18" s="263">
        <v>1</v>
      </c>
      <c r="G18" s="251" t="s">
        <v>308</v>
      </c>
      <c r="H18" s="251" t="s">
        <v>307</v>
      </c>
      <c r="I18" s="253">
        <v>20</v>
      </c>
      <c r="J18" s="256">
        <v>1</v>
      </c>
      <c r="K18" s="253"/>
      <c r="L18" s="253"/>
      <c r="M18" s="253">
        <v>3</v>
      </c>
      <c r="N18" s="253">
        <v>4</v>
      </c>
      <c r="O18" s="253">
        <v>8</v>
      </c>
    </row>
    <row r="19" spans="1:18">
      <c r="A19" s="251" t="s">
        <v>305</v>
      </c>
      <c r="B19" s="251" t="s">
        <v>306</v>
      </c>
      <c r="C19" s="261">
        <v>22</v>
      </c>
      <c r="D19" s="264">
        <v>22</v>
      </c>
      <c r="E19" s="263">
        <v>7</v>
      </c>
      <c r="G19" s="251" t="s">
        <v>305</v>
      </c>
      <c r="H19" s="251" t="s">
        <v>304</v>
      </c>
      <c r="I19" s="253">
        <v>8</v>
      </c>
      <c r="J19" s="253"/>
      <c r="K19" s="253"/>
      <c r="L19" s="253"/>
      <c r="M19" s="253"/>
      <c r="N19" s="253"/>
      <c r="O19" s="253"/>
    </row>
    <row r="20" spans="1:18">
      <c r="A20" s="251" t="s">
        <v>303</v>
      </c>
      <c r="B20" s="251" t="s">
        <v>111</v>
      </c>
      <c r="C20" s="261">
        <v>1</v>
      </c>
      <c r="D20" s="264">
        <v>1</v>
      </c>
      <c r="E20" s="263">
        <v>1</v>
      </c>
      <c r="G20" s="251" t="s">
        <v>285</v>
      </c>
      <c r="H20" s="251" t="s">
        <v>284</v>
      </c>
      <c r="I20" s="253"/>
      <c r="J20" s="253">
        <v>0.25</v>
      </c>
      <c r="K20" s="253"/>
      <c r="L20" s="253"/>
      <c r="M20" s="253">
        <v>1</v>
      </c>
      <c r="N20" s="253">
        <v>1</v>
      </c>
      <c r="O20" s="253">
        <v>4</v>
      </c>
    </row>
    <row r="21" spans="1:18">
      <c r="A21" s="251" t="s">
        <v>302</v>
      </c>
      <c r="B21" s="251" t="s">
        <v>301</v>
      </c>
      <c r="C21" s="261"/>
      <c r="D21" s="264"/>
      <c r="E21" s="263"/>
      <c r="G21" s="251" t="s">
        <v>279</v>
      </c>
      <c r="H21" s="251" t="s">
        <v>278</v>
      </c>
      <c r="I21" s="253"/>
      <c r="J21" s="253"/>
      <c r="K21" s="253">
        <v>400</v>
      </c>
      <c r="L21" s="253"/>
      <c r="M21" s="253"/>
      <c r="N21" s="253"/>
      <c r="O21" s="253"/>
    </row>
    <row r="22" spans="1:18">
      <c r="A22" s="251" t="s">
        <v>300</v>
      </c>
      <c r="B22" s="251" t="s">
        <v>299</v>
      </c>
      <c r="C22" s="261"/>
      <c r="D22" s="264"/>
      <c r="E22" s="263"/>
      <c r="G22" s="650" t="s">
        <v>298</v>
      </c>
      <c r="H22" s="650"/>
      <c r="I22" s="650"/>
      <c r="J22" s="650"/>
      <c r="K22" s="650"/>
      <c r="L22" s="650"/>
      <c r="M22" s="650"/>
      <c r="N22" s="650"/>
      <c r="O22" s="650"/>
      <c r="P22" s="255"/>
      <c r="Q22" s="255"/>
      <c r="R22" s="255"/>
    </row>
    <row r="23" spans="1:18">
      <c r="A23" s="251" t="s">
        <v>297</v>
      </c>
      <c r="B23" s="251" t="s">
        <v>296</v>
      </c>
      <c r="C23" s="261">
        <v>2</v>
      </c>
      <c r="D23" s="264">
        <v>2</v>
      </c>
      <c r="E23" s="263">
        <v>1</v>
      </c>
      <c r="G23" s="651"/>
      <c r="H23" s="651"/>
      <c r="I23" s="651"/>
      <c r="J23" s="651"/>
      <c r="K23" s="651"/>
      <c r="L23" s="651"/>
      <c r="M23" s="651"/>
      <c r="N23" s="651"/>
      <c r="O23" s="651"/>
      <c r="P23" s="255"/>
      <c r="Q23" s="255"/>
      <c r="R23" s="255"/>
    </row>
    <row r="24" spans="1:18">
      <c r="A24" s="251" t="s">
        <v>295</v>
      </c>
      <c r="B24" s="251" t="s">
        <v>294</v>
      </c>
      <c r="C24" s="261"/>
      <c r="D24" s="264"/>
      <c r="E24" s="263"/>
      <c r="G24" s="651"/>
      <c r="H24" s="651"/>
      <c r="I24" s="651"/>
      <c r="J24" s="651"/>
      <c r="K24" s="651"/>
      <c r="L24" s="651"/>
      <c r="M24" s="651"/>
      <c r="N24" s="651"/>
      <c r="O24" s="651"/>
      <c r="P24" s="255"/>
      <c r="Q24" s="255"/>
      <c r="R24" s="255"/>
    </row>
    <row r="25" spans="1:18">
      <c r="A25" s="251" t="s">
        <v>293</v>
      </c>
      <c r="B25" s="251" t="s">
        <v>116</v>
      </c>
      <c r="C25" s="261">
        <v>1</v>
      </c>
      <c r="D25" s="264">
        <v>1</v>
      </c>
      <c r="E25" s="263">
        <v>1</v>
      </c>
      <c r="G25" s="656" t="s">
        <v>292</v>
      </c>
      <c r="H25" s="657"/>
    </row>
    <row r="26" spans="1:18">
      <c r="A26" s="251" t="s">
        <v>291</v>
      </c>
      <c r="B26" s="251" t="s">
        <v>290</v>
      </c>
      <c r="C26" s="261">
        <v>1</v>
      </c>
      <c r="D26" s="264">
        <v>1</v>
      </c>
      <c r="E26" s="263">
        <v>1</v>
      </c>
      <c r="G26" s="251" t="s">
        <v>187</v>
      </c>
      <c r="H26" s="253">
        <f>(C9*I9)+(C13*I13)+(C19*I19)+(C10*I10)+(C18*I18)</f>
        <v>520</v>
      </c>
    </row>
    <row r="27" spans="1:18">
      <c r="A27" s="251" t="s">
        <v>289</v>
      </c>
      <c r="B27" s="251" t="s">
        <v>288</v>
      </c>
      <c r="C27" s="261">
        <v>1</v>
      </c>
      <c r="D27" s="264">
        <v>1</v>
      </c>
      <c r="E27" s="263">
        <v>1</v>
      </c>
      <c r="G27" s="251" t="s">
        <v>274</v>
      </c>
      <c r="H27" s="252">
        <f>(C9*J9)+(C11*J11)+(C12*J12)+(C13*J13)+(C16*J16)+(C17*J17)+(J20*C29)+(C10*J10)+(C18*J18)</f>
        <v>18</v>
      </c>
    </row>
    <row r="28" spans="1:18">
      <c r="A28" s="251" t="s">
        <v>287</v>
      </c>
      <c r="B28" s="251" t="s">
        <v>286</v>
      </c>
      <c r="C28" s="261"/>
      <c r="D28" s="264"/>
      <c r="E28" s="263"/>
      <c r="G28" s="251" t="s">
        <v>273</v>
      </c>
      <c r="H28" s="250">
        <f>(C6*K6)</f>
        <v>2700</v>
      </c>
    </row>
    <row r="29" spans="1:18">
      <c r="A29" s="251" t="s">
        <v>285</v>
      </c>
      <c r="B29" s="251" t="s">
        <v>284</v>
      </c>
      <c r="C29" s="261"/>
      <c r="D29" s="264"/>
      <c r="E29" s="263"/>
      <c r="G29" s="251" t="s">
        <v>272</v>
      </c>
      <c r="H29" s="250">
        <f>(C5*K5)+(C14*K14)</f>
        <v>5000</v>
      </c>
    </row>
    <row r="30" spans="1:18">
      <c r="A30" s="251" t="s">
        <v>283</v>
      </c>
      <c r="B30" s="251" t="s">
        <v>282</v>
      </c>
      <c r="C30" s="261">
        <v>1</v>
      </c>
      <c r="D30" s="264">
        <v>1</v>
      </c>
      <c r="E30" s="263">
        <v>1</v>
      </c>
      <c r="G30" s="251" t="s">
        <v>271</v>
      </c>
      <c r="H30" s="254">
        <f>(C7*L7)+(C8*L8)+(C32*K21)</f>
        <v>3900</v>
      </c>
    </row>
    <row r="31" spans="1:18">
      <c r="A31" s="251" t="s">
        <v>281</v>
      </c>
      <c r="B31" s="251" t="s">
        <v>280</v>
      </c>
      <c r="C31" s="261">
        <v>2</v>
      </c>
      <c r="D31" s="264">
        <v>2</v>
      </c>
      <c r="E31" s="263">
        <v>2</v>
      </c>
    </row>
    <row r="32" spans="1:18">
      <c r="A32" s="251" t="s">
        <v>279</v>
      </c>
      <c r="B32" s="251" t="s">
        <v>278</v>
      </c>
      <c r="C32" s="261">
        <v>3</v>
      </c>
      <c r="D32" s="264">
        <v>3</v>
      </c>
      <c r="E32" s="263">
        <v>3</v>
      </c>
      <c r="G32" s="654" t="s">
        <v>277</v>
      </c>
      <c r="H32" s="655"/>
    </row>
    <row r="33" spans="1:8">
      <c r="A33" s="251"/>
      <c r="B33" s="251"/>
      <c r="C33" s="261"/>
      <c r="D33" s="265"/>
      <c r="E33" s="262"/>
      <c r="G33" s="251" t="s">
        <v>187</v>
      </c>
      <c r="H33" s="253">
        <f>(D$9*$I$9)+(D$10*$I$10)+(D$13*$I$13)+(D$18*$I$18)+(D$19*$I$19)+(J20*D29)</f>
        <v>520</v>
      </c>
    </row>
    <row r="34" spans="1:8">
      <c r="A34" s="251" t="s">
        <v>276</v>
      </c>
      <c r="B34" s="251"/>
      <c r="C34" s="261">
        <f>SUM(C6:C32)</f>
        <v>67</v>
      </c>
      <c r="D34" s="264">
        <f>SUM(D6:D32)</f>
        <v>67</v>
      </c>
      <c r="E34" s="263">
        <f>SUM(E6:E32)</f>
        <v>32</v>
      </c>
      <c r="G34" s="251" t="s">
        <v>274</v>
      </c>
      <c r="H34" s="252">
        <f>(D$9*$J$9)+(D$10*$J$10)+(D$11*$J$11)+(D$12*$J$12)+(D$13*$J$13)+(D$16*$J$16)+(D$17*$J$17)+(D$18*$J$18)+(D29*J20)</f>
        <v>18</v>
      </c>
    </row>
    <row r="35" spans="1:8">
      <c r="A35" s="251"/>
      <c r="B35" s="251"/>
      <c r="C35" s="261"/>
      <c r="D35" s="265"/>
      <c r="E35" s="262"/>
      <c r="G35" s="251" t="s">
        <v>273</v>
      </c>
      <c r="H35" s="250">
        <f>(D$6*$K$6)</f>
        <v>2700</v>
      </c>
    </row>
    <row r="36" spans="1:8">
      <c r="A36" s="251"/>
      <c r="B36" s="251"/>
      <c r="C36" s="261"/>
      <c r="D36" s="265"/>
      <c r="E36" s="262"/>
      <c r="G36" s="251" t="s">
        <v>272</v>
      </c>
      <c r="H36" s="250">
        <f>(D$5*$K$5)+(D$14*$K$14)+(D$15*$K$15)</f>
        <v>5000</v>
      </c>
    </row>
    <row r="37" spans="1:8">
      <c r="A37" s="251"/>
      <c r="B37" s="251"/>
      <c r="C37" s="261"/>
      <c r="D37" s="265"/>
      <c r="E37" s="262"/>
      <c r="G37" s="251" t="s">
        <v>271</v>
      </c>
      <c r="H37" s="250">
        <f>(D$7*$L$7)+(D$8*$L$8)+(D32*K21)</f>
        <v>3900</v>
      </c>
    </row>
    <row r="39" spans="1:8">
      <c r="G39" s="652" t="s">
        <v>275</v>
      </c>
      <c r="H39" s="653"/>
    </row>
    <row r="40" spans="1:8">
      <c r="G40" s="251" t="s">
        <v>187</v>
      </c>
      <c r="H40" s="253">
        <f>(E$9*$I$9)+(E$10*$I$10)+(E$13*$I$13)+(E$18*$I$18)+(E$19*$I$19)</f>
        <v>160</v>
      </c>
    </row>
    <row r="41" spans="1:8">
      <c r="G41" s="251" t="s">
        <v>274</v>
      </c>
      <c r="H41" s="252">
        <f>(E$9*$J$9)+(E$10*$J$10)+(E$11*$J$11)+(E$12*$J$12)+(E$13*$J$13)+(E$16*$J$16)+(E$17*$J$17)+(E$18*$J$18)+(J20*E29)</f>
        <v>6</v>
      </c>
    </row>
    <row r="42" spans="1:8">
      <c r="G42" s="251" t="s">
        <v>273</v>
      </c>
      <c r="H42" s="250">
        <f>(E$6*$K$6)</f>
        <v>2700</v>
      </c>
    </row>
    <row r="43" spans="1:8">
      <c r="G43" s="251" t="s">
        <v>272</v>
      </c>
      <c r="H43" s="250">
        <f>(E$5*$K$5)+(E$14*$K$14)+(E$15*$K$15)</f>
        <v>0</v>
      </c>
    </row>
    <row r="44" spans="1:8">
      <c r="G44" s="251" t="s">
        <v>271</v>
      </c>
      <c r="H44" s="250">
        <f>(E$7*$L$7)+(E$8*$L$8)+(E32*K21)</f>
        <v>3900</v>
      </c>
    </row>
  </sheetData>
  <mergeCells count="6">
    <mergeCell ref="A1:E1"/>
    <mergeCell ref="G1:O1"/>
    <mergeCell ref="G22:O24"/>
    <mergeCell ref="G39:H39"/>
    <mergeCell ref="G32:H32"/>
    <mergeCell ref="G25:H25"/>
  </mergeCells>
  <conditionalFormatting sqref="A3:A37">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ECD8B6486309F43B71A6FE296764B31" ma:contentTypeVersion="0" ma:contentTypeDescription="Create a new document." ma:contentTypeScope="" ma:versionID="6c1f426a735f2ba36138ee1fb20c8c60">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FF0C6605-E331-450A-BDEB-29AFF76727B3}">
  <ds:schemaRefs>
    <ds:schemaRef ds:uri="http://schemas.microsoft.com/office/2006/documentManagement/types"/>
    <ds:schemaRef ds:uri="http://schemas.openxmlformats.org/package/2006/metadata/core-properties"/>
    <ds:schemaRef ds:uri="http://purl.org/dc/dcmitype/"/>
    <ds:schemaRef ds:uri="http://purl.org/dc/elements/1.1/"/>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B1F99797-7219-4294-B85F-85EA99E544C7}">
  <ds:schemaRefs>
    <ds:schemaRef ds:uri="http://schemas.microsoft.com/sharepoint/v3/contenttype/forms"/>
  </ds:schemaRefs>
</ds:datastoreItem>
</file>

<file path=customXml/itemProps3.xml><?xml version="1.0" encoding="utf-8"?>
<ds:datastoreItem xmlns:ds="http://schemas.openxmlformats.org/officeDocument/2006/customXml" ds:itemID="{94563AFA-99B0-4E5B-BD5A-0DC6AEDD62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Field Sanitation</vt:lpstr>
      <vt:lpstr>Calculations</vt:lpstr>
      <vt:lpstr>CONVOY MOVEMENT CALCULATOR</vt:lpstr>
      <vt:lpstr>FUEL CALCULATOR_GROUND</vt:lpstr>
      <vt:lpstr>WATER CALCULATOR</vt:lpstr>
      <vt:lpstr>RATIONS CALCULATOR</vt:lpstr>
      <vt:lpstr>FUEL CALCULATOR_AIR</vt:lpstr>
      <vt:lpstr>RATE OF MARCH REF</vt:lpstr>
      <vt:lpstr>TE CAPABILITY</vt:lpstr>
    </vt:vector>
  </TitlesOfParts>
  <Company>NMCI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Common Capt Joseph</dc:creator>
  <cp:lastModifiedBy>Merchant 1stLt Nicole F</cp:lastModifiedBy>
  <cp:lastPrinted>2017-11-15T09:26:44Z</cp:lastPrinted>
  <dcterms:created xsi:type="dcterms:W3CDTF">2008-06-25T00:17:31Z</dcterms:created>
  <dcterms:modified xsi:type="dcterms:W3CDTF">2022-10-25T17:34:52Z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0x010100EECD8B6486309F43B71A6FE296764B31</vt:lpwstr>
  </property>
</Properties>
</file>