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180" windowWidth="19665" windowHeight="9075" activeTab="1"/>
  </bookViews>
  <sheets>
    <sheet name="Unit EDL" sheetId="9" r:id="rId1"/>
    <sheet name="Loads + CPFs by TAMCN" sheetId="7" r:id="rId2"/>
    <sheet name="Ammo Pallet Calculator" sheetId="8" r:id="rId3"/>
  </sheets>
  <calcPr calcId="145621"/>
</workbook>
</file>

<file path=xl/calcChain.xml><?xml version="1.0" encoding="utf-8"?>
<calcChain xmlns="http://schemas.openxmlformats.org/spreadsheetml/2006/main">
  <c r="K9" i="7" l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8" i="7"/>
  <c r="O8" i="7" l="1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S175" i="8" l="1"/>
  <c r="T175" i="8"/>
  <c r="S176" i="8"/>
  <c r="T176" i="8"/>
  <c r="S177" i="8"/>
  <c r="T177" i="8"/>
  <c r="S178" i="8"/>
  <c r="T178" i="8"/>
  <c r="S179" i="8"/>
  <c r="T179" i="8"/>
  <c r="T180" i="8"/>
  <c r="T181" i="8"/>
  <c r="T182" i="8"/>
  <c r="T183" i="8"/>
  <c r="T184" i="8"/>
  <c r="T185" i="8"/>
  <c r="T186" i="8"/>
  <c r="S187" i="8"/>
  <c r="T187" i="8"/>
  <c r="S188" i="8"/>
  <c r="T188" i="8"/>
  <c r="S189" i="8"/>
  <c r="T189" i="8"/>
  <c r="S190" i="8"/>
  <c r="T190" i="8"/>
  <c r="S191" i="8"/>
  <c r="T191" i="8"/>
  <c r="T192" i="8"/>
  <c r="S193" i="8"/>
  <c r="T193" i="8"/>
  <c r="S194" i="8"/>
  <c r="T194" i="8"/>
  <c r="S195" i="8"/>
  <c r="T195" i="8"/>
  <c r="T196" i="8"/>
  <c r="S197" i="8"/>
  <c r="T197" i="8"/>
  <c r="S198" i="8"/>
  <c r="T198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U191" i="8" l="1"/>
  <c r="V191" i="8" s="1"/>
  <c r="W191" i="8" s="1"/>
  <c r="U195" i="8"/>
  <c r="V195" i="8" s="1"/>
  <c r="W195" i="8" s="1"/>
  <c r="U188" i="8"/>
  <c r="Y188" i="8" s="1"/>
  <c r="U176" i="8"/>
  <c r="Y176" i="8" s="1"/>
  <c r="U194" i="8"/>
  <c r="V194" i="8" s="1"/>
  <c r="U198" i="8"/>
  <c r="V198" i="8" s="1"/>
  <c r="U189" i="8"/>
  <c r="Y189" i="8" s="1"/>
  <c r="U187" i="8"/>
  <c r="Y187" i="8" s="1"/>
  <c r="U179" i="8"/>
  <c r="Y179" i="8" s="1"/>
  <c r="U175" i="8"/>
  <c r="V175" i="8" s="1"/>
  <c r="V187" i="8"/>
  <c r="W187" i="8" s="1"/>
  <c r="U190" i="8"/>
  <c r="V190" i="8" s="1"/>
  <c r="U177" i="8"/>
  <c r="V177" i="8" s="1"/>
  <c r="U193" i="8"/>
  <c r="Y193" i="8" s="1"/>
  <c r="U197" i="8"/>
  <c r="Y197" i="8" s="1"/>
  <c r="U178" i="8"/>
  <c r="V178" i="8" s="1"/>
  <c r="X191" i="8"/>
  <c r="Y195" i="8" l="1"/>
  <c r="Y191" i="8"/>
  <c r="X195" i="8"/>
  <c r="Y194" i="8"/>
  <c r="Y177" i="8"/>
  <c r="V189" i="8"/>
  <c r="X189" i="8" s="1"/>
  <c r="V197" i="8"/>
  <c r="X197" i="8" s="1"/>
  <c r="V179" i="8"/>
  <c r="X179" i="8" s="1"/>
  <c r="V188" i="8"/>
  <c r="X188" i="8" s="1"/>
  <c r="W175" i="8"/>
  <c r="X175" i="8"/>
  <c r="Y175" i="8"/>
  <c r="X187" i="8"/>
  <c r="V176" i="8"/>
  <c r="V193" i="8"/>
  <c r="X193" i="8" s="1"/>
  <c r="Y178" i="8"/>
  <c r="Y198" i="8"/>
  <c r="Y190" i="8"/>
  <c r="W190" i="8"/>
  <c r="X190" i="8"/>
  <c r="W178" i="8"/>
  <c r="X178" i="8"/>
  <c r="X177" i="8"/>
  <c r="W177" i="8"/>
  <c r="W194" i="8"/>
  <c r="X194" i="8"/>
  <c r="X198" i="8"/>
  <c r="W198" i="8"/>
  <c r="W188" i="8" l="1"/>
  <c r="W197" i="8"/>
  <c r="W189" i="8"/>
  <c r="W179" i="8"/>
  <c r="X176" i="8"/>
  <c r="W176" i="8"/>
  <c r="W193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S23" i="8"/>
  <c r="U23" i="8" s="1"/>
  <c r="S27" i="8"/>
  <c r="S40" i="8"/>
  <c r="S41" i="8"/>
  <c r="S43" i="8"/>
  <c r="S45" i="8"/>
  <c r="S46" i="8"/>
  <c r="S47" i="8"/>
  <c r="S50" i="8"/>
  <c r="S57" i="8"/>
  <c r="S58" i="8"/>
  <c r="S59" i="8"/>
  <c r="S64" i="8"/>
  <c r="S65" i="8"/>
  <c r="S68" i="8"/>
  <c r="S70" i="8"/>
  <c r="S71" i="8"/>
  <c r="S72" i="8"/>
  <c r="S73" i="8"/>
  <c r="S74" i="8"/>
  <c r="S75" i="8"/>
  <c r="S77" i="8"/>
  <c r="S79" i="8"/>
  <c r="S83" i="8"/>
  <c r="S84" i="8"/>
  <c r="S85" i="8"/>
  <c r="S86" i="8"/>
  <c r="S87" i="8"/>
  <c r="S89" i="8"/>
  <c r="S90" i="8"/>
  <c r="S91" i="8"/>
  <c r="S92" i="8"/>
  <c r="S93" i="8"/>
  <c r="S94" i="8"/>
  <c r="S95" i="8"/>
  <c r="S96" i="8"/>
  <c r="S98" i="8"/>
  <c r="S103" i="8"/>
  <c r="S105" i="8"/>
  <c r="S106" i="8"/>
  <c r="S107" i="8"/>
  <c r="S108" i="8"/>
  <c r="S109" i="8"/>
  <c r="S110" i="8"/>
  <c r="S111" i="8"/>
  <c r="S112" i="8"/>
  <c r="S113" i="8"/>
  <c r="S114" i="8"/>
  <c r="S117" i="8"/>
  <c r="S118" i="8"/>
  <c r="S119" i="8"/>
  <c r="S120" i="8"/>
  <c r="S121" i="8"/>
  <c r="S122" i="8"/>
  <c r="S123" i="8"/>
  <c r="S124" i="8"/>
  <c r="S125" i="8"/>
  <c r="S126" i="8"/>
  <c r="S127" i="8"/>
  <c r="S132" i="8"/>
  <c r="S133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4" i="8"/>
  <c r="S155" i="8"/>
  <c r="S156" i="8"/>
  <c r="S157" i="8"/>
  <c r="S158" i="8"/>
  <c r="S159" i="8"/>
  <c r="S161" i="8"/>
  <c r="S162" i="8"/>
  <c r="S163" i="8"/>
  <c r="S164" i="8"/>
  <c r="S165" i="8"/>
  <c r="S166" i="8"/>
  <c r="S167" i="8"/>
  <c r="S168" i="8"/>
  <c r="S169" i="8"/>
  <c r="S170" i="8"/>
  <c r="S173" i="8"/>
  <c r="S174" i="8"/>
  <c r="S5" i="8"/>
  <c r="S6" i="8"/>
  <c r="S7" i="8"/>
  <c r="S12" i="8"/>
  <c r="S21" i="8"/>
  <c r="T4" i="8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7" i="7"/>
  <c r="M338" i="7"/>
  <c r="M339" i="7"/>
  <c r="M340" i="7"/>
  <c r="M341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1" i="7"/>
  <c r="M402" i="7"/>
  <c r="M403" i="7"/>
  <c r="M404" i="7"/>
  <c r="M406" i="7"/>
  <c r="M408" i="7"/>
  <c r="M409" i="7"/>
  <c r="M410" i="7"/>
  <c r="M412" i="7"/>
  <c r="M413" i="7"/>
  <c r="M415" i="7"/>
  <c r="M416" i="7"/>
  <c r="M418" i="7"/>
  <c r="M420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22" i="7"/>
  <c r="L420" i="7"/>
  <c r="L418" i="7"/>
  <c r="L416" i="7"/>
  <c r="L415" i="7"/>
  <c r="L413" i="7"/>
  <c r="L412" i="7"/>
  <c r="L410" i="7"/>
  <c r="L409" i="7"/>
  <c r="L408" i="7"/>
  <c r="L406" i="7"/>
  <c r="L402" i="7"/>
  <c r="L403" i="7"/>
  <c r="L404" i="7"/>
  <c r="L401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378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43" i="7"/>
  <c r="L338" i="7"/>
  <c r="L339" i="7"/>
  <c r="L340" i="7"/>
  <c r="L341" i="7"/>
  <c r="L337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03" i="7"/>
  <c r="V23" i="8" l="1"/>
  <c r="Y23" i="8"/>
  <c r="W23" i="8" l="1"/>
  <c r="X23" i="8"/>
  <c r="M9" i="7" l="1"/>
  <c r="M25" i="7"/>
  <c r="M33" i="7"/>
  <c r="M34" i="7"/>
  <c r="M41" i="7"/>
  <c r="M42" i="7"/>
  <c r="M50" i="7"/>
  <c r="M57" i="7"/>
  <c r="M58" i="7"/>
  <c r="M66" i="7"/>
  <c r="M73" i="7"/>
  <c r="M74" i="7"/>
  <c r="M82" i="7"/>
  <c r="M89" i="7"/>
  <c r="M90" i="7"/>
  <c r="M98" i="7"/>
  <c r="M105" i="7"/>
  <c r="M114" i="7"/>
  <c r="M121" i="7"/>
  <c r="M130" i="7"/>
  <c r="M137" i="7"/>
  <c r="M146" i="7"/>
  <c r="M153" i="7"/>
  <c r="M162" i="7"/>
  <c r="M169" i="7"/>
  <c r="M178" i="7"/>
  <c r="M185" i="7"/>
  <c r="M194" i="7"/>
  <c r="M201" i="7"/>
  <c r="M210" i="7"/>
  <c r="M217" i="7"/>
  <c r="M226" i="7"/>
  <c r="M233" i="7"/>
  <c r="M242" i="7"/>
  <c r="M249" i="7"/>
  <c r="M258" i="7"/>
  <c r="M265" i="7"/>
  <c r="M274" i="7"/>
  <c r="M281" i="7"/>
  <c r="M290" i="7"/>
  <c r="M297" i="7"/>
  <c r="L21" i="7"/>
  <c r="L29" i="7"/>
  <c r="L37" i="7"/>
  <c r="L53" i="7"/>
  <c r="L58" i="7"/>
  <c r="L62" i="7"/>
  <c r="L63" i="7"/>
  <c r="L66" i="7"/>
  <c r="L70" i="7"/>
  <c r="L71" i="7"/>
  <c r="L74" i="7"/>
  <c r="L78" i="7"/>
  <c r="L79" i="7"/>
  <c r="L82" i="7"/>
  <c r="L86" i="7"/>
  <c r="L87" i="7"/>
  <c r="L90" i="7"/>
  <c r="L94" i="7"/>
  <c r="L95" i="7"/>
  <c r="L98" i="7"/>
  <c r="L102" i="7"/>
  <c r="L103" i="7"/>
  <c r="L110" i="7"/>
  <c r="L111" i="7"/>
  <c r="L118" i="7"/>
  <c r="S60" i="8" s="1"/>
  <c r="L119" i="7"/>
  <c r="S61" i="8" s="1"/>
  <c r="L126" i="7"/>
  <c r="S78" i="8" s="1"/>
  <c r="L127" i="7"/>
  <c r="S80" i="8" s="1"/>
  <c r="L134" i="7"/>
  <c r="S181" i="8" s="1"/>
  <c r="U181" i="8" s="1"/>
  <c r="L135" i="7"/>
  <c r="S182" i="8" s="1"/>
  <c r="U182" i="8" s="1"/>
  <c r="L142" i="7"/>
  <c r="L143" i="7"/>
  <c r="L150" i="7"/>
  <c r="L151" i="7"/>
  <c r="L158" i="7"/>
  <c r="L159" i="7"/>
  <c r="L166" i="7"/>
  <c r="L167" i="7"/>
  <c r="L174" i="7"/>
  <c r="L175" i="7"/>
  <c r="L182" i="7"/>
  <c r="L183" i="7"/>
  <c r="L190" i="7"/>
  <c r="L191" i="7"/>
  <c r="L198" i="7"/>
  <c r="L199" i="7"/>
  <c r="L206" i="7"/>
  <c r="L207" i="7"/>
  <c r="L214" i="7"/>
  <c r="L215" i="7"/>
  <c r="L222" i="7"/>
  <c r="L223" i="7"/>
  <c r="L230" i="7"/>
  <c r="S48" i="8" s="1"/>
  <c r="L234" i="7"/>
  <c r="L235" i="7"/>
  <c r="L246" i="7"/>
  <c r="L250" i="7"/>
  <c r="L251" i="7"/>
  <c r="L262" i="7"/>
  <c r="L266" i="7"/>
  <c r="S100" i="8" s="1"/>
  <c r="L267" i="7"/>
  <c r="L278" i="7"/>
  <c r="L282" i="7"/>
  <c r="L283" i="7"/>
  <c r="L294" i="7"/>
  <c r="L298" i="7"/>
  <c r="L299" i="7"/>
  <c r="M28" i="7"/>
  <c r="M29" i="7"/>
  <c r="L33" i="7"/>
  <c r="L34" i="7"/>
  <c r="M36" i="7"/>
  <c r="M37" i="7"/>
  <c r="L41" i="7"/>
  <c r="L42" i="7"/>
  <c r="M44" i="7"/>
  <c r="M45" i="7"/>
  <c r="L49" i="7"/>
  <c r="S97" i="8" s="1"/>
  <c r="L50" i="7"/>
  <c r="M52" i="7"/>
  <c r="M53" i="7"/>
  <c r="L57" i="7"/>
  <c r="M59" i="7"/>
  <c r="M62" i="7"/>
  <c r="M63" i="7"/>
  <c r="L65" i="7"/>
  <c r="M67" i="7"/>
  <c r="M70" i="7"/>
  <c r="M71" i="7"/>
  <c r="L73" i="7"/>
  <c r="M75" i="7"/>
  <c r="M78" i="7"/>
  <c r="M79" i="7"/>
  <c r="L81" i="7"/>
  <c r="M83" i="7"/>
  <c r="M86" i="7"/>
  <c r="M87" i="7"/>
  <c r="L89" i="7"/>
  <c r="M91" i="7"/>
  <c r="M94" i="7"/>
  <c r="M95" i="7"/>
  <c r="L97" i="7"/>
  <c r="M99" i="7"/>
  <c r="M102" i="7"/>
  <c r="M103" i="7"/>
  <c r="L105" i="7"/>
  <c r="M106" i="7"/>
  <c r="M107" i="7"/>
  <c r="M110" i="7"/>
  <c r="M111" i="7"/>
  <c r="L113" i="7"/>
  <c r="L114" i="7"/>
  <c r="M115" i="7"/>
  <c r="M118" i="7"/>
  <c r="M119" i="7"/>
  <c r="L121" i="7"/>
  <c r="S66" i="8" s="1"/>
  <c r="M122" i="7"/>
  <c r="M123" i="7"/>
  <c r="M126" i="7"/>
  <c r="M127" i="7"/>
  <c r="L129" i="7"/>
  <c r="S82" i="8" s="1"/>
  <c r="L130" i="7"/>
  <c r="M131" i="7"/>
  <c r="M134" i="7"/>
  <c r="M135" i="7"/>
  <c r="L137" i="7"/>
  <c r="S184" i="8" s="1"/>
  <c r="U184" i="8" s="1"/>
  <c r="M138" i="7"/>
  <c r="M139" i="7"/>
  <c r="M142" i="7"/>
  <c r="M143" i="7"/>
  <c r="L145" i="7"/>
  <c r="L146" i="7"/>
  <c r="M147" i="7"/>
  <c r="M150" i="7"/>
  <c r="M151" i="7"/>
  <c r="L153" i="7"/>
  <c r="M154" i="7"/>
  <c r="M155" i="7"/>
  <c r="M158" i="7"/>
  <c r="M159" i="7"/>
  <c r="L161" i="7"/>
  <c r="L162" i="7"/>
  <c r="M163" i="7"/>
  <c r="M166" i="7"/>
  <c r="M167" i="7"/>
  <c r="L169" i="7"/>
  <c r="M170" i="7"/>
  <c r="M171" i="7"/>
  <c r="M174" i="7"/>
  <c r="M175" i="7"/>
  <c r="L177" i="7"/>
  <c r="S102" i="8" s="1"/>
  <c r="L178" i="7"/>
  <c r="M179" i="7"/>
  <c r="M182" i="7"/>
  <c r="M183" i="7"/>
  <c r="L185" i="7"/>
  <c r="M186" i="7"/>
  <c r="M187" i="7"/>
  <c r="M190" i="7"/>
  <c r="M191" i="7"/>
  <c r="L193" i="7"/>
  <c r="L194" i="7"/>
  <c r="M195" i="7"/>
  <c r="M198" i="7"/>
  <c r="M199" i="7"/>
  <c r="L201" i="7"/>
  <c r="M202" i="7"/>
  <c r="M203" i="7"/>
  <c r="M206" i="7"/>
  <c r="M207" i="7"/>
  <c r="L209" i="7"/>
  <c r="L210" i="7"/>
  <c r="M211" i="7"/>
  <c r="M214" i="7"/>
  <c r="M215" i="7"/>
  <c r="L217" i="7"/>
  <c r="M218" i="7"/>
  <c r="M219" i="7"/>
  <c r="M222" i="7"/>
  <c r="M223" i="7"/>
  <c r="L225" i="7"/>
  <c r="L226" i="7"/>
  <c r="M227" i="7"/>
  <c r="M228" i="7"/>
  <c r="M230" i="7"/>
  <c r="M231" i="7"/>
  <c r="M232" i="7"/>
  <c r="L233" i="7"/>
  <c r="M234" i="7"/>
  <c r="M235" i="7"/>
  <c r="M236" i="7"/>
  <c r="M238" i="7"/>
  <c r="M239" i="7"/>
  <c r="M240" i="7"/>
  <c r="L241" i="7"/>
  <c r="L242" i="7"/>
  <c r="M243" i="7"/>
  <c r="M244" i="7"/>
  <c r="M246" i="7"/>
  <c r="M247" i="7"/>
  <c r="M248" i="7"/>
  <c r="L249" i="7"/>
  <c r="M250" i="7"/>
  <c r="M251" i="7"/>
  <c r="M252" i="7"/>
  <c r="M254" i="7"/>
  <c r="M255" i="7"/>
  <c r="M256" i="7"/>
  <c r="L257" i="7"/>
  <c r="L258" i="7"/>
  <c r="M259" i="7"/>
  <c r="M260" i="7"/>
  <c r="M262" i="7"/>
  <c r="M263" i="7"/>
  <c r="M264" i="7"/>
  <c r="L265" i="7"/>
  <c r="M266" i="7"/>
  <c r="M267" i="7"/>
  <c r="M268" i="7"/>
  <c r="M270" i="7"/>
  <c r="M271" i="7"/>
  <c r="M272" i="7"/>
  <c r="L273" i="7"/>
  <c r="L274" i="7"/>
  <c r="M275" i="7"/>
  <c r="M276" i="7"/>
  <c r="M278" i="7"/>
  <c r="M279" i="7"/>
  <c r="M280" i="7"/>
  <c r="L281" i="7"/>
  <c r="M282" i="7"/>
  <c r="M283" i="7"/>
  <c r="M284" i="7"/>
  <c r="M286" i="7"/>
  <c r="M287" i="7"/>
  <c r="M288" i="7"/>
  <c r="L289" i="7"/>
  <c r="L290" i="7"/>
  <c r="M291" i="7"/>
  <c r="M292" i="7"/>
  <c r="M294" i="7"/>
  <c r="M295" i="7"/>
  <c r="M296" i="7"/>
  <c r="L297" i="7"/>
  <c r="M298" i="7"/>
  <c r="M299" i="7"/>
  <c r="M300" i="7"/>
  <c r="L9" i="7"/>
  <c r="L10" i="7"/>
  <c r="M12" i="7"/>
  <c r="M13" i="7"/>
  <c r="L17" i="7"/>
  <c r="S130" i="8" s="1"/>
  <c r="L18" i="7"/>
  <c r="M20" i="7"/>
  <c r="M21" i="7"/>
  <c r="L25" i="7"/>
  <c r="L26" i="7"/>
  <c r="S172" i="8" s="1"/>
  <c r="M8" i="7"/>
  <c r="S54" i="8" l="1"/>
  <c r="U54" i="8" s="1"/>
  <c r="W54" i="8" s="1"/>
  <c r="Y184" i="8"/>
  <c r="V184" i="8"/>
  <c r="Y182" i="8"/>
  <c r="V182" i="8"/>
  <c r="S131" i="8"/>
  <c r="V181" i="8"/>
  <c r="Y181" i="8"/>
  <c r="S34" i="8"/>
  <c r="U34" i="8" s="1"/>
  <c r="Y34" i="8" s="1"/>
  <c r="S20" i="8"/>
  <c r="S55" i="8"/>
  <c r="M19" i="7"/>
  <c r="L19" i="7"/>
  <c r="S134" i="8" s="1"/>
  <c r="U134" i="8" s="1"/>
  <c r="M11" i="7"/>
  <c r="L11" i="7"/>
  <c r="S104" i="8" s="1"/>
  <c r="U104" i="8" s="1"/>
  <c r="V104" i="8" s="1"/>
  <c r="M224" i="7"/>
  <c r="L224" i="7"/>
  <c r="M216" i="7"/>
  <c r="L216" i="7"/>
  <c r="M208" i="7"/>
  <c r="L208" i="7"/>
  <c r="M200" i="7"/>
  <c r="L200" i="7"/>
  <c r="M192" i="7"/>
  <c r="L192" i="7"/>
  <c r="M184" i="7"/>
  <c r="L184" i="7"/>
  <c r="S25" i="8" s="1"/>
  <c r="U25" i="8" s="1"/>
  <c r="V25" i="8" s="1"/>
  <c r="W25" i="8" s="1"/>
  <c r="M176" i="7"/>
  <c r="L176" i="7"/>
  <c r="S101" i="8" s="1"/>
  <c r="M168" i="7"/>
  <c r="L168" i="7"/>
  <c r="S33" i="8" s="1"/>
  <c r="U33" i="8" s="1"/>
  <c r="V33" i="8" s="1"/>
  <c r="M160" i="7"/>
  <c r="L160" i="7"/>
  <c r="M152" i="7"/>
  <c r="L152" i="7"/>
  <c r="M144" i="7"/>
  <c r="L144" i="7"/>
  <c r="M136" i="7"/>
  <c r="L136" i="7"/>
  <c r="S183" i="8" s="1"/>
  <c r="U183" i="8" s="1"/>
  <c r="M128" i="7"/>
  <c r="L128" i="7"/>
  <c r="S81" i="8" s="1"/>
  <c r="M120" i="7"/>
  <c r="L120" i="7"/>
  <c r="S62" i="8" s="1"/>
  <c r="U62" i="8" s="1"/>
  <c r="M112" i="7"/>
  <c r="L112" i="7"/>
  <c r="M104" i="7"/>
  <c r="L104" i="7"/>
  <c r="M96" i="7"/>
  <c r="L96" i="7"/>
  <c r="M88" i="7"/>
  <c r="L88" i="7"/>
  <c r="S196" i="8" s="1"/>
  <c r="U196" i="8" s="1"/>
  <c r="M84" i="7"/>
  <c r="L84" i="7"/>
  <c r="M76" i="7"/>
  <c r="L76" i="7"/>
  <c r="M68" i="7"/>
  <c r="L68" i="7"/>
  <c r="M64" i="7"/>
  <c r="L64" i="7"/>
  <c r="M56" i="7"/>
  <c r="L56" i="7"/>
  <c r="M32" i="7"/>
  <c r="L32" i="7"/>
  <c r="M24" i="7"/>
  <c r="L24" i="7"/>
  <c r="M16" i="7"/>
  <c r="L16" i="7"/>
  <c r="S129" i="8" s="1"/>
  <c r="U129" i="8" s="1"/>
  <c r="Y129" i="8" s="1"/>
  <c r="M301" i="7"/>
  <c r="L301" i="7"/>
  <c r="M293" i="7"/>
  <c r="L293" i="7"/>
  <c r="M285" i="7"/>
  <c r="L285" i="7"/>
  <c r="M277" i="7"/>
  <c r="L277" i="7"/>
  <c r="M269" i="7"/>
  <c r="L269" i="7"/>
  <c r="M261" i="7"/>
  <c r="L261" i="7"/>
  <c r="M253" i="7"/>
  <c r="L253" i="7"/>
  <c r="S99" i="8" s="1"/>
  <c r="U99" i="8" s="1"/>
  <c r="Y99" i="8" s="1"/>
  <c r="M245" i="7"/>
  <c r="L245" i="7"/>
  <c r="S13" i="8" s="1"/>
  <c r="U13" i="8" s="1"/>
  <c r="Y13" i="8" s="1"/>
  <c r="M237" i="7"/>
  <c r="L237" i="7"/>
  <c r="M229" i="7"/>
  <c r="L229" i="7"/>
  <c r="S44" i="8" s="1"/>
  <c r="U44" i="8" s="1"/>
  <c r="V44" i="8" s="1"/>
  <c r="M221" i="7"/>
  <c r="L221" i="7"/>
  <c r="M213" i="7"/>
  <c r="L213" i="7"/>
  <c r="M205" i="7"/>
  <c r="L205" i="7"/>
  <c r="M197" i="7"/>
  <c r="L197" i="7"/>
  <c r="S22" i="8" s="1"/>
  <c r="U22" i="8" s="1"/>
  <c r="V22" i="8" s="1"/>
  <c r="W22" i="8" s="1"/>
  <c r="M189" i="7"/>
  <c r="L189" i="7"/>
  <c r="M181" i="7"/>
  <c r="L181" i="7"/>
  <c r="M173" i="7"/>
  <c r="L173" i="7"/>
  <c r="M165" i="7"/>
  <c r="L165" i="7"/>
  <c r="M157" i="7"/>
  <c r="L157" i="7"/>
  <c r="M149" i="7"/>
  <c r="L149" i="7"/>
  <c r="M141" i="7"/>
  <c r="L141" i="7"/>
  <c r="M133" i="7"/>
  <c r="L133" i="7"/>
  <c r="S180" i="8" s="1"/>
  <c r="U180" i="8" s="1"/>
  <c r="M125" i="7"/>
  <c r="L125" i="7"/>
  <c r="S76" i="8" s="1"/>
  <c r="U76" i="8" s="1"/>
  <c r="V76" i="8" s="1"/>
  <c r="M117" i="7"/>
  <c r="L117" i="7"/>
  <c r="M109" i="7"/>
  <c r="L109" i="7"/>
  <c r="M101" i="7"/>
  <c r="L101" i="7"/>
  <c r="M93" i="7"/>
  <c r="L93" i="7"/>
  <c r="M85" i="7"/>
  <c r="L85" i="7"/>
  <c r="M77" i="7"/>
  <c r="L77" i="7"/>
  <c r="S32" i="8" s="1"/>
  <c r="U32" i="8" s="1"/>
  <c r="V32" i="8" s="1"/>
  <c r="M69" i="7"/>
  <c r="L69" i="7"/>
  <c r="M61" i="7"/>
  <c r="L61" i="7"/>
  <c r="L300" i="7"/>
  <c r="L295" i="7"/>
  <c r="S16" i="8" s="1"/>
  <c r="U16" i="8" s="1"/>
  <c r="V16" i="8" s="1"/>
  <c r="L284" i="7"/>
  <c r="L279" i="7"/>
  <c r="L268" i="7"/>
  <c r="L263" i="7"/>
  <c r="L252" i="7"/>
  <c r="L247" i="7"/>
  <c r="S14" i="8" s="1"/>
  <c r="U14" i="8" s="1"/>
  <c r="V14" i="8" s="1"/>
  <c r="W14" i="8" s="1"/>
  <c r="L236" i="7"/>
  <c r="L231" i="7"/>
  <c r="S49" i="8" s="1"/>
  <c r="U49" i="8" s="1"/>
  <c r="Y49" i="8" s="1"/>
  <c r="L218" i="7"/>
  <c r="S10" i="8" s="1"/>
  <c r="L202" i="7"/>
  <c r="L186" i="7"/>
  <c r="L170" i="7"/>
  <c r="L154" i="7"/>
  <c r="L138" i="7"/>
  <c r="S185" i="8" s="1"/>
  <c r="U185" i="8" s="1"/>
  <c r="L122" i="7"/>
  <c r="S63" i="8" s="1"/>
  <c r="L106" i="7"/>
  <c r="L44" i="7"/>
  <c r="L28" i="7"/>
  <c r="L12" i="7"/>
  <c r="S153" i="8" s="1"/>
  <c r="U153" i="8" s="1"/>
  <c r="Y153" i="8" s="1"/>
  <c r="M26" i="7"/>
  <c r="M10" i="7"/>
  <c r="M23" i="7"/>
  <c r="L23" i="7"/>
  <c r="S171" i="8" s="1"/>
  <c r="M15" i="7"/>
  <c r="L15" i="7"/>
  <c r="M220" i="7"/>
  <c r="L220" i="7"/>
  <c r="M212" i="7"/>
  <c r="L212" i="7"/>
  <c r="M204" i="7"/>
  <c r="L204" i="7"/>
  <c r="M196" i="7"/>
  <c r="L196" i="7"/>
  <c r="S19" i="8" s="1"/>
  <c r="M188" i="7"/>
  <c r="L188" i="7"/>
  <c r="M180" i="7"/>
  <c r="L180" i="7"/>
  <c r="M172" i="7"/>
  <c r="L172" i="7"/>
  <c r="M164" i="7"/>
  <c r="L164" i="7"/>
  <c r="S37" i="8" s="1"/>
  <c r="U37" i="8" s="1"/>
  <c r="Y37" i="8" s="1"/>
  <c r="M156" i="7"/>
  <c r="L156" i="7"/>
  <c r="S115" i="8" s="1"/>
  <c r="U115" i="8" s="1"/>
  <c r="V115" i="8" s="1"/>
  <c r="X115" i="8" s="1"/>
  <c r="M148" i="7"/>
  <c r="L148" i="7"/>
  <c r="S38" i="8" s="1"/>
  <c r="M140" i="7"/>
  <c r="L140" i="7"/>
  <c r="M132" i="7"/>
  <c r="L132" i="7"/>
  <c r="M124" i="7"/>
  <c r="L124" i="7"/>
  <c r="S69" i="8" s="1"/>
  <c r="U69" i="8" s="1"/>
  <c r="X69" i="8" s="1"/>
  <c r="M116" i="7"/>
  <c r="L116" i="7"/>
  <c r="S192" i="8" s="1"/>
  <c r="U192" i="8" s="1"/>
  <c r="M108" i="7"/>
  <c r="L108" i="7"/>
  <c r="M100" i="7"/>
  <c r="L100" i="7"/>
  <c r="M92" i="7"/>
  <c r="L92" i="7"/>
  <c r="M80" i="7"/>
  <c r="L80" i="7"/>
  <c r="M72" i="7"/>
  <c r="L72" i="7"/>
  <c r="M60" i="7"/>
  <c r="L60" i="7"/>
  <c r="M48" i="7"/>
  <c r="L48" i="7"/>
  <c r="M40" i="7"/>
  <c r="L40" i="7"/>
  <c r="L288" i="7"/>
  <c r="L272" i="7"/>
  <c r="S30" i="8" s="1"/>
  <c r="U30" i="8" s="1"/>
  <c r="Y30" i="8" s="1"/>
  <c r="L256" i="7"/>
  <c r="L240" i="7"/>
  <c r="L22" i="7"/>
  <c r="M22" i="7"/>
  <c r="L14" i="7"/>
  <c r="S88" i="8" s="1"/>
  <c r="U88" i="8" s="1"/>
  <c r="V88" i="8" s="1"/>
  <c r="M14" i="7"/>
  <c r="M55" i="7"/>
  <c r="L55" i="7"/>
  <c r="M51" i="7"/>
  <c r="L51" i="7"/>
  <c r="M47" i="7"/>
  <c r="L47" i="7"/>
  <c r="M43" i="7"/>
  <c r="L43" i="7"/>
  <c r="S160" i="8" s="1"/>
  <c r="M39" i="7"/>
  <c r="L39" i="7"/>
  <c r="M35" i="7"/>
  <c r="L35" i="7"/>
  <c r="M31" i="7"/>
  <c r="L31" i="7"/>
  <c r="S150" i="8" s="1"/>
  <c r="U150" i="8" s="1"/>
  <c r="M27" i="7"/>
  <c r="L27" i="7"/>
  <c r="L292" i="7"/>
  <c r="L287" i="7"/>
  <c r="L276" i="7"/>
  <c r="L271" i="7"/>
  <c r="L260" i="7"/>
  <c r="L255" i="7"/>
  <c r="L244" i="7"/>
  <c r="L239" i="7"/>
  <c r="S51" i="8" s="1"/>
  <c r="U51" i="8" s="1"/>
  <c r="Y51" i="8" s="1"/>
  <c r="L228" i="7"/>
  <c r="S42" i="8" s="1"/>
  <c r="U42" i="8" s="1"/>
  <c r="V42" i="8" s="1"/>
  <c r="L52" i="7"/>
  <c r="L36" i="7"/>
  <c r="L20" i="7"/>
  <c r="M18" i="7"/>
  <c r="L54" i="7"/>
  <c r="M54" i="7"/>
  <c r="L46" i="7"/>
  <c r="M46" i="7"/>
  <c r="L38" i="7"/>
  <c r="M38" i="7"/>
  <c r="L30" i="7"/>
  <c r="M30" i="7"/>
  <c r="L8" i="7"/>
  <c r="S15" i="8" s="1"/>
  <c r="L296" i="7"/>
  <c r="S28" i="8" s="1"/>
  <c r="U28" i="8" s="1"/>
  <c r="Y28" i="8" s="1"/>
  <c r="L291" i="7"/>
  <c r="L286" i="7"/>
  <c r="S52" i="8" s="1"/>
  <c r="U52" i="8" s="1"/>
  <c r="L280" i="7"/>
  <c r="L275" i="7"/>
  <c r="L270" i="7"/>
  <c r="L264" i="7"/>
  <c r="S17" i="8" s="1"/>
  <c r="U17" i="8" s="1"/>
  <c r="V17" i="8" s="1"/>
  <c r="X17" i="8" s="1"/>
  <c r="L259" i="7"/>
  <c r="L254" i="7"/>
  <c r="L248" i="7"/>
  <c r="L243" i="7"/>
  <c r="L238" i="7"/>
  <c r="L232" i="7"/>
  <c r="L227" i="7"/>
  <c r="L219" i="7"/>
  <c r="L211" i="7"/>
  <c r="S56" i="8" s="1"/>
  <c r="L203" i="7"/>
  <c r="L195" i="7"/>
  <c r="S18" i="8" s="1"/>
  <c r="L187" i="7"/>
  <c r="L179" i="7"/>
  <c r="L171" i="7"/>
  <c r="L163" i="7"/>
  <c r="S36" i="8" s="1"/>
  <c r="U36" i="8" s="1"/>
  <c r="V36" i="8" s="1"/>
  <c r="W36" i="8" s="1"/>
  <c r="L155" i="7"/>
  <c r="L147" i="7"/>
  <c r="L139" i="7"/>
  <c r="S186" i="8" s="1"/>
  <c r="U186" i="8" s="1"/>
  <c r="L131" i="7"/>
  <c r="L123" i="7"/>
  <c r="S67" i="8" s="1"/>
  <c r="U67" i="8" s="1"/>
  <c r="X67" i="8" s="1"/>
  <c r="L115" i="7"/>
  <c r="L107" i="7"/>
  <c r="L99" i="7"/>
  <c r="L91" i="7"/>
  <c r="L83" i="7"/>
  <c r="L75" i="7"/>
  <c r="S152" i="8" s="1"/>
  <c r="U152" i="8" s="1"/>
  <c r="Y152" i="8" s="1"/>
  <c r="L67" i="7"/>
  <c r="L59" i="7"/>
  <c r="L45" i="7"/>
  <c r="S4" i="8" s="1"/>
  <c r="U4" i="8" s="1"/>
  <c r="Y4" i="8" s="1"/>
  <c r="L13" i="7"/>
  <c r="M289" i="7"/>
  <c r="M273" i="7"/>
  <c r="M257" i="7"/>
  <c r="M241" i="7"/>
  <c r="M225" i="7"/>
  <c r="M209" i="7"/>
  <c r="M193" i="7"/>
  <c r="M177" i="7"/>
  <c r="M161" i="7"/>
  <c r="M145" i="7"/>
  <c r="M129" i="7"/>
  <c r="M113" i="7"/>
  <c r="M97" i="7"/>
  <c r="M81" i="7"/>
  <c r="M65" i="7"/>
  <c r="M49" i="7"/>
  <c r="M17" i="7"/>
  <c r="U5" i="8"/>
  <c r="Y5" i="8" s="1"/>
  <c r="U6" i="8"/>
  <c r="V6" i="8" s="1"/>
  <c r="W6" i="8" s="1"/>
  <c r="U7" i="8"/>
  <c r="V7" i="8" s="1"/>
  <c r="U10" i="8"/>
  <c r="Y10" i="8" s="1"/>
  <c r="U12" i="8"/>
  <c r="Y12" i="8" s="1"/>
  <c r="U15" i="8"/>
  <c r="Y15" i="8" s="1"/>
  <c r="U18" i="8"/>
  <c r="V18" i="8" s="1"/>
  <c r="U19" i="8"/>
  <c r="Y19" i="8" s="1"/>
  <c r="U20" i="8"/>
  <c r="Y20" i="8" s="1"/>
  <c r="U21" i="8"/>
  <c r="Y21" i="8" s="1"/>
  <c r="U27" i="8"/>
  <c r="V27" i="8" s="1"/>
  <c r="W27" i="8" s="1"/>
  <c r="U38" i="8"/>
  <c r="V38" i="8" s="1"/>
  <c r="W38" i="8" s="1"/>
  <c r="U40" i="8"/>
  <c r="V40" i="8" s="1"/>
  <c r="U41" i="8"/>
  <c r="Y41" i="8" s="1"/>
  <c r="U43" i="8"/>
  <c r="Y43" i="8" s="1"/>
  <c r="U45" i="8"/>
  <c r="Y45" i="8" s="1"/>
  <c r="U46" i="8"/>
  <c r="V46" i="8" s="1"/>
  <c r="U47" i="8"/>
  <c r="Y47" i="8" s="1"/>
  <c r="U48" i="8"/>
  <c r="V48" i="8" s="1"/>
  <c r="U50" i="8"/>
  <c r="V50" i="8" s="1"/>
  <c r="U55" i="8"/>
  <c r="X55" i="8" s="1"/>
  <c r="U56" i="8"/>
  <c r="W56" i="8" s="1"/>
  <c r="U57" i="8"/>
  <c r="Y57" i="8" s="1"/>
  <c r="U58" i="8"/>
  <c r="X58" i="8" s="1"/>
  <c r="U59" i="8"/>
  <c r="X59" i="8" s="1"/>
  <c r="U60" i="8"/>
  <c r="Y60" i="8" s="1"/>
  <c r="U61" i="8"/>
  <c r="U63" i="8"/>
  <c r="W63" i="8" s="1"/>
  <c r="U64" i="8"/>
  <c r="W64" i="8" s="1"/>
  <c r="U65" i="8"/>
  <c r="Y65" i="8" s="1"/>
  <c r="U66" i="8"/>
  <c r="Y66" i="8" s="1"/>
  <c r="U68" i="8"/>
  <c r="W68" i="8" s="1"/>
  <c r="U70" i="8"/>
  <c r="Y70" i="8" s="1"/>
  <c r="U71" i="8"/>
  <c r="V71" i="8" s="1"/>
  <c r="W71" i="8" s="1"/>
  <c r="U72" i="8"/>
  <c r="Y72" i="8" s="1"/>
  <c r="U73" i="8"/>
  <c r="U74" i="8"/>
  <c r="V74" i="8" s="1"/>
  <c r="W74" i="8" s="1"/>
  <c r="U75" i="8"/>
  <c r="Y75" i="8" s="1"/>
  <c r="U77" i="8"/>
  <c r="V77" i="8" s="1"/>
  <c r="U78" i="8"/>
  <c r="U79" i="8"/>
  <c r="Y79" i="8" s="1"/>
  <c r="U80" i="8"/>
  <c r="V80" i="8" s="1"/>
  <c r="U81" i="8"/>
  <c r="V81" i="8" s="1"/>
  <c r="U82" i="8"/>
  <c r="V82" i="8" s="1"/>
  <c r="U83" i="8"/>
  <c r="U84" i="8"/>
  <c r="V84" i="8" s="1"/>
  <c r="U85" i="8"/>
  <c r="Y85" i="8" s="1"/>
  <c r="U86" i="8"/>
  <c r="V86" i="8" s="1"/>
  <c r="U87" i="8"/>
  <c r="U89" i="8"/>
  <c r="Y89" i="8" s="1"/>
  <c r="U90" i="8"/>
  <c r="V90" i="8" s="1"/>
  <c r="W90" i="8" s="1"/>
  <c r="U91" i="8"/>
  <c r="V91" i="8" s="1"/>
  <c r="U92" i="8"/>
  <c r="V92" i="8" s="1"/>
  <c r="U93" i="8"/>
  <c r="Y93" i="8" s="1"/>
  <c r="U94" i="8"/>
  <c r="V94" i="8" s="1"/>
  <c r="X94" i="8" s="1"/>
  <c r="U95" i="8"/>
  <c r="Y95" i="8" s="1"/>
  <c r="U96" i="8"/>
  <c r="V96" i="8" s="1"/>
  <c r="U97" i="8"/>
  <c r="U98" i="8"/>
  <c r="V98" i="8" s="1"/>
  <c r="W98" i="8" s="1"/>
  <c r="U100" i="8"/>
  <c r="V100" i="8" s="1"/>
  <c r="U101" i="8"/>
  <c r="V101" i="8" s="1"/>
  <c r="U102" i="8"/>
  <c r="Y102" i="8" s="1"/>
  <c r="U103" i="8"/>
  <c r="Y103" i="8" s="1"/>
  <c r="U105" i="8"/>
  <c r="Y105" i="8" s="1"/>
  <c r="U106" i="8"/>
  <c r="U107" i="8"/>
  <c r="V107" i="8" s="1"/>
  <c r="U108" i="8"/>
  <c r="U109" i="8"/>
  <c r="Y109" i="8" s="1"/>
  <c r="U110" i="8"/>
  <c r="Y110" i="8" s="1"/>
  <c r="U111" i="8"/>
  <c r="Y111" i="8" s="1"/>
  <c r="U112" i="8"/>
  <c r="V112" i="8" s="1"/>
  <c r="U113" i="8"/>
  <c r="V113" i="8" s="1"/>
  <c r="U114" i="8"/>
  <c r="Y114" i="8" s="1"/>
  <c r="U117" i="8"/>
  <c r="Y117" i="8" s="1"/>
  <c r="U118" i="8"/>
  <c r="U119" i="8"/>
  <c r="Y119" i="8" s="1"/>
  <c r="U120" i="8"/>
  <c r="V120" i="8" s="1"/>
  <c r="U121" i="8"/>
  <c r="Y121" i="8" s="1"/>
  <c r="U122" i="8"/>
  <c r="U123" i="8"/>
  <c r="Y123" i="8" s="1"/>
  <c r="U124" i="8"/>
  <c r="V124" i="8" s="1"/>
  <c r="U125" i="8"/>
  <c r="Y125" i="8" s="1"/>
  <c r="U126" i="8"/>
  <c r="U127" i="8"/>
  <c r="Y127" i="8" s="1"/>
  <c r="U130" i="8"/>
  <c r="U131" i="8"/>
  <c r="Y131" i="8" s="1"/>
  <c r="U132" i="8"/>
  <c r="V132" i="8" s="1"/>
  <c r="U133" i="8"/>
  <c r="Y133" i="8" s="1"/>
  <c r="U136" i="8"/>
  <c r="V136" i="8" s="1"/>
  <c r="U137" i="8"/>
  <c r="Y137" i="8" s="1"/>
  <c r="U138" i="8"/>
  <c r="U139" i="8"/>
  <c r="Y139" i="8" s="1"/>
  <c r="U140" i="8"/>
  <c r="Y140" i="8" s="1"/>
  <c r="U141" i="8"/>
  <c r="Y141" i="8" s="1"/>
  <c r="U142" i="8"/>
  <c r="U143" i="8"/>
  <c r="Y143" i="8" s="1"/>
  <c r="U144" i="8"/>
  <c r="V144" i="8" s="1"/>
  <c r="U145" i="8"/>
  <c r="Y145" i="8" s="1"/>
  <c r="U146" i="8"/>
  <c r="U147" i="8"/>
  <c r="Y147" i="8" s="1"/>
  <c r="U148" i="8"/>
  <c r="Y148" i="8" s="1"/>
  <c r="U149" i="8"/>
  <c r="Y149" i="8" s="1"/>
  <c r="U154" i="8"/>
  <c r="U155" i="8"/>
  <c r="Y155" i="8" s="1"/>
  <c r="U156" i="8"/>
  <c r="Y156" i="8" s="1"/>
  <c r="U157" i="8"/>
  <c r="Y157" i="8" s="1"/>
  <c r="U158" i="8"/>
  <c r="U159" i="8"/>
  <c r="Y159" i="8" s="1"/>
  <c r="U160" i="8"/>
  <c r="V160" i="8" s="1"/>
  <c r="U161" i="8"/>
  <c r="Y161" i="8" s="1"/>
  <c r="U162" i="8"/>
  <c r="U163" i="8"/>
  <c r="Y163" i="8" s="1"/>
  <c r="U164" i="8"/>
  <c r="Y164" i="8" s="1"/>
  <c r="U165" i="8"/>
  <c r="Y165" i="8" s="1"/>
  <c r="U166" i="8"/>
  <c r="U167" i="8"/>
  <c r="Y167" i="8" s="1"/>
  <c r="U168" i="8"/>
  <c r="Y168" i="8" s="1"/>
  <c r="U169" i="8"/>
  <c r="Y169" i="8" s="1"/>
  <c r="U170" i="8"/>
  <c r="Y170" i="8" s="1"/>
  <c r="U171" i="8"/>
  <c r="U172" i="8"/>
  <c r="Y172" i="8" s="1"/>
  <c r="U173" i="8"/>
  <c r="Y173" i="8" s="1"/>
  <c r="U174" i="8"/>
  <c r="Y174" i="8" s="1"/>
  <c r="V186" i="8" l="1"/>
  <c r="Y186" i="8"/>
  <c r="S9" i="8"/>
  <c r="U9" i="8" s="1"/>
  <c r="Y9" i="8" s="1"/>
  <c r="X181" i="8"/>
  <c r="W181" i="8"/>
  <c r="S39" i="8"/>
  <c r="U39" i="8" s="1"/>
  <c r="V39" i="8" s="1"/>
  <c r="X39" i="8" s="1"/>
  <c r="S8" i="8"/>
  <c r="U8" i="8" s="1"/>
  <c r="V8" i="8" s="1"/>
  <c r="W8" i="8" s="1"/>
  <c r="S151" i="8"/>
  <c r="U151" i="8" s="1"/>
  <c r="Y151" i="8" s="1"/>
  <c r="Y185" i="8"/>
  <c r="V185" i="8"/>
  <c r="S11" i="8"/>
  <c r="U11" i="8" s="1"/>
  <c r="Y11" i="8" s="1"/>
  <c r="S24" i="8"/>
  <c r="U24" i="8" s="1"/>
  <c r="V24" i="8" s="1"/>
  <c r="X24" i="8" s="1"/>
  <c r="S116" i="8"/>
  <c r="U116" i="8" s="1"/>
  <c r="V116" i="8" s="1"/>
  <c r="W116" i="8" s="1"/>
  <c r="S53" i="8"/>
  <c r="U53" i="8" s="1"/>
  <c r="W53" i="8" s="1"/>
  <c r="V180" i="8"/>
  <c r="Y180" i="8"/>
  <c r="V196" i="8"/>
  <c r="Y196" i="8"/>
  <c r="Y183" i="8"/>
  <c r="V183" i="8"/>
  <c r="X184" i="8"/>
  <c r="W184" i="8"/>
  <c r="S26" i="8"/>
  <c r="U26" i="8" s="1"/>
  <c r="Y26" i="8" s="1"/>
  <c r="S135" i="8"/>
  <c r="U135" i="8" s="1"/>
  <c r="Y135" i="8" s="1"/>
  <c r="S29" i="8"/>
  <c r="U29" i="8" s="1"/>
  <c r="V29" i="8" s="1"/>
  <c r="W29" i="8" s="1"/>
  <c r="S31" i="8"/>
  <c r="U31" i="8" s="1"/>
  <c r="V31" i="8" s="1"/>
  <c r="W31" i="8" s="1"/>
  <c r="S35" i="8"/>
  <c r="U35" i="8" s="1"/>
  <c r="Y35" i="8" s="1"/>
  <c r="Y192" i="8"/>
  <c r="V192" i="8"/>
  <c r="S128" i="8"/>
  <c r="U128" i="8" s="1"/>
  <c r="V128" i="8" s="1"/>
  <c r="W128" i="8" s="1"/>
  <c r="X182" i="8"/>
  <c r="W182" i="8"/>
  <c r="Y74" i="8"/>
  <c r="Y82" i="8"/>
  <c r="Y90" i="8"/>
  <c r="V34" i="8"/>
  <c r="X34" i="8" s="1"/>
  <c r="V110" i="8"/>
  <c r="W110" i="8" s="1"/>
  <c r="Y98" i="8"/>
  <c r="Y59" i="8"/>
  <c r="Y94" i="8"/>
  <c r="Y17" i="8"/>
  <c r="Y86" i="8"/>
  <c r="V102" i="8"/>
  <c r="X102" i="8" s="1"/>
  <c r="W66" i="8"/>
  <c r="Y81" i="8"/>
  <c r="X66" i="8"/>
  <c r="V75" i="8"/>
  <c r="W75" i="8" s="1"/>
  <c r="V79" i="8"/>
  <c r="X79" i="8" s="1"/>
  <c r="Y91" i="8"/>
  <c r="Y39" i="8"/>
  <c r="V95" i="8"/>
  <c r="X95" i="8" s="1"/>
  <c r="W57" i="8"/>
  <c r="V103" i="8"/>
  <c r="X103" i="8" s="1"/>
  <c r="Y144" i="8"/>
  <c r="V111" i="8"/>
  <c r="X111" i="8" s="1"/>
  <c r="V173" i="8"/>
  <c r="X173" i="8" s="1"/>
  <c r="Y160" i="8"/>
  <c r="X74" i="8"/>
  <c r="Y76" i="8"/>
  <c r="W94" i="8"/>
  <c r="V109" i="8"/>
  <c r="X109" i="8" s="1"/>
  <c r="Y115" i="8"/>
  <c r="V140" i="8"/>
  <c r="X140" i="8" s="1"/>
  <c r="V156" i="8"/>
  <c r="W156" i="8" s="1"/>
  <c r="V169" i="8"/>
  <c r="W169" i="8" s="1"/>
  <c r="V10" i="8"/>
  <c r="W10" i="8" s="1"/>
  <c r="W59" i="8"/>
  <c r="Y88" i="8"/>
  <c r="Y104" i="8"/>
  <c r="Y107" i="8"/>
  <c r="W107" i="8"/>
  <c r="X107" i="8"/>
  <c r="W39" i="8"/>
  <c r="V152" i="8"/>
  <c r="X152" i="8" s="1"/>
  <c r="Y80" i="8"/>
  <c r="X90" i="8"/>
  <c r="Y96" i="8"/>
  <c r="Y100" i="8"/>
  <c r="V105" i="8"/>
  <c r="X105" i="8" s="1"/>
  <c r="W115" i="8"/>
  <c r="V148" i="8"/>
  <c r="W148" i="8" s="1"/>
  <c r="V164" i="8"/>
  <c r="W164" i="8" s="1"/>
  <c r="Y92" i="8"/>
  <c r="V21" i="8"/>
  <c r="W21" i="8" s="1"/>
  <c r="W100" i="8"/>
  <c r="X100" i="8"/>
  <c r="W96" i="8"/>
  <c r="X96" i="8"/>
  <c r="W92" i="8"/>
  <c r="X92" i="8"/>
  <c r="W88" i="8"/>
  <c r="X88" i="8"/>
  <c r="W84" i="8"/>
  <c r="X84" i="8"/>
  <c r="X80" i="8"/>
  <c r="W80" i="8"/>
  <c r="W32" i="8"/>
  <c r="X32" i="8"/>
  <c r="X113" i="8"/>
  <c r="W113" i="8"/>
  <c r="W101" i="8"/>
  <c r="X101" i="8"/>
  <c r="W81" i="8"/>
  <c r="X81" i="8"/>
  <c r="X57" i="8"/>
  <c r="Y32" i="8"/>
  <c r="Y84" i="8"/>
  <c r="V85" i="8"/>
  <c r="W85" i="8" s="1"/>
  <c r="V89" i="8"/>
  <c r="W89" i="8" s="1"/>
  <c r="V93" i="8"/>
  <c r="X93" i="8" s="1"/>
  <c r="X98" i="8"/>
  <c r="Y101" i="8"/>
  <c r="Y113" i="8"/>
  <c r="V168" i="8"/>
  <c r="X168" i="8" s="1"/>
  <c r="Y8" i="8"/>
  <c r="X77" i="8"/>
  <c r="W77" i="8"/>
  <c r="Y77" i="8"/>
  <c r="Y6" i="8"/>
  <c r="V20" i="8"/>
  <c r="W20" i="8" s="1"/>
  <c r="Y16" i="8"/>
  <c r="V49" i="8"/>
  <c r="X49" i="8" s="1"/>
  <c r="Y64" i="8"/>
  <c r="V37" i="8"/>
  <c r="X37" i="8" s="1"/>
  <c r="V41" i="8"/>
  <c r="X41" i="8" s="1"/>
  <c r="Y56" i="8"/>
  <c r="X70" i="8"/>
  <c r="V28" i="8"/>
  <c r="X28" i="8" s="1"/>
  <c r="X36" i="8"/>
  <c r="X54" i="8"/>
  <c r="Y69" i="8"/>
  <c r="V4" i="8"/>
  <c r="X4" i="8" s="1"/>
  <c r="Y14" i="8"/>
  <c r="V47" i="8"/>
  <c r="X47" i="8" s="1"/>
  <c r="Y58" i="8"/>
  <c r="X60" i="8"/>
  <c r="Y63" i="8"/>
  <c r="X64" i="8"/>
  <c r="V12" i="8"/>
  <c r="X12" i="8" s="1"/>
  <c r="V55" i="8"/>
  <c r="W55" i="8" s="1"/>
  <c r="X14" i="8"/>
  <c r="V30" i="8"/>
  <c r="X30" i="8" s="1"/>
  <c r="Y54" i="8"/>
  <c r="W60" i="8"/>
  <c r="W16" i="8"/>
  <c r="X16" i="8"/>
  <c r="V19" i="8"/>
  <c r="X19" i="8" s="1"/>
  <c r="V45" i="8"/>
  <c r="Y53" i="8"/>
  <c r="V72" i="8"/>
  <c r="X72" i="8" s="1"/>
  <c r="V5" i="8"/>
  <c r="Y7" i="8"/>
  <c r="V9" i="8"/>
  <c r="X9" i="8" s="1"/>
  <c r="V13" i="8"/>
  <c r="V15" i="8"/>
  <c r="W15" i="8" s="1"/>
  <c r="V43" i="8"/>
  <c r="V51" i="8"/>
  <c r="W58" i="8"/>
  <c r="W69" i="8"/>
  <c r="Y71" i="8"/>
  <c r="W18" i="8"/>
  <c r="X18" i="8"/>
  <c r="Y18" i="8"/>
  <c r="W7" i="8"/>
  <c r="X7" i="8"/>
  <c r="W33" i="8"/>
  <c r="X33" i="8"/>
  <c r="V78" i="8"/>
  <c r="Y78" i="8"/>
  <c r="X82" i="8"/>
  <c r="W82" i="8"/>
  <c r="W91" i="8"/>
  <c r="X91" i="8"/>
  <c r="Y97" i="8"/>
  <c r="V97" i="8"/>
  <c r="V108" i="8"/>
  <c r="Y108" i="8"/>
  <c r="W112" i="8"/>
  <c r="X112" i="8"/>
  <c r="V126" i="8"/>
  <c r="Y126" i="8"/>
  <c r="W17" i="8"/>
  <c r="X22" i="8"/>
  <c r="X27" i="8"/>
  <c r="X31" i="8"/>
  <c r="Y33" i="8"/>
  <c r="W40" i="8"/>
  <c r="X40" i="8"/>
  <c r="W42" i="8"/>
  <c r="X42" i="8"/>
  <c r="W44" i="8"/>
  <c r="X44" i="8"/>
  <c r="W46" i="8"/>
  <c r="X46" i="8"/>
  <c r="W48" i="8"/>
  <c r="X48" i="8"/>
  <c r="W50" i="8"/>
  <c r="X50" i="8"/>
  <c r="X52" i="8"/>
  <c r="Y52" i="8"/>
  <c r="W52" i="8"/>
  <c r="X61" i="8"/>
  <c r="Y61" i="8"/>
  <c r="W61" i="8"/>
  <c r="X71" i="8"/>
  <c r="X86" i="8"/>
  <c r="W86" i="8"/>
  <c r="W104" i="8"/>
  <c r="X104" i="8"/>
  <c r="Y106" i="8"/>
  <c r="V106" i="8"/>
  <c r="V130" i="8"/>
  <c r="Y130" i="8"/>
  <c r="V142" i="8"/>
  <c r="Y142" i="8"/>
  <c r="V150" i="8"/>
  <c r="Y150" i="8"/>
  <c r="V158" i="8"/>
  <c r="Y158" i="8"/>
  <c r="V166" i="8"/>
  <c r="Y166" i="8"/>
  <c r="X38" i="8"/>
  <c r="Y40" i="8"/>
  <c r="Y42" i="8"/>
  <c r="Y44" i="8"/>
  <c r="Y46" i="8"/>
  <c r="Y48" i="8"/>
  <c r="Y50" i="8"/>
  <c r="X76" i="8"/>
  <c r="W76" i="8"/>
  <c r="V83" i="8"/>
  <c r="Y83" i="8"/>
  <c r="V118" i="8"/>
  <c r="Y118" i="8"/>
  <c r="V134" i="8"/>
  <c r="Y134" i="8"/>
  <c r="X6" i="8"/>
  <c r="X25" i="8"/>
  <c r="W62" i="8"/>
  <c r="Y62" i="8"/>
  <c r="X62" i="8"/>
  <c r="Y73" i="8"/>
  <c r="V73" i="8"/>
  <c r="Y87" i="8"/>
  <c r="V87" i="8"/>
  <c r="V122" i="8"/>
  <c r="Y122" i="8"/>
  <c r="V138" i="8"/>
  <c r="Y138" i="8"/>
  <c r="V146" i="8"/>
  <c r="Y146" i="8"/>
  <c r="V154" i="8"/>
  <c r="Y154" i="8"/>
  <c r="V162" i="8"/>
  <c r="Y162" i="8"/>
  <c r="V171" i="8"/>
  <c r="Y171" i="8"/>
  <c r="Y22" i="8"/>
  <c r="Y27" i="8"/>
  <c r="Y36" i="8"/>
  <c r="Y38" i="8"/>
  <c r="X53" i="8"/>
  <c r="Y55" i="8"/>
  <c r="X56" i="8"/>
  <c r="X65" i="8"/>
  <c r="Y67" i="8"/>
  <c r="Y68" i="8"/>
  <c r="W70" i="8"/>
  <c r="Y112" i="8"/>
  <c r="V114" i="8"/>
  <c r="Y120" i="8"/>
  <c r="Y124" i="8"/>
  <c r="Y132" i="8"/>
  <c r="Y136" i="8"/>
  <c r="Y25" i="8"/>
  <c r="Y31" i="8"/>
  <c r="W65" i="8"/>
  <c r="W67" i="8"/>
  <c r="X68" i="8"/>
  <c r="V99" i="8"/>
  <c r="X116" i="8"/>
  <c r="W120" i="8"/>
  <c r="X120" i="8"/>
  <c r="W124" i="8"/>
  <c r="X124" i="8"/>
  <c r="W132" i="8"/>
  <c r="X132" i="8"/>
  <c r="W136" i="8"/>
  <c r="X136" i="8"/>
  <c r="W144" i="8"/>
  <c r="X144" i="8"/>
  <c r="W160" i="8"/>
  <c r="X160" i="8"/>
  <c r="V117" i="8"/>
  <c r="V119" i="8"/>
  <c r="V121" i="8"/>
  <c r="V123" i="8"/>
  <c r="V125" i="8"/>
  <c r="V127" i="8"/>
  <c r="V129" i="8"/>
  <c r="V131" i="8"/>
  <c r="V133" i="8"/>
  <c r="V137" i="8"/>
  <c r="V139" i="8"/>
  <c r="V141" i="8"/>
  <c r="V143" i="8"/>
  <c r="V145" i="8"/>
  <c r="V147" i="8"/>
  <c r="V149" i="8"/>
  <c r="V151" i="8"/>
  <c r="V153" i="8"/>
  <c r="V155" i="8"/>
  <c r="V157" i="8"/>
  <c r="V159" i="8"/>
  <c r="V161" i="8"/>
  <c r="V163" i="8"/>
  <c r="V165" i="8"/>
  <c r="V167" i="8"/>
  <c r="V170" i="8"/>
  <c r="V172" i="8"/>
  <c r="V174" i="8"/>
  <c r="X29" i="8" l="1"/>
  <c r="V11" i="8"/>
  <c r="Y29" i="8"/>
  <c r="V26" i="8"/>
  <c r="X26" i="8" s="1"/>
  <c r="Y116" i="8"/>
  <c r="V135" i="8"/>
  <c r="W24" i="8"/>
  <c r="Y24" i="8"/>
  <c r="AA17" i="8" s="1"/>
  <c r="X180" i="8"/>
  <c r="W180" i="8"/>
  <c r="X128" i="8"/>
  <c r="W185" i="8"/>
  <c r="X185" i="8"/>
  <c r="W183" i="8"/>
  <c r="X183" i="8"/>
  <c r="Y128" i="8"/>
  <c r="V35" i="8"/>
  <c r="W35" i="8" s="1"/>
  <c r="X192" i="8"/>
  <c r="W192" i="8"/>
  <c r="X196" i="8"/>
  <c r="W196" i="8"/>
  <c r="W186" i="8"/>
  <c r="X186" i="8"/>
  <c r="X110" i="8"/>
  <c r="W79" i="8"/>
  <c r="W102" i="8"/>
  <c r="W34" i="8"/>
  <c r="W95" i="8"/>
  <c r="W173" i="8"/>
  <c r="X75" i="8"/>
  <c r="W103" i="8"/>
  <c r="X156" i="8"/>
  <c r="W152" i="8"/>
  <c r="X85" i="8"/>
  <c r="W140" i="8"/>
  <c r="W111" i="8"/>
  <c r="X164" i="8"/>
  <c r="X21" i="8"/>
  <c r="X169" i="8"/>
  <c r="W109" i="8"/>
  <c r="W105" i="8"/>
  <c r="X148" i="8"/>
  <c r="W9" i="8"/>
  <c r="W93" i="8"/>
  <c r="X89" i="8"/>
  <c r="W168" i="8"/>
  <c r="W41" i="8"/>
  <c r="W4" i="8"/>
  <c r="W28" i="8"/>
  <c r="W37" i="8"/>
  <c r="W30" i="8"/>
  <c r="W19" i="8"/>
  <c r="X20" i="8"/>
  <c r="W49" i="8"/>
  <c r="W47" i="8"/>
  <c r="W12" i="8"/>
  <c r="W26" i="8"/>
  <c r="W5" i="8"/>
  <c r="X5" i="8"/>
  <c r="X45" i="8"/>
  <c r="W45" i="8"/>
  <c r="X15" i="8"/>
  <c r="W51" i="8"/>
  <c r="X51" i="8"/>
  <c r="W13" i="8"/>
  <c r="X13" i="8"/>
  <c r="W72" i="8"/>
  <c r="W43" i="8"/>
  <c r="X43" i="8"/>
  <c r="W165" i="8"/>
  <c r="X165" i="8"/>
  <c r="W157" i="8"/>
  <c r="X157" i="8"/>
  <c r="W133" i="8"/>
  <c r="X133" i="8"/>
  <c r="W117" i="8"/>
  <c r="X117" i="8"/>
  <c r="W87" i="8"/>
  <c r="X87" i="8"/>
  <c r="W118" i="8"/>
  <c r="X118" i="8"/>
  <c r="W106" i="8"/>
  <c r="X106" i="8"/>
  <c r="W172" i="8"/>
  <c r="X172" i="8"/>
  <c r="W163" i="8"/>
  <c r="X163" i="8"/>
  <c r="W155" i="8"/>
  <c r="X155" i="8"/>
  <c r="W147" i="8"/>
  <c r="X147" i="8"/>
  <c r="W139" i="8"/>
  <c r="X139" i="8"/>
  <c r="W131" i="8"/>
  <c r="X131" i="8"/>
  <c r="W123" i="8"/>
  <c r="X123" i="8"/>
  <c r="W171" i="8"/>
  <c r="X171" i="8"/>
  <c r="W154" i="8"/>
  <c r="X154" i="8"/>
  <c r="W138" i="8"/>
  <c r="X138" i="8"/>
  <c r="W158" i="8"/>
  <c r="X158" i="8"/>
  <c r="W142" i="8"/>
  <c r="X142" i="8"/>
  <c r="W126" i="8"/>
  <c r="X126" i="8"/>
  <c r="W108" i="8"/>
  <c r="X108" i="8"/>
  <c r="W170" i="8"/>
  <c r="X170" i="8"/>
  <c r="W161" i="8"/>
  <c r="X161" i="8"/>
  <c r="W153" i="8"/>
  <c r="X153" i="8"/>
  <c r="W145" i="8"/>
  <c r="X145" i="8"/>
  <c r="W137" i="8"/>
  <c r="X137" i="8"/>
  <c r="W129" i="8"/>
  <c r="X129" i="8"/>
  <c r="W121" i="8"/>
  <c r="X121" i="8"/>
  <c r="W114" i="8"/>
  <c r="X114" i="8"/>
  <c r="W73" i="8"/>
  <c r="X73" i="8"/>
  <c r="W134" i="8"/>
  <c r="X134" i="8"/>
  <c r="W83" i="8"/>
  <c r="X83" i="8"/>
  <c r="W97" i="8"/>
  <c r="X97" i="8"/>
  <c r="W174" i="8"/>
  <c r="X174" i="8"/>
  <c r="W149" i="8"/>
  <c r="X149" i="8"/>
  <c r="W141" i="8"/>
  <c r="X141" i="8"/>
  <c r="W125" i="8"/>
  <c r="X125" i="8"/>
  <c r="W167" i="8"/>
  <c r="X167" i="8"/>
  <c r="W159" i="8"/>
  <c r="X159" i="8"/>
  <c r="W151" i="8"/>
  <c r="X151" i="8"/>
  <c r="W143" i="8"/>
  <c r="X143" i="8"/>
  <c r="W135" i="8"/>
  <c r="X135" i="8"/>
  <c r="W127" i="8"/>
  <c r="X127" i="8"/>
  <c r="W119" i="8"/>
  <c r="X119" i="8"/>
  <c r="W99" i="8"/>
  <c r="X99" i="8"/>
  <c r="W162" i="8"/>
  <c r="X162" i="8"/>
  <c r="W146" i="8"/>
  <c r="X146" i="8"/>
  <c r="W122" i="8"/>
  <c r="X122" i="8"/>
  <c r="W166" i="8"/>
  <c r="X166" i="8"/>
  <c r="W150" i="8"/>
  <c r="X150" i="8"/>
  <c r="W130" i="8"/>
  <c r="X130" i="8"/>
  <c r="W11" i="8"/>
  <c r="X11" i="8"/>
  <c r="W78" i="8"/>
  <c r="X78" i="8"/>
  <c r="X35" i="8" l="1"/>
  <c r="Z17" i="8" s="1"/>
  <c r="AA20" i="8"/>
  <c r="AC5" i="8" l="1"/>
  <c r="AC9" i="8"/>
  <c r="AC13" i="8"/>
  <c r="AC6" i="8"/>
  <c r="AC10" i="8"/>
  <c r="AC14" i="8"/>
  <c r="AC7" i="8"/>
  <c r="AC11" i="8"/>
  <c r="AC4" i="8"/>
  <c r="AC8" i="8"/>
  <c r="AC12" i="8"/>
  <c r="Z20" i="8"/>
  <c r="AD5" i="8"/>
  <c r="AD9" i="8"/>
  <c r="AD13" i="8"/>
  <c r="AD4" i="8"/>
  <c r="AD6" i="8"/>
  <c r="AD10" i="8"/>
  <c r="AD14" i="8"/>
  <c r="AD7" i="8"/>
  <c r="AD11" i="8"/>
  <c r="AD8" i="8"/>
  <c r="AD12" i="8"/>
</calcChain>
</file>

<file path=xl/comments1.xml><?xml version="1.0" encoding="utf-8"?>
<comments xmlns="http://schemas.openxmlformats.org/spreadsheetml/2006/main">
  <authors>
    <author>Miner Maj Roy L</author>
  </authors>
  <commentList>
    <comment ref="K6" authorId="0">
      <text>
        <r>
          <rPr>
            <b/>
            <sz val="9"/>
            <color indexed="81"/>
            <rFont val="Tahoma"/>
            <family val="2"/>
          </rPr>
          <t>Miner Maj Roy L:</t>
        </r>
        <r>
          <rPr>
            <sz val="9"/>
            <color indexed="81"/>
            <rFont val="Tahoma"/>
            <family val="2"/>
          </rPr>
          <t xml:space="preserve">
Find the T/E Quantity using the VLOOKUP function.</t>
        </r>
      </text>
    </comment>
  </commentList>
</comments>
</file>

<file path=xl/comments2.xml><?xml version="1.0" encoding="utf-8"?>
<comments xmlns="http://schemas.openxmlformats.org/spreadsheetml/2006/main">
  <authors>
    <author>YoungHC</author>
    <author>Miner Maj Roy L</author>
  </authors>
  <commentList>
    <comment ref="U3" authorId="0">
      <text>
        <r>
          <rPr>
            <b/>
            <sz val="8"/>
            <color indexed="81"/>
            <rFont val="Tahoma"/>
            <family val="2"/>
          </rPr>
          <t>YoungHC:</t>
        </r>
        <r>
          <rPr>
            <sz val="8"/>
            <color indexed="81"/>
            <rFont val="Tahoma"/>
            <family val="2"/>
          </rPr>
          <t xml:space="preserve">
Type quantites in here
</t>
        </r>
      </text>
    </comment>
    <comment ref="AB3" authorId="1">
      <text>
        <r>
          <rPr>
            <b/>
            <sz val="9"/>
            <color indexed="81"/>
            <rFont val="Tahoma"/>
            <family val="2"/>
          </rPr>
          <t>Miner Maj Roy L:</t>
        </r>
        <r>
          <rPr>
            <sz val="9"/>
            <color indexed="81"/>
            <rFont val="Tahoma"/>
            <family val="2"/>
          </rPr>
          <t xml:space="preserve">
For vehicles the payload is the max highway payload.</t>
        </r>
      </text>
    </comment>
  </commentList>
</comments>
</file>

<file path=xl/sharedStrings.xml><?xml version="1.0" encoding="utf-8"?>
<sst xmlns="http://schemas.openxmlformats.org/spreadsheetml/2006/main" count="2014" uniqueCount="841">
  <si>
    <t>DODIC</t>
  </si>
  <si>
    <t>NOMENCLATURE</t>
  </si>
  <si>
    <t>DWGU</t>
  </si>
  <si>
    <t>Tail Charge Assembly for CA49</t>
  </si>
  <si>
    <t>D533</t>
  </si>
  <si>
    <t>D540</t>
  </si>
  <si>
    <t>D541</t>
  </si>
  <si>
    <t>DA12</t>
  </si>
  <si>
    <t>Charge, Propellant 155mm MACS M231</t>
  </si>
  <si>
    <t>DA13</t>
  </si>
  <si>
    <t>Charge, Propellant 155mm MACS M232</t>
  </si>
  <si>
    <t>N523</t>
  </si>
  <si>
    <t>Primer, Percussion M82</t>
  </si>
  <si>
    <t>NA17</t>
  </si>
  <si>
    <t>Fuze, Electronic Time M762A1</t>
  </si>
  <si>
    <t>D532</t>
  </si>
  <si>
    <t>N340</t>
  </si>
  <si>
    <t>N659</t>
  </si>
  <si>
    <t>Fuze, Point Detonating M739/M739A1</t>
  </si>
  <si>
    <t>Fuze, Point Detonating MK399 Mod 1</t>
  </si>
  <si>
    <t>NA09</t>
  </si>
  <si>
    <t>Fuze, Multi-Option M782</t>
  </si>
  <si>
    <t>NA15</t>
  </si>
  <si>
    <t>Fuze, Electronic Time M767A1</t>
  </si>
  <si>
    <t>NA28</t>
  </si>
  <si>
    <t>Fuze, Precision Guidance Kit M1156</t>
  </si>
  <si>
    <t>D003</t>
  </si>
  <si>
    <t>Charge, Projectile Spotting M509</t>
  </si>
  <si>
    <t>POM-16</t>
  </si>
  <si>
    <t>CA49</t>
  </si>
  <si>
    <t>Projectile, 120mm Mortar WP M1103</t>
  </si>
  <si>
    <t>D501</t>
  </si>
  <si>
    <t>Projectile, 155mm ADAM-L M692</t>
  </si>
  <si>
    <t>D502</t>
  </si>
  <si>
    <t>Projectile, 155mm ADAM-S M731</t>
  </si>
  <si>
    <t>D503</t>
  </si>
  <si>
    <t>Projectile, 155mm Anti-Tank RAAM-L M718</t>
  </si>
  <si>
    <t>D505</t>
  </si>
  <si>
    <t>Projectile, 155mm Illuminating M485A2</t>
  </si>
  <si>
    <t>D509</t>
  </si>
  <si>
    <t>Projectile, 155mm Anti-Tank RAAM-S M741</t>
  </si>
  <si>
    <t>D528</t>
  </si>
  <si>
    <t>Projectile, 155mm Smoke White Phosphorus M825</t>
  </si>
  <si>
    <t>DA54</t>
  </si>
  <si>
    <t>Projectile, 155mm HE (IMX-101) w/Supp Charge</t>
  </si>
  <si>
    <t>D550</t>
  </si>
  <si>
    <t>Projectile, 155mm Smoke White Phosphorus M110A1</t>
  </si>
  <si>
    <t>D579</t>
  </si>
  <si>
    <t>Projectile, 155mm High Explosive Rocket Assisted M549A1</t>
  </si>
  <si>
    <t>DA58</t>
  </si>
  <si>
    <t>Projectile, 155mm Excalibur Increment 1-B</t>
  </si>
  <si>
    <t>DA49</t>
  </si>
  <si>
    <t>Projectile, 155mm Illuminating IR</t>
  </si>
  <si>
    <t>DD01</t>
  </si>
  <si>
    <t>Projectile 155mm, Alternate Warhead Cluster Munition</t>
  </si>
  <si>
    <t>AA30</t>
  </si>
  <si>
    <t>Cartridge, 12 Gauge Launching Cup for Grenade Non-Lethal</t>
  </si>
  <si>
    <t>J143</t>
  </si>
  <si>
    <t>Rocket Motor, 5-inch MK22 Mod 4</t>
  </si>
  <si>
    <t>MN14</t>
  </si>
  <si>
    <t>Firing Device, Dual Mode MK54</t>
  </si>
  <si>
    <t>PN07</t>
  </si>
  <si>
    <t>Gripstock, Stinger-RMP Block I</t>
  </si>
  <si>
    <t>GG04</t>
  </si>
  <si>
    <t>Grenade, Rubber Ball Non-Lethal 9590</t>
  </si>
  <si>
    <t>M913</t>
  </si>
  <si>
    <t>Charge, Demolition High Explosive Linear M58A4</t>
  </si>
  <si>
    <t>ML25</t>
  </si>
  <si>
    <t>Charge, Demolition Linear M59A1</t>
  </si>
  <si>
    <t>MN52</t>
  </si>
  <si>
    <t>Detonator, Percussion, Non-Electric MK154 Mod 0</t>
  </si>
  <si>
    <t>PL41</t>
  </si>
  <si>
    <t>Guided Missile, Intercept Aerial Stinger-Block 1 FIM-92E</t>
  </si>
  <si>
    <t>Capability Set, Weapons Non-Lethal Company-Sized</t>
  </si>
  <si>
    <t>Capability Set, Weapons Non-Lethal Platoon-Sized</t>
  </si>
  <si>
    <t>Shotgun, 12 Gauge Riot</t>
  </si>
  <si>
    <t>Infantry Automatic Rifle M27 (IAR)</t>
  </si>
  <si>
    <t>Carbine 5.56mm, Close Quarters Battle Weapon (MSO)</t>
  </si>
  <si>
    <t>Carbine 5.56mm, Modular Weapon System (for MSO)</t>
  </si>
  <si>
    <t>Rifle, 5.56mm Infantry Enhanced M16A4</t>
  </si>
  <si>
    <t>Rifle, 5.56mm Special Purpose MK12</t>
  </si>
  <si>
    <t>Carbine 5.56mm, Close Quarters Battle Weapon</t>
  </si>
  <si>
    <t>Carbine 5.56mm, Modular Weapon System</t>
  </si>
  <si>
    <t>Rifle, 5.56mm Infantry Enhanced M16A4 (for MSO)</t>
  </si>
  <si>
    <t>Tank Combat, Fully-Tracked 120mm Gun M1A1</t>
  </si>
  <si>
    <t>Tank Combat, Fully-Tracked 120mm Gun M1A1 (w MPHE)</t>
  </si>
  <si>
    <t>Machine Gun, 5.56mm M249 (LMG)</t>
  </si>
  <si>
    <t>EOD Team</t>
  </si>
  <si>
    <t>Assault Amphibious Vehicle Command AAVC7A1</t>
  </si>
  <si>
    <t>Assault Amphibious Vehicle Recovery AAVR7A1</t>
  </si>
  <si>
    <t>LAV Anti-Tank</t>
  </si>
  <si>
    <t>LAV Command and Control</t>
  </si>
  <si>
    <t>LAV 25mm Gun</t>
  </si>
  <si>
    <t>LAV Logistics</t>
  </si>
  <si>
    <t>LAV Mortar</t>
  </si>
  <si>
    <t>LAV Maintenance and Recovery</t>
  </si>
  <si>
    <t>Machine Gun, 7.62mm M240G</t>
  </si>
  <si>
    <t>Advanced MANPAD</t>
  </si>
  <si>
    <t>Pistol, 9mm Semi-Automatic M9</t>
  </si>
  <si>
    <t>Pistol, Caliber .45 M1911A1 MEU(SOC)</t>
  </si>
  <si>
    <t>Assault Breacher Vehicle</t>
  </si>
  <si>
    <t>Machine Gun, Caliber .50 QCB M2A1</t>
  </si>
  <si>
    <t>Assault Amphibious Vehicle Personnel AAVP7A1</t>
  </si>
  <si>
    <t>Machine Gun, Caliber .50 M2</t>
  </si>
  <si>
    <t>Recovery Vehicle, Fully-Tracked, Heavy, w/Equip</t>
  </si>
  <si>
    <t>Rifle, Caliber .50 Sniper M82A1 (SASR)</t>
  </si>
  <si>
    <t>Rifle, 7.62mm Semi-Automatic Sniper System M110</t>
  </si>
  <si>
    <t>Rifle, 7.62mm Sniper M40A1</t>
  </si>
  <si>
    <t>Shotgun, Automatic Combat</t>
  </si>
  <si>
    <t>Assault Breacher Kit</t>
  </si>
  <si>
    <t>Assault Breacher Kit AX14 (for MSO)</t>
  </si>
  <si>
    <t>Launcher, Grenade 40mm M32 Multi-Shot</t>
  </si>
  <si>
    <t>Launcher, Grenade 40mm M79</t>
  </si>
  <si>
    <t>Launcher, Grenade 40mm M203</t>
  </si>
  <si>
    <t>Machine Gun, 40mm MK19 Mod 3</t>
  </si>
  <si>
    <t>Infantry Battalion</t>
  </si>
  <si>
    <t>Mortar, 60mm (LWCMS)</t>
  </si>
  <si>
    <t>Mortar, 81mm Medium M252</t>
  </si>
  <si>
    <t>Engineer Battalion</t>
  </si>
  <si>
    <t>Other (Non-Infantry, Non-Engineer) Battalion</t>
  </si>
  <si>
    <t>Mortar, 120mm Expeditionary Fire Support System</t>
  </si>
  <si>
    <t>Howitzer, Lightweight, Towed, 155mm</t>
  </si>
  <si>
    <t>Demolition Equipment, Squad</t>
  </si>
  <si>
    <t>Marine Items that are Combat only to MSO - 7</t>
  </si>
  <si>
    <t>Armored Combat Excavator (ACE)</t>
  </si>
  <si>
    <t>Armored Vehicle Launched Bridge (AVLB)</t>
  </si>
  <si>
    <t>Launcher, Assault Rocket (SMAW)</t>
  </si>
  <si>
    <t>High Mobility Artillery Rocket System (HIMARS)</t>
  </si>
  <si>
    <t>Engineer Company</t>
  </si>
  <si>
    <t>Line Charge Launcher Kit</t>
  </si>
  <si>
    <t>Mine Clear Launcher</t>
  </si>
  <si>
    <t>Marine Items that are Combat only to MSO - 1</t>
  </si>
  <si>
    <t>Demolition Equipment, Individual</t>
  </si>
  <si>
    <t>Assault Breacher Kit (for MSO)</t>
  </si>
  <si>
    <t>Parachute, Cargo, 100ft Diameter</t>
  </si>
  <si>
    <t>Crypto and Document Destroyers, Large Set</t>
  </si>
  <si>
    <t>Crypto and Document Destroyers, Small Set</t>
  </si>
  <si>
    <t>Marine Items that are Combat only to MSO - 6</t>
  </si>
  <si>
    <t>Marine Items that are Combat only to MSO - 2</t>
  </si>
  <si>
    <t>Marine Items that are Combat only to MSO - 3</t>
  </si>
  <si>
    <t>Marine Items that are Combat only to MSO - 4</t>
  </si>
  <si>
    <t>Marine Items that are Combat only to MSO - 5</t>
  </si>
  <si>
    <t>HIMARS expending ATACMS</t>
  </si>
  <si>
    <t>Command Launch Unit, Javelin</t>
  </si>
  <si>
    <t>Launcher System, Saber M41A4</t>
  </si>
  <si>
    <t>Launcher, Tubular for Guided Missile M220E4 (TOW)</t>
  </si>
  <si>
    <t>TAMCN</t>
  </si>
  <si>
    <t>DAILY ASSAULT</t>
  </si>
  <si>
    <t>DAILY SUSTAIN</t>
  </si>
  <si>
    <t>COMBAT LOAD</t>
  </si>
  <si>
    <t>C4120</t>
  </si>
  <si>
    <t>C4122</t>
  </si>
  <si>
    <t>E1762</t>
  </si>
  <si>
    <t>E0100</t>
  </si>
  <si>
    <t>E019X</t>
  </si>
  <si>
    <t>E019Y</t>
  </si>
  <si>
    <t>E1442</t>
  </si>
  <si>
    <t>E0051</t>
  </si>
  <si>
    <t>E0190</t>
  </si>
  <si>
    <t>E0195</t>
  </si>
  <si>
    <t>E144X</t>
  </si>
  <si>
    <t>E1888</t>
  </si>
  <si>
    <t>E188X</t>
  </si>
  <si>
    <t>E0960</t>
  </si>
  <si>
    <t>EODTM</t>
  </si>
  <si>
    <t>E0796</t>
  </si>
  <si>
    <t>E0856</t>
  </si>
  <si>
    <t>E0942</t>
  </si>
  <si>
    <t>E0946</t>
  </si>
  <si>
    <t>E0947</t>
  </si>
  <si>
    <t>E0948</t>
  </si>
  <si>
    <t>E0949</t>
  </si>
  <si>
    <t>E0950</t>
  </si>
  <si>
    <t>E0989</t>
  </si>
  <si>
    <t>E1839</t>
  </si>
  <si>
    <t>E1250</t>
  </si>
  <si>
    <t>E1251</t>
  </si>
  <si>
    <t>B0160</t>
  </si>
  <si>
    <t>E0123</t>
  </si>
  <si>
    <t>E0846</t>
  </si>
  <si>
    <t>E0980</t>
  </si>
  <si>
    <t>E1378</t>
  </si>
  <si>
    <t>E1475</t>
  </si>
  <si>
    <t>E0103</t>
  </si>
  <si>
    <t>E1460</t>
  </si>
  <si>
    <t>E1761</t>
  </si>
  <si>
    <t>C4144</t>
  </si>
  <si>
    <t>C414Y</t>
  </si>
  <si>
    <t>E0025</t>
  </si>
  <si>
    <t>E0890</t>
  </si>
  <si>
    <t>E0892</t>
  </si>
  <si>
    <t>E0994</t>
  </si>
  <si>
    <t>INFBN</t>
  </si>
  <si>
    <t>E1065</t>
  </si>
  <si>
    <t>E1095</t>
  </si>
  <si>
    <t>ENGBN</t>
  </si>
  <si>
    <t>NIEBN</t>
  </si>
  <si>
    <t>E1070</t>
  </si>
  <si>
    <t>E0671</t>
  </si>
  <si>
    <t>B0471</t>
  </si>
  <si>
    <t>MSSI7</t>
  </si>
  <si>
    <t>B0589</t>
  </si>
  <si>
    <t>E0150</t>
  </si>
  <si>
    <t>E0915</t>
  </si>
  <si>
    <t>E1500</t>
  </si>
  <si>
    <t>ENGCO</t>
  </si>
  <si>
    <t>B1298</t>
  </si>
  <si>
    <t>B1315</t>
  </si>
  <si>
    <t>MSSI1</t>
  </si>
  <si>
    <t>B0472</t>
  </si>
  <si>
    <t>C414X</t>
  </si>
  <si>
    <t>C5540</t>
  </si>
  <si>
    <t>DEST1</t>
  </si>
  <si>
    <t>DEST2</t>
  </si>
  <si>
    <t>MSSI6</t>
  </si>
  <si>
    <t>MSSI2</t>
  </si>
  <si>
    <t>MSSI3</t>
  </si>
  <si>
    <t>MSSI4</t>
  </si>
  <si>
    <t>MSSI5</t>
  </si>
  <si>
    <t>E150X</t>
  </si>
  <si>
    <t>E0207</t>
  </si>
  <si>
    <t>E0055</t>
  </si>
  <si>
    <t>E0935</t>
  </si>
  <si>
    <t>AMMUNITION</t>
  </si>
  <si>
    <t>WEAPON</t>
  </si>
  <si>
    <t>GCE RATES</t>
  </si>
  <si>
    <t>NON-GCE RATES</t>
  </si>
  <si>
    <t>A011</t>
  </si>
  <si>
    <t>Cartridge, 12 Gauge #00 Buckshot M162</t>
  </si>
  <si>
    <t>A059</t>
  </si>
  <si>
    <t>Cartridge, 5.56mm Ball M855 10/Clip</t>
  </si>
  <si>
    <t>A063</t>
  </si>
  <si>
    <t>Cartridge, 5.56mm Tracer M856 Single Round</t>
  </si>
  <si>
    <t>A064</t>
  </si>
  <si>
    <t>Cartridge, 5.56mm 4 Ball M855/1 Tracer M856 Linked</t>
  </si>
  <si>
    <t>A091</t>
  </si>
  <si>
    <t>Cartridge, Caliber .22 Ball Long Rifle Match (Rifle)</t>
  </si>
  <si>
    <t>A131</t>
  </si>
  <si>
    <t>Cartridge, 7.62mm 4 Ball M80/1 Tracer M62 Linked</t>
  </si>
  <si>
    <t>A363</t>
  </si>
  <si>
    <t>Cartridge, 9mm Ball M882</t>
  </si>
  <si>
    <t>A475</t>
  </si>
  <si>
    <t>Cartridge, Caliber .45 Ball M1911</t>
  </si>
  <si>
    <t>A518</t>
  </si>
  <si>
    <t>Cartridge, Caliber .50 4 SLAP M903/1 SLAP-T M962 Linked</t>
  </si>
  <si>
    <t>A576</t>
  </si>
  <si>
    <t>Cartridge, Caliber .50 4 API M8/1 API-T M20 Linked</t>
  </si>
  <si>
    <t>A606</t>
  </si>
  <si>
    <t>Cartridge, Caliber .50 API MK211 Mod 0 Single Round</t>
  </si>
  <si>
    <t>A974</t>
  </si>
  <si>
    <t>Cartridge, 25mm APDS-T M791 Linked</t>
  </si>
  <si>
    <t>A975</t>
  </si>
  <si>
    <t>Cartridge, 25mm HEI-T M792 Linked</t>
  </si>
  <si>
    <t>A986</t>
  </si>
  <si>
    <t>Cartridge, 25mm APFSDS M919 (DU) Linked</t>
  </si>
  <si>
    <t>AA03</t>
  </si>
  <si>
    <t>Cartridge, 7.62mm AP M993 Single Round</t>
  </si>
  <si>
    <t>AA04</t>
  </si>
  <si>
    <t>Cartridge, 7.62mm 4 AP M993/1 Tracer M62 Linked</t>
  </si>
  <si>
    <t>AA11</t>
  </si>
  <si>
    <t>Cartridge, 7.62mm Long Range M118 LR</t>
  </si>
  <si>
    <t>AA51</t>
  </si>
  <si>
    <t>Cartridge, 12 Gauge Point Control M1012 Non-Lethal</t>
  </si>
  <si>
    <t>AA53</t>
  </si>
  <si>
    <t>Cartridge, 5.56mm Ball Special Match LR MK 262 Mod 0</t>
  </si>
  <si>
    <t>AA54</t>
  </si>
  <si>
    <t>Cartridge, 12 Gauge, Breaching, M1030</t>
  </si>
  <si>
    <t>AA60</t>
  </si>
  <si>
    <t>Cartridge, 12 Gauge #00 Buckshot</t>
  </si>
  <si>
    <t>AA62</t>
  </si>
  <si>
    <t>Cartridge, 12 Gauge Ultra Velocity Slug MK274 Mod 0</t>
  </si>
  <si>
    <t>AA63</t>
  </si>
  <si>
    <t>Cartridge, 12 Gauge Avon MK275 Mod 0</t>
  </si>
  <si>
    <t>AA64</t>
  </si>
  <si>
    <t>Cartridge, 12 Gauge Low Velocity Blank MK276 Mod 0</t>
  </si>
  <si>
    <t>AA66</t>
  </si>
  <si>
    <t>Cartridge, 12 Gauge Com. Black Powder Blank MK278 Mod 0</t>
  </si>
  <si>
    <t>AX14</t>
  </si>
  <si>
    <t>Primer, Percussion 12 Gauge W209</t>
  </si>
  <si>
    <t>B504</t>
  </si>
  <si>
    <t>Cartridge, 40mm Green Star Parachute M661</t>
  </si>
  <si>
    <t>B505</t>
  </si>
  <si>
    <t>Cartridge, 40mm Red Star Parachute M662</t>
  </si>
  <si>
    <t>B506</t>
  </si>
  <si>
    <t>Cartridge, 40mm Red Smoke Ground Marker M713</t>
  </si>
  <si>
    <t>B508</t>
  </si>
  <si>
    <t>Cartridge, 40mm Green Smoke Ground Marker M715</t>
  </si>
  <si>
    <t>B509</t>
  </si>
  <si>
    <t>Cartridge, 40mm Yellow Smoke Ground Marker M716</t>
  </si>
  <si>
    <t>B535</t>
  </si>
  <si>
    <t>Cartridge, 40mm White Star Parachute M583/M583A1</t>
  </si>
  <si>
    <t>B542</t>
  </si>
  <si>
    <t>Cartridge, 40mm HEDP M430/M430A1 Linked</t>
  </si>
  <si>
    <t>B546</t>
  </si>
  <si>
    <t>Cartridge, 40mm HEDP M433</t>
  </si>
  <si>
    <t>B567</t>
  </si>
  <si>
    <t>Cartridge, 40mm Chemical Agent CS M651</t>
  </si>
  <si>
    <t>B643</t>
  </si>
  <si>
    <t>Cartridge, 60mm High Explosive M888</t>
  </si>
  <si>
    <t>B647</t>
  </si>
  <si>
    <t>Cartridge, 60mm Illuminating M721</t>
  </si>
  <si>
    <t>BA06</t>
  </si>
  <si>
    <t>Cartridge, 40mm Foam Rubber M1006 Non-Lethal</t>
  </si>
  <si>
    <t>BA14</t>
  </si>
  <si>
    <t>Cartridge, 60mm Smoke White Phosphorus M722A1</t>
  </si>
  <si>
    <t>BA16</t>
  </si>
  <si>
    <t>Cartridge, 60mm HE M720A1 w/Multi-Option Fuze M734A1</t>
  </si>
  <si>
    <t>C484</t>
  </si>
  <si>
    <t>Cartridge, 81mm Illuminating IR M816</t>
  </si>
  <si>
    <t>C791</t>
  </si>
  <si>
    <t>Cartridge, 120mm HEAT-MP-T (AA) M830A1</t>
  </si>
  <si>
    <t>C868</t>
  </si>
  <si>
    <t>Cartridge, 81mm HE M821/M821A1 with Multi-Option Fuze</t>
  </si>
  <si>
    <t>C869</t>
  </si>
  <si>
    <t>Cartridge, 81mm HE M889/M889A1 with PD Fuze M935</t>
  </si>
  <si>
    <t>C870</t>
  </si>
  <si>
    <t>Cartridge, 81mm Smoke Red Phosphorus M819 MTSQ Fuze</t>
  </si>
  <si>
    <t>C871</t>
  </si>
  <si>
    <t>Cartridge, 81mm Illuminating M853A1 with MTSQ Fuze M772</t>
  </si>
  <si>
    <t>C995</t>
  </si>
  <si>
    <t>Cartridge and Launcher, 84mm M136 AT-4</t>
  </si>
  <si>
    <t>CA26</t>
  </si>
  <si>
    <t>Cartridge, 120mm APFSDS-T M829A3</t>
  </si>
  <si>
    <t>CA38</t>
  </si>
  <si>
    <t>Cartridge, 120mm Canister XM1028</t>
  </si>
  <si>
    <t>CA45</t>
  </si>
  <si>
    <t>Projectile, 120mm Mortar HE M1101</t>
  </si>
  <si>
    <t>CA46</t>
  </si>
  <si>
    <t>Projectile, 120mm Mortar Illuminating M1105</t>
  </si>
  <si>
    <t>CA57</t>
  </si>
  <si>
    <t>Cartridge, 120mm Tank MPHE</t>
  </si>
  <si>
    <t>CPRM</t>
  </si>
  <si>
    <t>Projectile, 120mm Mortar PERM</t>
  </si>
  <si>
    <t>DWDN</t>
  </si>
  <si>
    <t>Lightweight Disposable Disruptor</t>
  </si>
  <si>
    <t>DWEC</t>
  </si>
  <si>
    <t>Cartridge, 12 Gauge Enhanced Blank MK277 Mod 0</t>
  </si>
  <si>
    <t>DWED</t>
  </si>
  <si>
    <t>Cartridge, 12 Gauge Custom Steel Slug MK279 Mod 0</t>
  </si>
  <si>
    <t>DWEE</t>
  </si>
  <si>
    <t>Cartridge, 12 Gauge Aluminum Slug MK280 Mod 0</t>
  </si>
  <si>
    <t>G881</t>
  </si>
  <si>
    <t>Grenade, Hand Fragmentation M67 w/ Conf Clip</t>
  </si>
  <si>
    <t>G900</t>
  </si>
  <si>
    <t>Grenade, Hand Incendiary Thermite AN-M14</t>
  </si>
  <si>
    <t>G924</t>
  </si>
  <si>
    <t>Grenade, Hand Riot Control CS-1 M25A2</t>
  </si>
  <si>
    <t>G940</t>
  </si>
  <si>
    <t>Grenade, Hand Green Smoke M18</t>
  </si>
  <si>
    <t>G945</t>
  </si>
  <si>
    <t>Grenade, Hand Yellow Smoke M18</t>
  </si>
  <si>
    <t>G950</t>
  </si>
  <si>
    <t>Grenade, Hand Red Smoke M18</t>
  </si>
  <si>
    <t>G955</t>
  </si>
  <si>
    <t>Grenade, Hand Violet Smoke M18</t>
  </si>
  <si>
    <t>G963</t>
  </si>
  <si>
    <t>Grenade, Hand Riot CS M7A3</t>
  </si>
  <si>
    <t>G982</t>
  </si>
  <si>
    <t>Grenade, Hand Practice Smoke TA M83</t>
  </si>
  <si>
    <t>GG20</t>
  </si>
  <si>
    <t>Grenade, Hand Stun</t>
  </si>
  <si>
    <t>GG24</t>
  </si>
  <si>
    <t>Grenade, Launcher Smoke Infrared Screening</t>
  </si>
  <si>
    <t>HA29</t>
  </si>
  <si>
    <t>Rocket, 66mm HE M72A7 LAW with Graze</t>
  </si>
  <si>
    <t>HA34</t>
  </si>
  <si>
    <t>Rocket, 83mm Thermobaric (SMAW)</t>
  </si>
  <si>
    <t>HA51</t>
  </si>
  <si>
    <t>HX05</t>
  </si>
  <si>
    <t>Rocket, 83mm Assault MK3 Mod 0 (SMAW)</t>
  </si>
  <si>
    <t>HX06</t>
  </si>
  <si>
    <t>Rocket, 83mm HEAA MK6 Mod 0 (SMAW)</t>
  </si>
  <si>
    <t>J007</t>
  </si>
  <si>
    <t>Mine, Antipersonnel M18A1 with Non-Elec Mini Shock Tube</t>
  </si>
  <si>
    <t>KM03</t>
  </si>
  <si>
    <t>Smoke Pot, Floating</t>
  </si>
  <si>
    <t>L283</t>
  </si>
  <si>
    <t>Signal, Smoke and Illumination Marine MK124 Mod 0</t>
  </si>
  <si>
    <t>L305</t>
  </si>
  <si>
    <t>Signal, Illumination Ground Green Star Parachute M195</t>
  </si>
  <si>
    <t>L306</t>
  </si>
  <si>
    <t>Signal, Illumination Ground Red Star Cluster M158</t>
  </si>
  <si>
    <t>L307</t>
  </si>
  <si>
    <t>Signal, Illumination Ground White Star Cluster M159</t>
  </si>
  <si>
    <t>L311</t>
  </si>
  <si>
    <t>Signal, Illumination Ground Red Star Parachute M126A1</t>
  </si>
  <si>
    <t>L312</t>
  </si>
  <si>
    <t>Signal, Illumination Ground White Star Parachute M127A1</t>
  </si>
  <si>
    <t>L314</t>
  </si>
  <si>
    <t>Signal, Illumination Ground Green Star Cluster M125A1</t>
  </si>
  <si>
    <t>L495</t>
  </si>
  <si>
    <t>Flare, Surface Trip M49/A1 Series</t>
  </si>
  <si>
    <t>M028</t>
  </si>
  <si>
    <t>Demolition Kit, Bangalore Torpedo M1A2</t>
  </si>
  <si>
    <t>M032</t>
  </si>
  <si>
    <t>Charge, Demolition Block TNT 1-Pound</t>
  </si>
  <si>
    <t>M039</t>
  </si>
  <si>
    <t>Charge, Demolition Cratering 40-Pound</t>
  </si>
  <si>
    <t>M130</t>
  </si>
  <si>
    <t>Cap, Blasting Electric M6</t>
  </si>
  <si>
    <t>M131</t>
  </si>
  <si>
    <t>Cap, Blasting Non-Electric M7</t>
  </si>
  <si>
    <t>M174</t>
  </si>
  <si>
    <t>Cartridge, Caliber .50 Impulse Electrically-Initiated</t>
  </si>
  <si>
    <t>M420</t>
  </si>
  <si>
    <t>Charge, Demolition Shaped M2 Series 15-Pound</t>
  </si>
  <si>
    <t>M421</t>
  </si>
  <si>
    <t>Charge, Demolition Shaped M3 Series 40-Pound</t>
  </si>
  <si>
    <t>M456</t>
  </si>
  <si>
    <t>Cord, Detonating PETN Type I Class E</t>
  </si>
  <si>
    <t>M500</t>
  </si>
  <si>
    <t>Cutter, Cartridge Actuated M21 for Reefing Line</t>
  </si>
  <si>
    <t>M591</t>
  </si>
  <si>
    <t>Dynamite, Military M1</t>
  </si>
  <si>
    <t>M670</t>
  </si>
  <si>
    <t>Fuse, Blasting Time M700</t>
  </si>
  <si>
    <t>M757</t>
  </si>
  <si>
    <t>Charge, Assembly Demolition M183 Comp C-4</t>
  </si>
  <si>
    <t>M814</t>
  </si>
  <si>
    <t>Destroyer, Document M4 Incendiary</t>
  </si>
  <si>
    <t>M980</t>
  </si>
  <si>
    <t>Charge, Demolition Sheet 0.0831 Inch Thick</t>
  </si>
  <si>
    <t>M981</t>
  </si>
  <si>
    <t>Charge, Demolition Sheet 0.125 Inch Thick</t>
  </si>
  <si>
    <t>M982</t>
  </si>
  <si>
    <t>Charge, Demolition Sheet 0.166 Inch Thick</t>
  </si>
  <si>
    <t>ML03</t>
  </si>
  <si>
    <t>Firing Device, Demolition Multi-Purpose M142</t>
  </si>
  <si>
    <t>ML04</t>
  </si>
  <si>
    <t>Cutter, High Explosive MK23 Mod 0</t>
  </si>
  <si>
    <t>ML05</t>
  </si>
  <si>
    <t>Cutter, High Explosive MK24 Mod 0</t>
  </si>
  <si>
    <t>MM24</t>
  </si>
  <si>
    <t>Charge, Demolition Flexible Linear Shaped Mk142-0</t>
  </si>
  <si>
    <t>MM30</t>
  </si>
  <si>
    <t>Charge, Flexible 20 Gram PETN MK140 Mod 0</t>
  </si>
  <si>
    <t>MM42</t>
  </si>
  <si>
    <t>Charge, Demolition Flexible Linear Shaped 40 Grains per ft</t>
  </si>
  <si>
    <t>MM44</t>
  </si>
  <si>
    <t>Charge, Demolition Flexible Linear Shaped 75 Grains per ft</t>
  </si>
  <si>
    <t>MM45</t>
  </si>
  <si>
    <t>Charge, Demolition Flexible Linear Shaped 125 Grains/Foot</t>
  </si>
  <si>
    <t>MM46</t>
  </si>
  <si>
    <t>Charge, Demolition Flexible Linear Shaped 225 Grains/Foot</t>
  </si>
  <si>
    <t>MM47</t>
  </si>
  <si>
    <t>Charge, Demolition Flexible Linear Shaped 400 Grains/Foot</t>
  </si>
  <si>
    <t>MM48</t>
  </si>
  <si>
    <t>Charge, Demolition Flexible Linear Shaped 600 Grains/Foot</t>
  </si>
  <si>
    <t>MM51</t>
  </si>
  <si>
    <t>Charge, Demolition Low Hazard MK143 Mod 0 600 Grains/ft</t>
  </si>
  <si>
    <t>MM52</t>
  </si>
  <si>
    <t>Charge, Demolition Low Hazard MK144 Mod 0 1200 Grains/ft</t>
  </si>
  <si>
    <t>MM53</t>
  </si>
  <si>
    <t>Charge, Demolition Low Hazard MK145 Mod 0 2400 Grains/ft</t>
  </si>
  <si>
    <t>MM54</t>
  </si>
  <si>
    <t>Charge, Demolition Low Hazard MK149 Mod 0 5400 Grains/ft</t>
  </si>
  <si>
    <t>MN08</t>
  </si>
  <si>
    <t>Igniter, Time Blasting Fuse with Shock Tube Capability M81</t>
  </si>
  <si>
    <t>MN69</t>
  </si>
  <si>
    <t>Booster, Demolition Charge, M152</t>
  </si>
  <si>
    <t>MN79</t>
  </si>
  <si>
    <t>Mine, Antipersonnel Obstacle Breaching System MK7 Mod 1</t>
  </si>
  <si>
    <t>MN88</t>
  </si>
  <si>
    <t>Cap, Blasting, Non-Electric, M21 w/ 500 ft. Minitube</t>
  </si>
  <si>
    <t>MN90</t>
  </si>
  <si>
    <t>Cap, Blasting, Non-Electric, M23 w/ 1000 ft. Minitube</t>
  </si>
  <si>
    <t>MPMN</t>
  </si>
  <si>
    <t>Grenade, Non-Lethal Airburst Pyrotechnic</t>
  </si>
  <si>
    <t>MX14</t>
  </si>
  <si>
    <t>Container Set, Cavity Charge MK 534 Mod 0</t>
  </si>
  <si>
    <t>PM75</t>
  </si>
  <si>
    <t>Guided Missile, ATACMS M57 T2K Unitary</t>
  </si>
  <si>
    <t>PM93</t>
  </si>
  <si>
    <t>Guided Missile, Surface Attack (Javelin Missile Upgrade)</t>
  </si>
  <si>
    <t>PV47</t>
  </si>
  <si>
    <t>Guided Missile, Surface Attack BGM-71E-3B (TOW-2A)</t>
  </si>
  <si>
    <t>WH51</t>
  </si>
  <si>
    <t>Guided Missile, BGM-71H-1 (TOW Bunker Buster)</t>
  </si>
  <si>
    <t>WH53</t>
  </si>
  <si>
    <t>Guided Missile, Surface Attack BGM-71F-1 (TOW-2B)</t>
  </si>
  <si>
    <t>COMBAT PLANNING FACTORS TABLE</t>
  </si>
  <si>
    <t>TAMCN SEQUENCE</t>
  </si>
  <si>
    <t>Rocket, 298mm Tactical Unitary M31A1 (GMLRS)</t>
  </si>
  <si>
    <t>HB11</t>
  </si>
  <si>
    <t>Rocket, 298mm Alternative Warhead M30E1 (GMLRS)</t>
  </si>
  <si>
    <t>Units per pack</t>
  </si>
  <si>
    <t>Unit price</t>
  </si>
  <si>
    <t>Pack length</t>
  </si>
  <si>
    <t>Pack width</t>
  </si>
  <si>
    <t>Pack height</t>
  </si>
  <si>
    <t>Pack weight</t>
  </si>
  <si>
    <t>Weight per unit</t>
  </si>
  <si>
    <t>COMP GRP</t>
  </si>
  <si>
    <t>UN #</t>
  </si>
  <si>
    <t>NEW</t>
  </si>
  <si>
    <t>Transportation LIFT Capabilities By Type</t>
  </si>
  <si>
    <t>Pallet Data</t>
  </si>
  <si>
    <t>Length</t>
  </si>
  <si>
    <t>Width</t>
  </si>
  <si>
    <t>Height</t>
  </si>
  <si>
    <t>Weight</t>
  </si>
  <si>
    <t>Containers Per Pallet</t>
  </si>
  <si>
    <t>Total DOA's</t>
  </si>
  <si>
    <t># BOXES</t>
  </si>
  <si>
    <t>WEIGHT</t>
  </si>
  <si>
    <t>1.4S</t>
  </si>
  <si>
    <t>0012</t>
  </si>
  <si>
    <t>A014</t>
  </si>
  <si>
    <t>A023</t>
  </si>
  <si>
    <t>LVS Standard Pallets Per</t>
  </si>
  <si>
    <t>A024</t>
  </si>
  <si>
    <t>Tractor Trailor Standard Pallets Per</t>
  </si>
  <si>
    <t>CH-53 External Load Standard Pallet Per</t>
  </si>
  <si>
    <t>8x8x20 ISO Container Pallets Per</t>
  </si>
  <si>
    <t>463L Standard Pallets Per</t>
  </si>
  <si>
    <t>A260</t>
  </si>
  <si>
    <t>1.4C</t>
  </si>
  <si>
    <t>0339</t>
  </si>
  <si>
    <t>0300</t>
  </si>
  <si>
    <t>TOTAL WT</t>
  </si>
  <si>
    <t>TOTAL NEW</t>
  </si>
  <si>
    <t>1.4G</t>
  </si>
  <si>
    <t>1.2E(02)</t>
  </si>
  <si>
    <t>0321</t>
  </si>
  <si>
    <t>TOTL SHT TONS</t>
  </si>
  <si>
    <t>TOTAL PALLETS</t>
  </si>
  <si>
    <t>AA29</t>
  </si>
  <si>
    <t>0014</t>
  </si>
  <si>
    <t>AA31</t>
  </si>
  <si>
    <t>0044</t>
  </si>
  <si>
    <t>0312</t>
  </si>
  <si>
    <t>0197</t>
  </si>
  <si>
    <t>1.1E</t>
  </si>
  <si>
    <t>0006</t>
  </si>
  <si>
    <t>0301</t>
  </si>
  <si>
    <t>B642</t>
  </si>
  <si>
    <t>B646</t>
  </si>
  <si>
    <t>1.3H</t>
  </si>
  <si>
    <t>0246</t>
  </si>
  <si>
    <t>1.2G(02)</t>
  </si>
  <si>
    <t>0171</t>
  </si>
  <si>
    <t>BA07</t>
  </si>
  <si>
    <t>BA08</t>
  </si>
  <si>
    <t>BA09</t>
  </si>
  <si>
    <t>C380</t>
  </si>
  <si>
    <t>1.2C(01)</t>
  </si>
  <si>
    <t>0328</t>
  </si>
  <si>
    <t>BLANK</t>
  </si>
  <si>
    <t>0000</t>
  </si>
  <si>
    <t>1.2E(01)</t>
  </si>
  <si>
    <t>1.3G</t>
  </si>
  <si>
    <t>0016</t>
  </si>
  <si>
    <t>0254</t>
  </si>
  <si>
    <t>0181</t>
  </si>
  <si>
    <t>1.1D</t>
  </si>
  <si>
    <t>0060</t>
  </si>
  <si>
    <t>1.2D(01)</t>
  </si>
  <si>
    <t>0169</t>
  </si>
  <si>
    <t>D510</t>
  </si>
  <si>
    <t>0168</t>
  </si>
  <si>
    <t>1.3C</t>
  </si>
  <si>
    <t>0242</t>
  </si>
  <si>
    <t>1.2H(02)</t>
  </si>
  <si>
    <t>0245</t>
  </si>
  <si>
    <t>D563</t>
  </si>
  <si>
    <t>D864</t>
  </si>
  <si>
    <t>DWBS</t>
  </si>
  <si>
    <t>0429</t>
  </si>
  <si>
    <t>G826</t>
  </si>
  <si>
    <t>0434</t>
  </si>
  <si>
    <t>G874</t>
  </si>
  <si>
    <t>0317</t>
  </si>
  <si>
    <t>1.1F</t>
  </si>
  <si>
    <t>0292</t>
  </si>
  <si>
    <t>0010</t>
  </si>
  <si>
    <t>0303</t>
  </si>
  <si>
    <t>0297</t>
  </si>
  <si>
    <t>GG05</t>
  </si>
  <si>
    <t>INERT</t>
  </si>
  <si>
    <t>0186</t>
  </si>
  <si>
    <t>K092</t>
  </si>
  <si>
    <t>1.2D(02)</t>
  </si>
  <si>
    <t>0138</t>
  </si>
  <si>
    <t>K143</t>
  </si>
  <si>
    <t>0137</t>
  </si>
  <si>
    <t>K180</t>
  </si>
  <si>
    <t>K181</t>
  </si>
  <si>
    <t>K250</t>
  </si>
  <si>
    <t>K867</t>
  </si>
  <si>
    <t>0431</t>
  </si>
  <si>
    <t>0191</t>
  </si>
  <si>
    <t>L302</t>
  </si>
  <si>
    <t>0054</t>
  </si>
  <si>
    <t>L304</t>
  </si>
  <si>
    <t>0195</t>
  </si>
  <si>
    <t>L323</t>
  </si>
  <si>
    <t>L324</t>
  </si>
  <si>
    <t>L328</t>
  </si>
  <si>
    <t>0092</t>
  </si>
  <si>
    <t>LX11</t>
  </si>
  <si>
    <t>0</t>
  </si>
  <si>
    <t>M023</t>
  </si>
  <si>
    <t>0048</t>
  </si>
  <si>
    <t>0034</t>
  </si>
  <si>
    <t>M030</t>
  </si>
  <si>
    <t>1.1B</t>
  </si>
  <si>
    <t>0030</t>
  </si>
  <si>
    <t>0029</t>
  </si>
  <si>
    <t>0276</t>
  </si>
  <si>
    <t>0065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</si>
  <si>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</si>
  <si>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</si>
  <si>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</si>
  <si>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</si>
  <si>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</si>
  <si>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</si>
  <si>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</si>
  <si>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</si>
  <si>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</si>
  <si>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</si>
  <si>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</si>
  <si>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M487</t>
  </si>
  <si>
    <t>0082</t>
  </si>
  <si>
    <t>M598</t>
  </si>
  <si>
    <t>0105</t>
  </si>
  <si>
    <t>MM41</t>
  </si>
  <si>
    <t>0288</t>
  </si>
  <si>
    <t>MM43</t>
  </si>
  <si>
    <t>MM56</t>
  </si>
  <si>
    <t>0455</t>
  </si>
  <si>
    <t>0131</t>
  </si>
  <si>
    <t>MU40</t>
  </si>
  <si>
    <t>MU41</t>
  </si>
  <si>
    <t>MU42</t>
  </si>
  <si>
    <t>MU43</t>
  </si>
  <si>
    <t>N289</t>
  </si>
  <si>
    <t>0367</t>
  </si>
  <si>
    <t>N290</t>
  </si>
  <si>
    <t>0409</t>
  </si>
  <si>
    <t>N291</t>
  </si>
  <si>
    <t>0376</t>
  </si>
  <si>
    <t>PC07</t>
  </si>
  <si>
    <t>1.1E(09)</t>
  </si>
  <si>
    <t>0182</t>
  </si>
  <si>
    <t>PL87</t>
  </si>
  <si>
    <t>PM80</t>
  </si>
  <si>
    <t>PN16</t>
  </si>
  <si>
    <t>PRED</t>
  </si>
  <si>
    <t>PV18</t>
  </si>
  <si>
    <t>A136</t>
  </si>
  <si>
    <t>D514</t>
  </si>
  <si>
    <t>D515</t>
  </si>
  <si>
    <t>D544</t>
  </si>
  <si>
    <t>D529</t>
  </si>
  <si>
    <t>G930</t>
  </si>
  <si>
    <t>PL53</t>
  </si>
  <si>
    <t>PL34</t>
  </si>
  <si>
    <t>A0254</t>
  </si>
  <si>
    <t>COC V3</t>
  </si>
  <si>
    <t>A0255</t>
  </si>
  <si>
    <t>COC V4</t>
  </si>
  <si>
    <t>B0018</t>
  </si>
  <si>
    <t>GEN/AC Trailer</t>
  </si>
  <si>
    <t>B0035</t>
  </si>
  <si>
    <t>MRAP CAT III</t>
  </si>
  <si>
    <t>B0040</t>
  </si>
  <si>
    <t>Tractor with bucket</t>
  </si>
  <si>
    <t>B0060</t>
  </si>
  <si>
    <t>Medium Crawler Tractor</t>
  </si>
  <si>
    <t>B0063</t>
  </si>
  <si>
    <t>TRAM</t>
  </si>
  <si>
    <t>B0093</t>
  </si>
  <si>
    <t>HUSKY</t>
  </si>
  <si>
    <t>ABV</t>
  </si>
  <si>
    <t>M9 ACE</t>
  </si>
  <si>
    <t>B0640</t>
  </si>
  <si>
    <t>Floodlight Set</t>
  </si>
  <si>
    <t>B0730</t>
  </si>
  <si>
    <t>3KW Generator</t>
  </si>
  <si>
    <t>B0891</t>
  </si>
  <si>
    <t>10KW Generator</t>
  </si>
  <si>
    <t>B0953</t>
  </si>
  <si>
    <t>30KW Generator</t>
  </si>
  <si>
    <t>B0980</t>
  </si>
  <si>
    <t>LTWT Generator</t>
  </si>
  <si>
    <t>B1021</t>
  </si>
  <si>
    <t>60KW Generator</t>
  </si>
  <si>
    <t>B1045</t>
  </si>
  <si>
    <t>100KW Generator</t>
  </si>
  <si>
    <t>Mk155 (MCLIC)</t>
  </si>
  <si>
    <t>B2085</t>
  </si>
  <si>
    <t>Fuel Sixcon</t>
  </si>
  <si>
    <t>B2086</t>
  </si>
  <si>
    <t>Water Sixcon</t>
  </si>
  <si>
    <t>B2130</t>
  </si>
  <si>
    <t>3K Water Bag</t>
  </si>
  <si>
    <t>B2483</t>
  </si>
  <si>
    <t>Tractor, Backhoe</t>
  </si>
  <si>
    <t>B2561</t>
  </si>
  <si>
    <t>Forklift</t>
  </si>
  <si>
    <t>B2566</t>
  </si>
  <si>
    <t>D0003</t>
  </si>
  <si>
    <t>MTVR</t>
  </si>
  <si>
    <t>D0004</t>
  </si>
  <si>
    <t>D0007</t>
  </si>
  <si>
    <t>MTVR (Dump Truck)</t>
  </si>
  <si>
    <t>D0011</t>
  </si>
  <si>
    <t>MTVR (Troop)</t>
  </si>
  <si>
    <t>D0015</t>
  </si>
  <si>
    <t>MTVR Wrecker</t>
  </si>
  <si>
    <t>D0022</t>
  </si>
  <si>
    <t>HMMWV</t>
  </si>
  <si>
    <t>D0025</t>
  </si>
  <si>
    <t>MRAP CAT I</t>
  </si>
  <si>
    <t>D0027</t>
  </si>
  <si>
    <t>MRAP CAT II</t>
  </si>
  <si>
    <t>D0030</t>
  </si>
  <si>
    <t>D0032</t>
  </si>
  <si>
    <t>TOW HMMWV</t>
  </si>
  <si>
    <t>D0033</t>
  </si>
  <si>
    <t>D0034</t>
  </si>
  <si>
    <t>D0187</t>
  </si>
  <si>
    <t>D0198</t>
  </si>
  <si>
    <t>D0201</t>
  </si>
  <si>
    <t>Motorcycle</t>
  </si>
  <si>
    <t>D0209</t>
  </si>
  <si>
    <t>Semi Truck</t>
  </si>
  <si>
    <t>D0211</t>
  </si>
  <si>
    <t>Flatrack Refueler</t>
  </si>
  <si>
    <t>D0880</t>
  </si>
  <si>
    <t>Water Bull 400 gallon</t>
  </si>
  <si>
    <t>D0882</t>
  </si>
  <si>
    <t>Water Bull 600 gallon</t>
  </si>
  <si>
    <t>D0886</t>
  </si>
  <si>
    <t>LVSR</t>
  </si>
  <si>
    <t>D1001</t>
  </si>
  <si>
    <t>Ambulance (4 litter)</t>
  </si>
  <si>
    <t>D1002</t>
  </si>
  <si>
    <t>Ambulance (2 litter)</t>
  </si>
  <si>
    <t>D1062</t>
  </si>
  <si>
    <t xml:space="preserve">MTVR </t>
  </si>
  <si>
    <t>D1063</t>
  </si>
  <si>
    <t>HIMARS Resupply Vic</t>
  </si>
  <si>
    <t>D1125</t>
  </si>
  <si>
    <t>D1158</t>
  </si>
  <si>
    <t>D1161</t>
  </si>
  <si>
    <t>ITV-LSV</t>
  </si>
  <si>
    <t>D1162</t>
  </si>
  <si>
    <t>ITV-PM</t>
  </si>
  <si>
    <t>D1214</t>
  </si>
  <si>
    <t>LVSR Wrecker</t>
  </si>
  <si>
    <t>MSGL</t>
  </si>
  <si>
    <t>E0043</t>
  </si>
  <si>
    <t>HIMAR Support HMMWV</t>
  </si>
  <si>
    <t>MK12</t>
  </si>
  <si>
    <t>SABER</t>
  </si>
  <si>
    <t>M27</t>
  </si>
  <si>
    <t>M110</t>
  </si>
  <si>
    <t>AVLB</t>
  </si>
  <si>
    <t>M4</t>
  </si>
  <si>
    <t>Javelin</t>
  </si>
  <si>
    <t>M777</t>
  </si>
  <si>
    <t>AAV-C2</t>
  </si>
  <si>
    <t>AAV-P</t>
  </si>
  <si>
    <t>AAV-R</t>
  </si>
  <si>
    <t>M203</t>
  </si>
  <si>
    <t>SMAW</t>
  </si>
  <si>
    <t>TOW Launcher</t>
  </si>
  <si>
    <t>LAV-AT</t>
  </si>
  <si>
    <t>LAV-C2</t>
  </si>
  <si>
    <t>LAV-25</t>
  </si>
  <si>
    <t>LAV-L</t>
  </si>
  <si>
    <t>LAV-M</t>
  </si>
  <si>
    <t>LAV-R</t>
  </si>
  <si>
    <t>M249</t>
  </si>
  <si>
    <t>M2</t>
  </si>
  <si>
    <t>E0984</t>
  </si>
  <si>
    <t>M240</t>
  </si>
  <si>
    <t>MK19</t>
  </si>
  <si>
    <t>E0997</t>
  </si>
  <si>
    <t>E0998</t>
  </si>
  <si>
    <t>E0999</t>
  </si>
  <si>
    <t>60mm mortar</t>
  </si>
  <si>
    <t>81mm mortar</t>
  </si>
  <si>
    <t>M9</t>
  </si>
  <si>
    <t>M88</t>
  </si>
  <si>
    <t>M16</t>
  </si>
  <si>
    <t>M40</t>
  </si>
  <si>
    <t>SASR</t>
  </si>
  <si>
    <t>HIMARS</t>
  </si>
  <si>
    <t>Benelli M4</t>
  </si>
  <si>
    <t>Mossberg</t>
  </si>
  <si>
    <t>M1A1</t>
  </si>
  <si>
    <t>Description</t>
  </si>
  <si>
    <t>Qty</t>
  </si>
  <si>
    <t>GCE TE Qty</t>
  </si>
  <si>
    <t>HXX1</t>
  </si>
  <si>
    <t>ASSAULT RATE</t>
  </si>
  <si>
    <t>GCE Daily Assault Rate</t>
  </si>
  <si>
    <t>GCE Daily Sustain Rate</t>
  </si>
  <si>
    <t>1.2C</t>
  </si>
  <si>
    <t>1.2.2H</t>
  </si>
  <si>
    <t>1.2E</t>
  </si>
  <si>
    <t>1.2.2D</t>
  </si>
  <si>
    <t>1.2D</t>
  </si>
  <si>
    <t># Eng Bn</t>
  </si>
  <si>
    <t># Eng Co</t>
  </si>
  <si>
    <t># EOD Tms</t>
  </si>
  <si>
    <t># Inf Bns</t>
  </si>
  <si>
    <t># Other GCE Bns</t>
  </si>
  <si>
    <t># MSO - 1</t>
  </si>
  <si>
    <t># MSO - 3</t>
  </si>
  <si>
    <t># MSO - 4</t>
  </si>
  <si>
    <t># MSO - 5</t>
  </si>
  <si>
    <t># MSO - 2</t>
  </si>
  <si>
    <t># MSO - 6</t>
  </si>
  <si>
    <t># MSO - 7</t>
  </si>
  <si>
    <t>GCE UNIT EDL</t>
  </si>
  <si>
    <t>SUSTAIN RATE</t>
  </si>
  <si>
    <t>GCE 1 DOA ASSAULT RATE</t>
  </si>
  <si>
    <t>GCE 1 DOA SUSTAIN RATE</t>
  </si>
  <si>
    <t>7-Ton MTVR XLB Standard Pallets Per</t>
  </si>
  <si>
    <t>7-Ton MTVR Standard Pallets Per</t>
  </si>
  <si>
    <t># PALLETS</t>
  </si>
  <si>
    <t>MAX PAYLOAD</t>
  </si>
  <si>
    <t># VEHICLES RQD BY WEIGHT</t>
  </si>
  <si>
    <t># VEHICLES RQD BY PALLET</t>
  </si>
  <si>
    <t>C-17 Plane Standard Pallets Per (18 463L's Per)</t>
  </si>
  <si>
    <t>C-5 Plane Standard Pallets Per (36 463L's Per)</t>
  </si>
  <si>
    <t>C-141 Plane Standard Pallets Per (13 463L's Per)</t>
  </si>
  <si>
    <t>C-130 Plane Standard Pallets Per (6 463L's Per)</t>
  </si>
  <si>
    <t>CA26 (C380)</t>
  </si>
  <si>
    <t>CA57 (C379)</t>
  </si>
  <si>
    <t>DD01 (D864)</t>
  </si>
  <si>
    <t>J153 (M913)</t>
  </si>
  <si>
    <t>WH51 (WF10)</t>
  </si>
  <si>
    <t>WH53 (WG02)</t>
  </si>
  <si>
    <t>Assault Rate Combat Load Ratio in Days</t>
  </si>
  <si>
    <t>Sustain Rate Combat Load Ratio in Days</t>
  </si>
  <si>
    <t>VEHICLE TYPE</t>
  </si>
  <si>
    <t>STANDARD PALLET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</si>
</sst>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&quot;$&quot;#,##0.00"/>
    <numFmt numFmtId="166" formatCode="0.000000"/>
  </numFmts>
  <fonts count="19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13"/>
      <name val="Arial"/>
      <family val="2"/>
    </font>
    <font>
      <b/>
      <sz val="12"/>
      <color indexed="9"/>
      <name val="Arial"/>
      <family val="2"/>
    </font>
    <font>
      <sz val="10"/>
      <color indexed="10"/>
      <name val="Arial"/>
      <family val="2"/>
    </font>
    <font>
      <sz val="12"/>
      <color indexed="9"/>
      <name val="Arial"/>
      <family val="2"/>
    </font>
    <font>
      <b/>
      <u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Arial"/>
      <family val="2"/>
    </font>
    <font>
      <b/>
      <sz val="8"/>
      <color theme="0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47">
    <xf numFmtId="0" fontId="0" fillId="0" borderId="0" xfId="0"/>
    <xf numFmtId="0" fontId="0" fillId="0" borderId="2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2" fontId="5" fillId="2" borderId="24" xfId="0" applyNumberFormat="1" applyFont="1" applyFill="1" applyBorder="1" applyAlignment="1">
      <alignment horizontal="center"/>
    </xf>
    <xf numFmtId="2" fontId="5" fillId="2" borderId="25" xfId="0" applyNumberFormat="1" applyFont="1" applyFill="1" applyBorder="1" applyAlignment="1">
      <alignment horizontal="center"/>
    </xf>
    <xf numFmtId="1" fontId="5" fillId="2" borderId="25" xfId="0" applyNumberFormat="1" applyFont="1" applyFill="1" applyBorder="1" applyAlignment="1">
      <alignment horizontal="center"/>
    </xf>
    <xf numFmtId="1" fontId="5" fillId="2" borderId="25" xfId="0" applyNumberFormat="1" applyFont="1" applyFill="1" applyBorder="1" applyAlignment="1">
      <alignment horizontal="center" wrapText="1"/>
    </xf>
    <xf numFmtId="1" fontId="5" fillId="3" borderId="26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 wrapText="1"/>
    </xf>
    <xf numFmtId="3" fontId="6" fillId="2" borderId="2" xfId="0" applyNumberFormat="1" applyFont="1" applyFill="1" applyBorder="1" applyAlignment="1">
      <alignment horizontal="center" wrapText="1"/>
    </xf>
    <xf numFmtId="2" fontId="5" fillId="2" borderId="2" xfId="0" applyNumberFormat="1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wrapText="1"/>
    </xf>
    <xf numFmtId="0" fontId="0" fillId="5" borderId="27" xfId="0" applyFill="1" applyBorder="1" applyAlignment="1">
      <alignment horizontal="center"/>
    </xf>
    <xf numFmtId="165" fontId="0" fillId="5" borderId="27" xfId="0" applyNumberFormat="1" applyFill="1" applyBorder="1" applyAlignment="1">
      <alignment horizontal="center"/>
    </xf>
    <xf numFmtId="2" fontId="0" fillId="5" borderId="27" xfId="0" applyNumberFormat="1" applyFill="1" applyBorder="1" applyAlignment="1">
      <alignment horizontal="center"/>
    </xf>
    <xf numFmtId="49" fontId="0" fillId="5" borderId="27" xfId="0" applyNumberFormat="1" applyFill="1" applyBorder="1" applyAlignment="1">
      <alignment horizontal="center"/>
    </xf>
    <xf numFmtId="166" fontId="0" fillId="5" borderId="27" xfId="0" applyNumberFormat="1" applyFill="1" applyBorder="1" applyAlignment="1">
      <alignment horizontal="center"/>
    </xf>
    <xf numFmtId="2" fontId="0" fillId="5" borderId="25" xfId="0" applyNumberFormat="1" applyFill="1" applyBorder="1" applyAlignment="1">
      <alignment horizontal="center"/>
    </xf>
    <xf numFmtId="1" fontId="0" fillId="5" borderId="25" xfId="0" applyNumberFormat="1" applyFill="1" applyBorder="1" applyAlignment="1">
      <alignment horizontal="center"/>
    </xf>
    <xf numFmtId="1" fontId="0" fillId="5" borderId="28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0" fontId="9" fillId="2" borderId="4" xfId="0" applyFont="1" applyFill="1" applyBorder="1"/>
    <xf numFmtId="0" fontId="9" fillId="2" borderId="2" xfId="0" applyFont="1" applyFill="1" applyBorder="1" applyProtection="1">
      <protection locked="0"/>
    </xf>
    <xf numFmtId="0" fontId="0" fillId="5" borderId="25" xfId="0" applyFill="1" applyBorder="1" applyAlignment="1">
      <alignment horizontal="center"/>
    </xf>
    <xf numFmtId="165" fontId="0" fillId="5" borderId="25" xfId="0" applyNumberFormat="1" applyFill="1" applyBorder="1" applyAlignment="1">
      <alignment horizontal="center"/>
    </xf>
    <xf numFmtId="49" fontId="0" fillId="5" borderId="25" xfId="0" applyNumberFormat="1" applyFill="1" applyBorder="1" applyAlignment="1">
      <alignment horizontal="center"/>
    </xf>
    <xf numFmtId="166" fontId="0" fillId="5" borderId="25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10" fillId="0" borderId="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4" fontId="0" fillId="5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28" xfId="0" applyFill="1" applyBorder="1" applyAlignment="1">
      <alignment horizontal="center"/>
    </xf>
    <xf numFmtId="0" fontId="0" fillId="4" borderId="25" xfId="0" applyFill="1" applyBorder="1" applyAlignment="1">
      <alignment horizontal="center" wrapText="1"/>
    </xf>
    <xf numFmtId="2" fontId="3" fillId="5" borderId="25" xfId="0" applyNumberFormat="1" applyFont="1" applyFill="1" applyBorder="1" applyAlignment="1">
      <alignment horizontal="center"/>
    </xf>
    <xf numFmtId="1" fontId="0" fillId="5" borderId="29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3" fontId="0" fillId="5" borderId="3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Fill="1" applyBorder="1" applyAlignment="1">
      <alignment horizontal="center" wrapText="1"/>
    </xf>
    <xf numFmtId="3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4" fontId="0" fillId="5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0" fillId="0" borderId="33" xfId="0" applyBorder="1"/>
    <xf numFmtId="0" fontId="0" fillId="0" borderId="35" xfId="0" applyBorder="1"/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8" fillId="4" borderId="39" xfId="0" applyFont="1" applyFill="1" applyBorder="1" applyAlignment="1">
      <alignment horizontal="center" wrapText="1"/>
    </xf>
    <xf numFmtId="0" fontId="0" fillId="5" borderId="39" xfId="0" applyFill="1" applyBorder="1" applyAlignment="1">
      <alignment horizontal="center"/>
    </xf>
    <xf numFmtId="165" fontId="0" fillId="5" borderId="39" xfId="0" applyNumberFormat="1" applyFill="1" applyBorder="1" applyAlignment="1">
      <alignment horizontal="center"/>
    </xf>
    <xf numFmtId="2" fontId="0" fillId="5" borderId="39" xfId="0" applyNumberFormat="1" applyFill="1" applyBorder="1" applyAlignment="1">
      <alignment horizontal="center"/>
    </xf>
    <xf numFmtId="49" fontId="0" fillId="5" borderId="39" xfId="0" applyNumberFormat="1" applyFill="1" applyBorder="1" applyAlignment="1">
      <alignment horizontal="center"/>
    </xf>
    <xf numFmtId="166" fontId="0" fillId="5" borderId="39" xfId="0" applyNumberFormat="1" applyFill="1" applyBorder="1" applyAlignment="1">
      <alignment horizontal="center"/>
    </xf>
    <xf numFmtId="1" fontId="0" fillId="5" borderId="39" xfId="0" applyNumberFormat="1" applyFill="1" applyBorder="1" applyAlignment="1">
      <alignment horizontal="center"/>
    </xf>
    <xf numFmtId="0" fontId="8" fillId="4" borderId="28" xfId="0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/>
    </xf>
    <xf numFmtId="165" fontId="0" fillId="5" borderId="24" xfId="0" applyNumberFormat="1" applyFill="1" applyBorder="1" applyAlignment="1">
      <alignment horizontal="center"/>
    </xf>
    <xf numFmtId="2" fontId="0" fillId="5" borderId="24" xfId="0" applyNumberFormat="1" applyFill="1" applyBorder="1" applyAlignment="1">
      <alignment horizontal="center"/>
    </xf>
    <xf numFmtId="0" fontId="8" fillId="4" borderId="40" xfId="0" applyFont="1" applyFill="1" applyBorder="1" applyAlignment="1">
      <alignment horizontal="center" wrapText="1"/>
    </xf>
    <xf numFmtId="0" fontId="0" fillId="3" borderId="20" xfId="0" applyFill="1" applyBorder="1" applyAlignment="1">
      <alignment horizontal="center"/>
    </xf>
    <xf numFmtId="0" fontId="1" fillId="0" borderId="41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3" xfId="0" applyFill="1" applyBorder="1" applyAlignment="1">
      <alignment horizontal="right"/>
    </xf>
    <xf numFmtId="0" fontId="0" fillId="0" borderId="44" xfId="0" applyFill="1" applyBorder="1" applyAlignment="1">
      <alignment horizontal="right"/>
    </xf>
    <xf numFmtId="0" fontId="0" fillId="0" borderId="34" xfId="0" applyFill="1" applyBorder="1"/>
    <xf numFmtId="0" fontId="0" fillId="0" borderId="37" xfId="0" applyFill="1" applyBorder="1" applyAlignment="1">
      <alignment horizontal="center"/>
    </xf>
    <xf numFmtId="0" fontId="0" fillId="0" borderId="0" xfId="0" applyFill="1"/>
    <xf numFmtId="0" fontId="13" fillId="0" borderId="0" xfId="0" applyFont="1" applyFill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/>
    <xf numFmtId="0" fontId="0" fillId="0" borderId="6" xfId="0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64" fontId="16" fillId="7" borderId="12" xfId="0" applyNumberFormat="1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/>
    </xf>
    <xf numFmtId="0" fontId="17" fillId="7" borderId="18" xfId="0" applyFont="1" applyFill="1" applyBorder="1" applyAlignment="1">
      <alignment horizontal="center"/>
    </xf>
    <xf numFmtId="0" fontId="17" fillId="7" borderId="19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 vertical="center" wrapText="1"/>
    </xf>
    <xf numFmtId="2" fontId="5" fillId="2" borderId="14" xfId="0" applyNumberFormat="1" applyFont="1" applyFill="1" applyBorder="1" applyAlignment="1">
      <alignment horizontal="center" vertical="center" wrapText="1"/>
    </xf>
    <xf numFmtId="2" fontId="5" fillId="2" borderId="22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2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22" xfId="0" applyNumberFormat="1" applyFont="1" applyFill="1" applyBorder="1" applyAlignment="1">
      <alignment horizontal="center" vertical="center" wrapText="1"/>
    </xf>
    <xf numFmtId="3" fontId="18" fillId="6" borderId="0" xfId="0" applyNumberFormat="1" applyFont="1" applyFill="1" applyBorder="1" applyAlignment="1">
      <alignment horizontal="center"/>
    </xf>
    <xf numFmtId="2" fontId="5" fillId="2" borderId="11" xfId="0" applyNumberFormat="1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 wrapText="1"/>
    </xf>
    <xf numFmtId="2" fontId="5" fillId="2" borderId="23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</cellXfs>
  <cellStyles count="3">
    <cellStyle name="Normal" xfId="0" builtinId="0" customBuiltin="1"/>
    <cellStyle name="Normal 2" xfId="2"/>
    <cellStyle name="Normal 2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AA4643"/>
      <rgbColor rgb="0000FFFF"/>
      <rgbColor rgb="00A50021"/>
      <rgbColor rgb="00008000"/>
      <rgbColor rgb="004572A7"/>
      <rgbColor rgb="00CC9900"/>
      <rgbColor rgb="00800080"/>
      <rgbColor rgb="00008080"/>
      <rgbColor rgb="00C0C0C0"/>
      <rgbColor rgb="007F7F7F"/>
      <rgbColor rgb="009999FF"/>
      <rgbColor rgb="00993366"/>
      <rgbColor rgb="00FFFFCC"/>
      <rgbColor rgb="00CCFFFF"/>
      <rgbColor rgb="00660066"/>
      <rgbColor rgb="00CC6600"/>
      <rgbColor rgb="000066CC"/>
      <rgbColor rgb="00CCCCFF"/>
      <rgbColor rgb="00D19392"/>
      <rgbColor rgb="00FF00FF"/>
      <rgbColor rgb="0089A54E"/>
      <rgbColor rgb="0071588F"/>
      <rgbColor rgb="00800080"/>
      <rgbColor rgb="00800000"/>
      <rgbColor rgb="00008080"/>
      <rgbColor rgb="00A99BBD"/>
      <rgbColor rgb="00008080"/>
      <rgbColor rgb="00CCFFFF"/>
      <rgbColor rgb="00C3D69B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EBF1DE"/>
      <rgbColor rgb="00333300"/>
      <rgbColor rgb="0066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0000"/>
  <sheetViews>
    <sheetView workbookViewId="0">
      <selection activeCell="B70" sqref="B1:B1048576"/>
    </sheetView>
  </sheetViews>
  <sheetFormatPr defaultRowHeight="11.25" x14ac:dyDescent="0.2"/>
  <cols>
    <col min="2" max="2" width="26.6640625" style="106" bestFit="1" customWidth="1"/>
  </cols>
  <sheetData>
    <row r="1" spans="1:5" ht="12.75" thickTop="1" thickBot="1" x14ac:dyDescent="0.25">
      <c r="A1" s="108" t="s">
        <v>817</v>
      </c>
      <c r="B1" s="109"/>
      <c r="C1" s="110"/>
    </row>
    <row r="2" spans="1:5" ht="12" thickTop="1" x14ac:dyDescent="0.2">
      <c r="A2" s="79"/>
      <c r="B2" s="104"/>
      <c r="C2" s="80"/>
      <c r="D2" s="13"/>
      <c r="E2" s="13"/>
    </row>
    <row r="3" spans="1:5" ht="12" thickBot="1" x14ac:dyDescent="0.25">
      <c r="A3" s="81" t="s">
        <v>146</v>
      </c>
      <c r="B3" s="105" t="s">
        <v>793</v>
      </c>
      <c r="C3" s="82" t="s">
        <v>794</v>
      </c>
    </row>
    <row r="4" spans="1:5" ht="12" thickTop="1" x14ac:dyDescent="0.2">
      <c r="A4" s="76" t="s">
        <v>657</v>
      </c>
      <c r="B4" s="106" t="s">
        <v>658</v>
      </c>
      <c r="C4" s="76">
        <v>1</v>
      </c>
    </row>
    <row r="5" spans="1:5" x14ac:dyDescent="0.2">
      <c r="A5" s="76" t="s">
        <v>659</v>
      </c>
      <c r="B5" s="106" t="s">
        <v>660</v>
      </c>
      <c r="C5" s="76">
        <v>5</v>
      </c>
    </row>
    <row r="6" spans="1:5" x14ac:dyDescent="0.2">
      <c r="A6" s="76" t="s">
        <v>661</v>
      </c>
      <c r="B6" s="106" t="s">
        <v>662</v>
      </c>
      <c r="C6" s="76">
        <v>1</v>
      </c>
    </row>
    <row r="7" spans="1:5" x14ac:dyDescent="0.2">
      <c r="A7" s="76" t="s">
        <v>663</v>
      </c>
      <c r="B7" s="106" t="s">
        <v>664</v>
      </c>
      <c r="C7" s="76">
        <v>3</v>
      </c>
    </row>
    <row r="8" spans="1:5" x14ac:dyDescent="0.2">
      <c r="A8" s="76" t="s">
        <v>665</v>
      </c>
      <c r="B8" s="106" t="s">
        <v>666</v>
      </c>
      <c r="C8" s="76">
        <v>4</v>
      </c>
    </row>
    <row r="9" spans="1:5" ht="15" x14ac:dyDescent="0.25">
      <c r="A9" s="78" t="s">
        <v>667</v>
      </c>
      <c r="B9" s="107" t="s">
        <v>668</v>
      </c>
      <c r="C9" s="76">
        <v>4</v>
      </c>
    </row>
    <row r="10" spans="1:5" x14ac:dyDescent="0.2">
      <c r="A10" s="76" t="s">
        <v>669</v>
      </c>
      <c r="B10" s="106" t="s">
        <v>670</v>
      </c>
      <c r="C10" s="76">
        <v>7</v>
      </c>
    </row>
    <row r="11" spans="1:5" x14ac:dyDescent="0.2">
      <c r="A11" s="76" t="s">
        <v>671</v>
      </c>
      <c r="B11" s="106" t="s">
        <v>672</v>
      </c>
      <c r="C11" s="76">
        <v>6</v>
      </c>
    </row>
    <row r="12" spans="1:5" x14ac:dyDescent="0.2">
      <c r="A12" s="76" t="s">
        <v>177</v>
      </c>
      <c r="B12" s="106" t="s">
        <v>673</v>
      </c>
      <c r="C12" s="76">
        <v>7</v>
      </c>
    </row>
    <row r="13" spans="1:5" x14ac:dyDescent="0.2">
      <c r="A13" s="76" t="s">
        <v>201</v>
      </c>
      <c r="B13" s="106" t="s">
        <v>674</v>
      </c>
      <c r="C13" s="76">
        <v>8</v>
      </c>
    </row>
    <row r="14" spans="1:5" x14ac:dyDescent="0.2">
      <c r="A14" s="76" t="s">
        <v>675</v>
      </c>
      <c r="B14" s="106" t="s">
        <v>676</v>
      </c>
      <c r="C14" s="76">
        <v>6</v>
      </c>
    </row>
    <row r="15" spans="1:5" x14ac:dyDescent="0.2">
      <c r="A15" s="76" t="s">
        <v>677</v>
      </c>
      <c r="B15" s="106" t="s">
        <v>678</v>
      </c>
      <c r="C15" s="76">
        <v>49</v>
      </c>
    </row>
    <row r="16" spans="1:5" x14ac:dyDescent="0.2">
      <c r="A16" s="76" t="s">
        <v>679</v>
      </c>
      <c r="B16" s="106" t="s">
        <v>680</v>
      </c>
      <c r="C16" s="76">
        <v>19</v>
      </c>
    </row>
    <row r="17" spans="1:3" x14ac:dyDescent="0.2">
      <c r="A17" s="76" t="s">
        <v>681</v>
      </c>
      <c r="B17" s="106" t="s">
        <v>682</v>
      </c>
      <c r="C17" s="76">
        <v>23</v>
      </c>
    </row>
    <row r="18" spans="1:3" x14ac:dyDescent="0.2">
      <c r="A18" s="76" t="s">
        <v>683</v>
      </c>
      <c r="B18" s="106" t="s">
        <v>684</v>
      </c>
      <c r="C18" s="76">
        <v>18</v>
      </c>
    </row>
    <row r="19" spans="1:3" x14ac:dyDescent="0.2">
      <c r="A19" s="76" t="s">
        <v>685</v>
      </c>
      <c r="B19" s="106" t="s">
        <v>686</v>
      </c>
      <c r="C19" s="76">
        <v>4</v>
      </c>
    </row>
    <row r="20" spans="1:3" x14ac:dyDescent="0.2">
      <c r="A20" s="76" t="s">
        <v>687</v>
      </c>
      <c r="B20" s="106" t="s">
        <v>688</v>
      </c>
      <c r="C20" s="76">
        <v>1</v>
      </c>
    </row>
    <row r="21" spans="1:3" x14ac:dyDescent="0.2">
      <c r="A21" s="76" t="s">
        <v>206</v>
      </c>
      <c r="B21" s="106" t="s">
        <v>689</v>
      </c>
      <c r="C21" s="76">
        <v>18</v>
      </c>
    </row>
    <row r="22" spans="1:3" x14ac:dyDescent="0.2">
      <c r="A22" s="76" t="s">
        <v>690</v>
      </c>
      <c r="B22" s="106" t="s">
        <v>691</v>
      </c>
      <c r="C22" s="76">
        <v>41</v>
      </c>
    </row>
    <row r="23" spans="1:3" x14ac:dyDescent="0.2">
      <c r="A23" s="76" t="s">
        <v>692</v>
      </c>
      <c r="B23" s="106" t="s">
        <v>693</v>
      </c>
      <c r="C23" s="76">
        <v>21</v>
      </c>
    </row>
    <row r="24" spans="1:3" x14ac:dyDescent="0.2">
      <c r="A24" s="76" t="s">
        <v>694</v>
      </c>
      <c r="B24" s="106" t="s">
        <v>695</v>
      </c>
      <c r="C24" s="76">
        <v>46</v>
      </c>
    </row>
    <row r="25" spans="1:3" x14ac:dyDescent="0.2">
      <c r="A25" s="76" t="s">
        <v>696</v>
      </c>
      <c r="B25" s="106" t="s">
        <v>697</v>
      </c>
      <c r="C25" s="76">
        <v>8</v>
      </c>
    </row>
    <row r="26" spans="1:3" x14ac:dyDescent="0.2">
      <c r="A26" s="76" t="s">
        <v>698</v>
      </c>
      <c r="B26" s="106" t="s">
        <v>699</v>
      </c>
      <c r="C26" s="76">
        <v>5</v>
      </c>
    </row>
    <row r="27" spans="1:3" x14ac:dyDescent="0.2">
      <c r="A27" s="76" t="s">
        <v>700</v>
      </c>
      <c r="B27" s="106" t="s">
        <v>699</v>
      </c>
      <c r="C27" s="76">
        <v>7</v>
      </c>
    </row>
    <row r="28" spans="1:3" x14ac:dyDescent="0.2">
      <c r="A28" s="76" t="s">
        <v>701</v>
      </c>
      <c r="B28" s="106" t="s">
        <v>702</v>
      </c>
      <c r="C28" s="76">
        <v>175</v>
      </c>
    </row>
    <row r="29" spans="1:3" x14ac:dyDescent="0.2">
      <c r="A29" s="76" t="s">
        <v>703</v>
      </c>
      <c r="B29" s="106" t="s">
        <v>702</v>
      </c>
      <c r="C29" s="76">
        <v>53</v>
      </c>
    </row>
    <row r="30" spans="1:3" x14ac:dyDescent="0.2">
      <c r="A30" s="76" t="s">
        <v>704</v>
      </c>
      <c r="B30" s="106" t="s">
        <v>705</v>
      </c>
      <c r="C30" s="76">
        <v>12</v>
      </c>
    </row>
    <row r="31" spans="1:3" x14ac:dyDescent="0.2">
      <c r="A31" s="76" t="s">
        <v>706</v>
      </c>
      <c r="B31" s="106" t="s">
        <v>707</v>
      </c>
      <c r="C31" s="76">
        <v>52</v>
      </c>
    </row>
    <row r="32" spans="1:3" x14ac:dyDescent="0.2">
      <c r="A32" s="76" t="s">
        <v>708</v>
      </c>
      <c r="B32" s="106" t="s">
        <v>709</v>
      </c>
      <c r="C32" s="76">
        <v>8</v>
      </c>
    </row>
    <row r="33" spans="1:3" x14ac:dyDescent="0.2">
      <c r="A33" s="76" t="s">
        <v>710</v>
      </c>
      <c r="B33" s="106" t="s">
        <v>711</v>
      </c>
      <c r="C33" s="76">
        <v>98</v>
      </c>
    </row>
    <row r="34" spans="1:3" x14ac:dyDescent="0.2">
      <c r="A34" s="76" t="s">
        <v>712</v>
      </c>
      <c r="B34" s="106" t="s">
        <v>713</v>
      </c>
      <c r="C34" s="76">
        <v>15</v>
      </c>
    </row>
    <row r="35" spans="1:3" x14ac:dyDescent="0.2">
      <c r="A35" s="76" t="s">
        <v>714</v>
      </c>
      <c r="B35" s="106" t="s">
        <v>715</v>
      </c>
      <c r="C35" s="76">
        <v>15</v>
      </c>
    </row>
    <row r="36" spans="1:3" x14ac:dyDescent="0.2">
      <c r="A36" s="76" t="s">
        <v>716</v>
      </c>
      <c r="B36" s="106" t="s">
        <v>711</v>
      </c>
      <c r="C36" s="76">
        <v>243</v>
      </c>
    </row>
    <row r="37" spans="1:3" x14ac:dyDescent="0.2">
      <c r="A37" s="76" t="s">
        <v>717</v>
      </c>
      <c r="B37" s="106" t="s">
        <v>718</v>
      </c>
      <c r="C37" s="76">
        <v>47</v>
      </c>
    </row>
    <row r="38" spans="1:3" x14ac:dyDescent="0.2">
      <c r="A38" s="76" t="s">
        <v>719</v>
      </c>
      <c r="B38" s="106" t="s">
        <v>711</v>
      </c>
      <c r="C38" s="76">
        <v>78</v>
      </c>
    </row>
    <row r="39" spans="1:3" x14ac:dyDescent="0.2">
      <c r="A39" s="76" t="s">
        <v>720</v>
      </c>
      <c r="B39" s="106" t="s">
        <v>711</v>
      </c>
      <c r="C39" s="76">
        <v>86</v>
      </c>
    </row>
    <row r="40" spans="1:3" x14ac:dyDescent="0.2">
      <c r="A40" s="76" t="s">
        <v>721</v>
      </c>
      <c r="B40" s="106" t="s">
        <v>711</v>
      </c>
      <c r="C40" s="76">
        <v>2</v>
      </c>
    </row>
    <row r="41" spans="1:3" x14ac:dyDescent="0.2">
      <c r="A41" s="76" t="s">
        <v>722</v>
      </c>
      <c r="B41" s="106" t="s">
        <v>702</v>
      </c>
      <c r="C41" s="76">
        <v>59</v>
      </c>
    </row>
    <row r="42" spans="1:3" x14ac:dyDescent="0.2">
      <c r="A42" s="76" t="s">
        <v>723</v>
      </c>
      <c r="B42" s="106" t="s">
        <v>724</v>
      </c>
      <c r="C42" s="76">
        <v>5</v>
      </c>
    </row>
    <row r="43" spans="1:3" x14ac:dyDescent="0.2">
      <c r="A43" s="76" t="s">
        <v>725</v>
      </c>
      <c r="B43" s="106" t="s">
        <v>726</v>
      </c>
      <c r="C43" s="76">
        <v>5</v>
      </c>
    </row>
    <row r="44" spans="1:3" x14ac:dyDescent="0.2">
      <c r="A44" s="76" t="s">
        <v>727</v>
      </c>
      <c r="B44" s="106" t="s">
        <v>728</v>
      </c>
      <c r="C44" s="76">
        <v>10</v>
      </c>
    </row>
    <row r="45" spans="1:3" x14ac:dyDescent="0.2">
      <c r="A45" s="76" t="s">
        <v>729</v>
      </c>
      <c r="B45" s="106" t="s">
        <v>730</v>
      </c>
      <c r="C45" s="76">
        <v>45</v>
      </c>
    </row>
    <row r="46" spans="1:3" x14ac:dyDescent="0.2">
      <c r="A46" s="76" t="s">
        <v>731</v>
      </c>
      <c r="B46" s="106" t="s">
        <v>732</v>
      </c>
      <c r="C46" s="76">
        <v>18</v>
      </c>
    </row>
    <row r="47" spans="1:3" x14ac:dyDescent="0.2">
      <c r="A47" s="76" t="s">
        <v>733</v>
      </c>
      <c r="B47" s="106" t="s">
        <v>734</v>
      </c>
      <c r="C47" s="76">
        <v>23</v>
      </c>
    </row>
    <row r="48" spans="1:3" x14ac:dyDescent="0.2">
      <c r="A48" s="76" t="s">
        <v>735</v>
      </c>
      <c r="B48" s="106" t="s">
        <v>736</v>
      </c>
      <c r="C48" s="76">
        <v>14</v>
      </c>
    </row>
    <row r="49" spans="1:3" x14ac:dyDescent="0.2">
      <c r="A49" s="76" t="s">
        <v>737</v>
      </c>
      <c r="B49" s="106" t="s">
        <v>738</v>
      </c>
      <c r="C49" s="76">
        <v>15</v>
      </c>
    </row>
    <row r="50" spans="1:3" x14ac:dyDescent="0.2">
      <c r="A50" s="76" t="s">
        <v>739</v>
      </c>
      <c r="B50" s="106" t="s">
        <v>740</v>
      </c>
      <c r="C50" s="76">
        <v>8</v>
      </c>
    </row>
    <row r="51" spans="1:3" x14ac:dyDescent="0.2">
      <c r="A51" s="76" t="s">
        <v>741</v>
      </c>
      <c r="B51" s="106" t="s">
        <v>742</v>
      </c>
      <c r="C51" s="76">
        <v>12</v>
      </c>
    </row>
    <row r="52" spans="1:3" x14ac:dyDescent="0.2">
      <c r="A52" s="76" t="s">
        <v>743</v>
      </c>
      <c r="B52" s="106" t="s">
        <v>718</v>
      </c>
      <c r="C52" s="76">
        <v>23</v>
      </c>
    </row>
    <row r="53" spans="1:3" x14ac:dyDescent="0.2">
      <c r="A53" s="76" t="s">
        <v>744</v>
      </c>
      <c r="B53" s="106" t="s">
        <v>711</v>
      </c>
      <c r="C53" s="76">
        <v>119</v>
      </c>
    </row>
    <row r="54" spans="1:3" x14ac:dyDescent="0.2">
      <c r="A54" s="76" t="s">
        <v>745</v>
      </c>
      <c r="B54" s="106" t="s">
        <v>746</v>
      </c>
      <c r="C54" s="76">
        <v>50</v>
      </c>
    </row>
    <row r="55" spans="1:3" x14ac:dyDescent="0.2">
      <c r="A55" s="76" t="s">
        <v>747</v>
      </c>
      <c r="B55" s="106" t="s">
        <v>748</v>
      </c>
      <c r="C55" s="76">
        <v>12</v>
      </c>
    </row>
    <row r="56" spans="1:3" x14ac:dyDescent="0.2">
      <c r="A56" s="76" t="s">
        <v>749</v>
      </c>
      <c r="B56" s="106" t="s">
        <v>750</v>
      </c>
      <c r="C56" s="76">
        <v>2</v>
      </c>
    </row>
    <row r="57" spans="1:3" x14ac:dyDescent="0.2">
      <c r="A57" s="76" t="s">
        <v>188</v>
      </c>
      <c r="B57" s="106" t="s">
        <v>751</v>
      </c>
      <c r="C57" s="76">
        <v>72</v>
      </c>
    </row>
    <row r="58" spans="1:3" x14ac:dyDescent="0.2">
      <c r="A58" s="76" t="s">
        <v>752</v>
      </c>
      <c r="B58" s="106" t="s">
        <v>753</v>
      </c>
      <c r="C58" s="76">
        <v>3</v>
      </c>
    </row>
    <row r="59" spans="1:3" x14ac:dyDescent="0.2">
      <c r="A59" s="76" t="s">
        <v>157</v>
      </c>
      <c r="B59" s="106" t="s">
        <v>754</v>
      </c>
      <c r="C59" s="76">
        <v>10</v>
      </c>
    </row>
    <row r="60" spans="1:3" x14ac:dyDescent="0.2">
      <c r="A60" s="76" t="s">
        <v>221</v>
      </c>
      <c r="B60" s="106" t="s">
        <v>755</v>
      </c>
      <c r="C60" s="76">
        <v>50</v>
      </c>
    </row>
    <row r="61" spans="1:3" x14ac:dyDescent="0.2">
      <c r="A61" s="76" t="s">
        <v>153</v>
      </c>
      <c r="B61" s="106" t="s">
        <v>756</v>
      </c>
      <c r="C61" s="76">
        <v>333</v>
      </c>
    </row>
    <row r="62" spans="1:3" x14ac:dyDescent="0.2">
      <c r="A62" s="76" t="s">
        <v>183</v>
      </c>
      <c r="B62" s="106" t="s">
        <v>757</v>
      </c>
      <c r="C62" s="76">
        <v>32</v>
      </c>
    </row>
    <row r="63" spans="1:3" x14ac:dyDescent="0.2">
      <c r="A63" s="76" t="s">
        <v>202</v>
      </c>
      <c r="B63" s="106" t="s">
        <v>758</v>
      </c>
      <c r="C63" s="76">
        <v>2</v>
      </c>
    </row>
    <row r="64" spans="1:3" x14ac:dyDescent="0.2">
      <c r="A64" s="76" t="s">
        <v>158</v>
      </c>
      <c r="B64" s="106" t="s">
        <v>759</v>
      </c>
      <c r="C64" s="76">
        <v>32</v>
      </c>
    </row>
    <row r="65" spans="1:3" x14ac:dyDescent="0.2">
      <c r="A65" s="76" t="s">
        <v>159</v>
      </c>
      <c r="B65" s="106" t="s">
        <v>759</v>
      </c>
      <c r="C65" s="76">
        <v>3108</v>
      </c>
    </row>
    <row r="66" spans="1:3" x14ac:dyDescent="0.2">
      <c r="A66" s="76" t="s">
        <v>220</v>
      </c>
      <c r="B66" s="106" t="s">
        <v>760</v>
      </c>
      <c r="C66" s="76">
        <v>24</v>
      </c>
    </row>
    <row r="67" spans="1:3" x14ac:dyDescent="0.2">
      <c r="A67" s="76" t="s">
        <v>198</v>
      </c>
      <c r="B67" s="106" t="s">
        <v>761</v>
      </c>
      <c r="C67" s="76">
        <v>24</v>
      </c>
    </row>
    <row r="68" spans="1:3" x14ac:dyDescent="0.2">
      <c r="A68" s="76" t="s">
        <v>165</v>
      </c>
      <c r="B68" s="106" t="s">
        <v>762</v>
      </c>
      <c r="C68" s="76">
        <v>4</v>
      </c>
    </row>
    <row r="69" spans="1:3" x14ac:dyDescent="0.2">
      <c r="A69" s="76" t="s">
        <v>179</v>
      </c>
      <c r="B69" s="106" t="s">
        <v>763</v>
      </c>
      <c r="C69" s="76">
        <v>86</v>
      </c>
    </row>
    <row r="70" spans="1:3" x14ac:dyDescent="0.2">
      <c r="A70" s="76" t="s">
        <v>166</v>
      </c>
      <c r="B70" s="106" t="s">
        <v>764</v>
      </c>
      <c r="C70" s="76">
        <v>2</v>
      </c>
    </row>
    <row r="71" spans="1:3" x14ac:dyDescent="0.2">
      <c r="A71" s="76" t="s">
        <v>190</v>
      </c>
      <c r="B71" s="106" t="s">
        <v>765</v>
      </c>
      <c r="C71" s="76">
        <v>738</v>
      </c>
    </row>
    <row r="72" spans="1:3" x14ac:dyDescent="0.2">
      <c r="A72" s="76" t="s">
        <v>203</v>
      </c>
      <c r="B72" s="106" t="s">
        <v>766</v>
      </c>
      <c r="C72" s="76">
        <v>126</v>
      </c>
    </row>
    <row r="73" spans="1:3" x14ac:dyDescent="0.2">
      <c r="A73" s="76" t="s">
        <v>222</v>
      </c>
      <c r="B73" s="106" t="s">
        <v>767</v>
      </c>
      <c r="C73" s="76">
        <v>4</v>
      </c>
    </row>
    <row r="74" spans="1:3" x14ac:dyDescent="0.2">
      <c r="A74" s="76" t="s">
        <v>167</v>
      </c>
      <c r="B74" s="106" t="s">
        <v>768</v>
      </c>
      <c r="C74" s="76">
        <v>4</v>
      </c>
    </row>
    <row r="75" spans="1:3" x14ac:dyDescent="0.2">
      <c r="A75" s="76" t="s">
        <v>168</v>
      </c>
      <c r="B75" s="106" t="s">
        <v>769</v>
      </c>
      <c r="C75" s="76">
        <v>1</v>
      </c>
    </row>
    <row r="76" spans="1:3" x14ac:dyDescent="0.2">
      <c r="A76" s="76" t="s">
        <v>169</v>
      </c>
      <c r="B76" s="106" t="s">
        <v>770</v>
      </c>
      <c r="C76" s="76">
        <v>14</v>
      </c>
    </row>
    <row r="77" spans="1:3" x14ac:dyDescent="0.2">
      <c r="A77" s="76" t="s">
        <v>170</v>
      </c>
      <c r="B77" s="106" t="s">
        <v>771</v>
      </c>
      <c r="C77" s="76">
        <v>3</v>
      </c>
    </row>
    <row r="78" spans="1:3" x14ac:dyDescent="0.2">
      <c r="A78" s="76" t="s">
        <v>171</v>
      </c>
      <c r="B78" s="106" t="s">
        <v>772</v>
      </c>
      <c r="C78" s="76">
        <v>2</v>
      </c>
    </row>
    <row r="79" spans="1:3" x14ac:dyDescent="0.2">
      <c r="A79" s="76" t="s">
        <v>172</v>
      </c>
      <c r="B79" s="106" t="s">
        <v>773</v>
      </c>
      <c r="C79" s="76">
        <v>1</v>
      </c>
    </row>
    <row r="80" spans="1:3" x14ac:dyDescent="0.2">
      <c r="A80" s="76" t="s">
        <v>163</v>
      </c>
      <c r="B80" s="106" t="s">
        <v>774</v>
      </c>
      <c r="C80" s="76">
        <v>295</v>
      </c>
    </row>
    <row r="81" spans="1:3" x14ac:dyDescent="0.2">
      <c r="A81" s="76" t="s">
        <v>180</v>
      </c>
      <c r="B81" s="106" t="s">
        <v>775</v>
      </c>
      <c r="C81" s="76">
        <v>150</v>
      </c>
    </row>
    <row r="82" spans="1:3" x14ac:dyDescent="0.2">
      <c r="A82" s="76" t="s">
        <v>776</v>
      </c>
      <c r="B82" s="106" t="s">
        <v>775</v>
      </c>
      <c r="C82" s="76">
        <v>80</v>
      </c>
    </row>
    <row r="83" spans="1:3" x14ac:dyDescent="0.2">
      <c r="A83" s="76" t="s">
        <v>173</v>
      </c>
      <c r="B83" s="106" t="s">
        <v>777</v>
      </c>
      <c r="C83" s="76">
        <v>387</v>
      </c>
    </row>
    <row r="84" spans="1:3" x14ac:dyDescent="0.2">
      <c r="A84" s="76" t="s">
        <v>191</v>
      </c>
      <c r="B84" s="106" t="s">
        <v>778</v>
      </c>
      <c r="C84" s="76">
        <v>106</v>
      </c>
    </row>
    <row r="85" spans="1:3" x14ac:dyDescent="0.2">
      <c r="A85" s="76" t="s">
        <v>779</v>
      </c>
      <c r="B85" s="106" t="s">
        <v>778</v>
      </c>
      <c r="C85" s="76">
        <v>86</v>
      </c>
    </row>
    <row r="86" spans="1:3" x14ac:dyDescent="0.2">
      <c r="A86" s="76" t="s">
        <v>780</v>
      </c>
      <c r="B86" s="106" t="s">
        <v>777</v>
      </c>
      <c r="C86" s="76">
        <v>130</v>
      </c>
    </row>
    <row r="87" spans="1:3" x14ac:dyDescent="0.2">
      <c r="A87" s="76" t="s">
        <v>781</v>
      </c>
      <c r="B87" s="106" t="s">
        <v>775</v>
      </c>
      <c r="C87" s="76">
        <v>86</v>
      </c>
    </row>
    <row r="88" spans="1:3" x14ac:dyDescent="0.2">
      <c r="A88" s="76" t="s">
        <v>193</v>
      </c>
      <c r="B88" s="106" t="s">
        <v>782</v>
      </c>
      <c r="C88" s="76">
        <v>36</v>
      </c>
    </row>
    <row r="89" spans="1:3" x14ac:dyDescent="0.2">
      <c r="A89" s="76" t="s">
        <v>194</v>
      </c>
      <c r="B89" s="106" t="s">
        <v>783</v>
      </c>
      <c r="C89" s="76">
        <v>26</v>
      </c>
    </row>
    <row r="90" spans="1:3" x14ac:dyDescent="0.2">
      <c r="A90" s="76" t="s">
        <v>175</v>
      </c>
      <c r="B90" s="106" t="s">
        <v>784</v>
      </c>
      <c r="C90" s="76">
        <v>870</v>
      </c>
    </row>
    <row r="91" spans="1:3" x14ac:dyDescent="0.2">
      <c r="A91" s="76" t="s">
        <v>181</v>
      </c>
      <c r="B91" s="106" t="s">
        <v>785</v>
      </c>
      <c r="C91" s="76">
        <v>16</v>
      </c>
    </row>
    <row r="92" spans="1:3" x14ac:dyDescent="0.2">
      <c r="A92" s="76" t="s">
        <v>156</v>
      </c>
      <c r="B92" s="106" t="s">
        <v>786</v>
      </c>
      <c r="C92" s="76">
        <v>2869</v>
      </c>
    </row>
    <row r="93" spans="1:3" x14ac:dyDescent="0.2">
      <c r="A93" s="76" t="s">
        <v>184</v>
      </c>
      <c r="B93" s="106" t="s">
        <v>787</v>
      </c>
      <c r="C93" s="76">
        <v>32</v>
      </c>
    </row>
    <row r="94" spans="1:3" x14ac:dyDescent="0.2">
      <c r="A94" s="76" t="s">
        <v>182</v>
      </c>
      <c r="B94" s="106" t="s">
        <v>788</v>
      </c>
      <c r="C94" s="76">
        <v>19</v>
      </c>
    </row>
    <row r="95" spans="1:3" x14ac:dyDescent="0.2">
      <c r="A95" s="76" t="s">
        <v>204</v>
      </c>
      <c r="B95" s="106" t="s">
        <v>789</v>
      </c>
      <c r="C95" s="76">
        <v>6</v>
      </c>
    </row>
    <row r="96" spans="1:3" x14ac:dyDescent="0.2">
      <c r="A96" s="76" t="s">
        <v>185</v>
      </c>
      <c r="B96" s="106" t="s">
        <v>790</v>
      </c>
      <c r="C96" s="76">
        <v>18</v>
      </c>
    </row>
    <row r="97" spans="1:3" x14ac:dyDescent="0.2">
      <c r="A97" s="76" t="s">
        <v>152</v>
      </c>
      <c r="B97" s="106" t="s">
        <v>791</v>
      </c>
      <c r="C97" s="76">
        <v>96</v>
      </c>
    </row>
    <row r="98" spans="1:3" x14ac:dyDescent="0.2">
      <c r="A98" s="76" t="s">
        <v>161</v>
      </c>
      <c r="B98" s="106" t="s">
        <v>792</v>
      </c>
      <c r="C98" s="76">
        <v>58</v>
      </c>
    </row>
    <row r="99" spans="1:3" x14ac:dyDescent="0.2">
      <c r="A99" s="76"/>
      <c r="C99" s="76"/>
    </row>
    <row r="100" spans="1:3" x14ac:dyDescent="0.2">
      <c r="A100" s="76"/>
      <c r="C100" s="76"/>
    </row>
    <row r="101" spans="1:3" x14ac:dyDescent="0.2">
      <c r="A101" s="76"/>
      <c r="C101" s="76"/>
    </row>
    <row r="102" spans="1:3" x14ac:dyDescent="0.2">
      <c r="A102" s="76"/>
      <c r="C102" s="76"/>
    </row>
    <row r="103" spans="1:3" x14ac:dyDescent="0.2">
      <c r="A103" s="76"/>
      <c r="C103" s="76"/>
    </row>
    <row r="104" spans="1:3" x14ac:dyDescent="0.2">
      <c r="A104" s="76"/>
      <c r="C104" s="76"/>
    </row>
    <row r="105" spans="1:3" x14ac:dyDescent="0.2">
      <c r="A105" s="76"/>
      <c r="C105" s="76"/>
    </row>
    <row r="106" spans="1:3" x14ac:dyDescent="0.2">
      <c r="A106" s="76"/>
      <c r="C106" s="76"/>
    </row>
    <row r="107" spans="1:3" x14ac:dyDescent="0.2">
      <c r="A107" s="76"/>
      <c r="C107" s="76"/>
    </row>
    <row r="108" spans="1:3" x14ac:dyDescent="0.2">
      <c r="A108" s="76"/>
      <c r="C108" s="76"/>
    </row>
    <row r="109" spans="1:3" x14ac:dyDescent="0.2">
      <c r="A109" s="76"/>
      <c r="C109" s="76"/>
    </row>
    <row r="110" spans="1:3" x14ac:dyDescent="0.2">
      <c r="A110" s="76"/>
      <c r="C110" s="76"/>
    </row>
    <row r="111" spans="1:3" x14ac:dyDescent="0.2">
      <c r="A111" s="76"/>
      <c r="C111" s="76"/>
    </row>
    <row r="112" spans="1:3" x14ac:dyDescent="0.2">
      <c r="A112" s="76"/>
      <c r="C112" s="76"/>
    </row>
    <row r="113" spans="1:3" x14ac:dyDescent="0.2">
      <c r="A113" s="76"/>
      <c r="C113" s="76"/>
    </row>
    <row r="114" spans="1:3" x14ac:dyDescent="0.2">
      <c r="A114" s="76"/>
      <c r="C114" s="76"/>
    </row>
    <row r="115" spans="1:3" x14ac:dyDescent="0.2">
      <c r="A115" s="76"/>
      <c r="C115" s="76"/>
    </row>
    <row r="116" spans="1:3" x14ac:dyDescent="0.2">
      <c r="A116" s="76"/>
      <c r="C116" s="76"/>
    </row>
    <row r="117" spans="1:3" x14ac:dyDescent="0.2">
      <c r="A117" s="76"/>
      <c r="C117" s="76"/>
    </row>
    <row r="118" spans="1:3" x14ac:dyDescent="0.2">
      <c r="A118" s="76"/>
      <c r="C118" s="76"/>
    </row>
    <row r="119" spans="1:3" x14ac:dyDescent="0.2">
      <c r="A119" s="76"/>
      <c r="C119" s="76"/>
    </row>
    <row r="120" spans="1:3" x14ac:dyDescent="0.2">
      <c r="A120" s="76"/>
      <c r="C120" s="76"/>
    </row>
    <row r="121" spans="1:3" x14ac:dyDescent="0.2">
      <c r="A121" s="76"/>
      <c r="C121" s="76"/>
    </row>
    <row r="122" spans="1:3" x14ac:dyDescent="0.2">
      <c r="A122" s="76"/>
      <c r="C122" s="76"/>
    </row>
    <row r="123" spans="1:3" x14ac:dyDescent="0.2">
      <c r="A123" s="76"/>
      <c r="C123" s="76"/>
    </row>
    <row r="124" spans="1:3" x14ac:dyDescent="0.2">
      <c r="A124" s="76"/>
      <c r="C124" s="76"/>
    </row>
    <row r="125" spans="1:3" x14ac:dyDescent="0.2">
      <c r="A125" s="76"/>
      <c r="C125" s="76"/>
    </row>
    <row r="126" spans="1:3" x14ac:dyDescent="0.2">
      <c r="A126" s="76"/>
      <c r="C126" s="76"/>
    </row>
    <row r="127" spans="1:3" x14ac:dyDescent="0.2">
      <c r="A127" s="76"/>
      <c r="C127" s="76"/>
    </row>
    <row r="128" spans="1:3" x14ac:dyDescent="0.2">
      <c r="A128" s="76"/>
      <c r="C128" s="76"/>
    </row>
    <row r="129" spans="1:3" x14ac:dyDescent="0.2">
      <c r="A129" s="76"/>
      <c r="C129" s="76"/>
    </row>
    <row r="130" spans="1:3" x14ac:dyDescent="0.2">
      <c r="A130" s="76"/>
      <c r="C130" s="76"/>
    </row>
    <row r="131" spans="1:3" x14ac:dyDescent="0.2">
      <c r="A131" s="76"/>
      <c r="C131" s="76"/>
    </row>
    <row r="132" spans="1:3" x14ac:dyDescent="0.2">
      <c r="A132" s="76"/>
      <c r="C132" s="76"/>
    </row>
    <row r="133" spans="1:3" x14ac:dyDescent="0.2">
      <c r="A133" s="76"/>
      <c r="C133" s="76"/>
    </row>
    <row r="134" spans="1:3" x14ac:dyDescent="0.2">
      <c r="A134" s="76"/>
      <c r="C134" s="76"/>
    </row>
    <row r="135" spans="1:3" x14ac:dyDescent="0.2">
      <c r="A135" s="76"/>
      <c r="C135" s="76"/>
    </row>
    <row r="136" spans="1:3" x14ac:dyDescent="0.2">
      <c r="A136" s="76"/>
      <c r="C136" s="76"/>
    </row>
    <row r="137" spans="1:3" x14ac:dyDescent="0.2">
      <c r="A137" s="76"/>
      <c r="C137" s="76"/>
    </row>
    <row r="138" spans="1:3" x14ac:dyDescent="0.2">
      <c r="A138" s="76"/>
      <c r="C138" s="76"/>
    </row>
    <row r="139" spans="1:3" x14ac:dyDescent="0.2">
      <c r="A139" s="76"/>
      <c r="C139" s="76"/>
    </row>
    <row r="140" spans="1:3" x14ac:dyDescent="0.2">
      <c r="A140" s="76"/>
      <c r="C140" s="76"/>
    </row>
    <row r="141" spans="1:3" x14ac:dyDescent="0.2">
      <c r="A141" s="76"/>
      <c r="C141" s="76"/>
    </row>
    <row r="142" spans="1:3" x14ac:dyDescent="0.2">
      <c r="A142" s="76"/>
      <c r="C142" s="76"/>
    </row>
    <row r="143" spans="1:3" x14ac:dyDescent="0.2">
      <c r="A143" s="76"/>
      <c r="C143" s="76"/>
    </row>
    <row r="144" spans="1:3" x14ac:dyDescent="0.2">
      <c r="A144" s="76"/>
      <c r="C144" s="76"/>
    </row>
    <row r="145" spans="1:3" x14ac:dyDescent="0.2">
      <c r="A145" s="76"/>
      <c r="C145" s="76"/>
    </row>
    <row r="146" spans="1:3" x14ac:dyDescent="0.2">
      <c r="A146" s="76"/>
      <c r="C146" s="76"/>
    </row>
    <row r="147" spans="1:3" x14ac:dyDescent="0.2">
      <c r="A147" s="76"/>
      <c r="C147" s="76"/>
    </row>
    <row r="148" spans="1:3" x14ac:dyDescent="0.2">
      <c r="A148" s="76"/>
      <c r="C148" s="76"/>
    </row>
    <row r="149" spans="1:3" x14ac:dyDescent="0.2">
      <c r="A149" s="76"/>
      <c r="C149" s="76"/>
    </row>
    <row r="150" spans="1:3" x14ac:dyDescent="0.2">
      <c r="A150" s="76"/>
      <c r="C150" s="76"/>
    </row>
    <row r="151" spans="1:3" x14ac:dyDescent="0.2">
      <c r="A151" s="76"/>
      <c r="C151" s="76"/>
    </row>
    <row r="152" spans="1:3" x14ac:dyDescent="0.2">
      <c r="A152" s="76"/>
      <c r="C152" s="76"/>
    </row>
    <row r="153" spans="1:3" x14ac:dyDescent="0.2">
      <c r="A153" s="76"/>
      <c r="C153" s="76"/>
    </row>
    <row r="154" spans="1:3" x14ac:dyDescent="0.2">
      <c r="A154" s="76"/>
      <c r="C154" s="76"/>
    </row>
    <row r="155" spans="1:3" x14ac:dyDescent="0.2">
      <c r="A155" s="76"/>
      <c r="C155" s="76"/>
    </row>
    <row r="156" spans="1:3" x14ac:dyDescent="0.2">
      <c r="A156" s="76"/>
      <c r="C156" s="76"/>
    </row>
    <row r="157" spans="1:3" x14ac:dyDescent="0.2">
      <c r="A157" s="76"/>
      <c r="C157" s="76"/>
    </row>
    <row r="158" spans="1:3" x14ac:dyDescent="0.2">
      <c r="A158" s="76"/>
      <c r="C158" s="76"/>
    </row>
    <row r="159" spans="1:3" x14ac:dyDescent="0.2">
      <c r="A159" s="76"/>
      <c r="C159" s="76"/>
    </row>
    <row r="160" spans="1:3" x14ac:dyDescent="0.2">
      <c r="A160" s="76"/>
      <c r="C160" s="76"/>
    </row>
    <row r="161" spans="1:3" x14ac:dyDescent="0.2">
      <c r="A161" s="76"/>
      <c r="C161" s="76"/>
    </row>
    <row r="162" spans="1:3" x14ac:dyDescent="0.2">
      <c r="A162" s="76"/>
      <c r="C162" s="76"/>
    </row>
    <row r="163" spans="1:3" x14ac:dyDescent="0.2">
      <c r="A163" s="76"/>
      <c r="C163" s="76"/>
    </row>
    <row r="164" spans="1:3" x14ac:dyDescent="0.2">
      <c r="A164" s="76"/>
      <c r="C164" s="76"/>
    </row>
    <row r="165" spans="1:3" x14ac:dyDescent="0.2">
      <c r="A165" s="76"/>
      <c r="C165" s="76"/>
    </row>
    <row r="166" spans="1:3" x14ac:dyDescent="0.2">
      <c r="A166" s="76"/>
      <c r="C166" s="76"/>
    </row>
    <row r="167" spans="1:3" x14ac:dyDescent="0.2">
      <c r="A167" s="76"/>
      <c r="C167" s="76"/>
    </row>
    <row r="168" spans="1:3" x14ac:dyDescent="0.2">
      <c r="A168" s="76"/>
      <c r="C168" s="76"/>
    </row>
    <row r="169" spans="1:3" x14ac:dyDescent="0.2">
      <c r="A169" s="76"/>
      <c r="C169" s="76"/>
    </row>
    <row r="170" spans="1:3" x14ac:dyDescent="0.2">
      <c r="A170" s="76"/>
      <c r="C170" s="76"/>
    </row>
    <row r="171" spans="1:3" x14ac:dyDescent="0.2">
      <c r="A171" s="76"/>
      <c r="C171" s="76"/>
    </row>
    <row r="172" spans="1:3" x14ac:dyDescent="0.2">
      <c r="A172" s="76"/>
      <c r="C172" s="76"/>
    </row>
    <row r="173" spans="1:3" x14ac:dyDescent="0.2">
      <c r="A173" s="76"/>
      <c r="C173" s="76"/>
    </row>
    <row r="174" spans="1:3" x14ac:dyDescent="0.2">
      <c r="A174" s="76"/>
      <c r="C174" s="76"/>
    </row>
    <row r="175" spans="1:3" x14ac:dyDescent="0.2">
      <c r="A175" s="76"/>
      <c r="C175" s="76"/>
    </row>
    <row r="176" spans="1:3" x14ac:dyDescent="0.2">
      <c r="A176" s="76"/>
      <c r="C176" s="76"/>
    </row>
    <row r="177" spans="1:3" x14ac:dyDescent="0.2">
      <c r="A177" s="76"/>
      <c r="C177" s="76"/>
    </row>
    <row r="178" spans="1:3" x14ac:dyDescent="0.2">
      <c r="A178" s="76"/>
      <c r="C178" s="76"/>
    </row>
    <row r="179" spans="1:3" x14ac:dyDescent="0.2">
      <c r="A179" s="76"/>
      <c r="C179" s="76"/>
    </row>
    <row r="180" spans="1:3" x14ac:dyDescent="0.2">
      <c r="A180" s="76"/>
      <c r="C180" s="76"/>
    </row>
    <row r="181" spans="1:3" x14ac:dyDescent="0.2">
      <c r="A181" s="76"/>
      <c r="C181" s="76"/>
    </row>
    <row r="182" spans="1:3" x14ac:dyDescent="0.2">
      <c r="A182" s="76"/>
      <c r="C182" s="76"/>
    </row>
    <row r="183" spans="1:3" x14ac:dyDescent="0.2">
      <c r="A183" s="76"/>
      <c r="C183" s="76"/>
    </row>
    <row r="184" spans="1:3" x14ac:dyDescent="0.2">
      <c r="A184" s="76"/>
      <c r="C184" s="76"/>
    </row>
    <row r="185" spans="1:3" x14ac:dyDescent="0.2">
      <c r="A185" s="76"/>
      <c r="C185" s="76"/>
    </row>
    <row r="186" spans="1:3" x14ac:dyDescent="0.2">
      <c r="A186" s="76"/>
      <c r="C186" s="76"/>
    </row>
    <row r="187" spans="1:3" x14ac:dyDescent="0.2">
      <c r="A187" s="76"/>
      <c r="C187" s="76"/>
    </row>
    <row r="188" spans="1:3" x14ac:dyDescent="0.2">
      <c r="A188" s="76"/>
      <c r="C188" s="76"/>
    </row>
    <row r="189" spans="1:3" x14ac:dyDescent="0.2">
      <c r="A189" s="76"/>
      <c r="C189" s="76"/>
    </row>
    <row r="190" spans="1:3" x14ac:dyDescent="0.2">
      <c r="A190" s="76"/>
      <c r="C190" s="76"/>
    </row>
    <row r="191" spans="1:3" x14ac:dyDescent="0.2">
      <c r="A191" s="76"/>
      <c r="C191" s="76"/>
    </row>
    <row r="192" spans="1:3" x14ac:dyDescent="0.2">
      <c r="A192" s="76"/>
      <c r="C192" s="76"/>
    </row>
    <row r="193" spans="1:3" x14ac:dyDescent="0.2">
      <c r="A193" s="76"/>
      <c r="C193" s="76"/>
    </row>
    <row r="194" spans="1:3" x14ac:dyDescent="0.2">
      <c r="A194" s="76"/>
      <c r="C194" s="76"/>
    </row>
    <row r="195" spans="1:3" x14ac:dyDescent="0.2">
      <c r="A195" s="76"/>
      <c r="C195" s="76"/>
    </row>
    <row r="196" spans="1:3" x14ac:dyDescent="0.2">
      <c r="A196" s="76"/>
      <c r="C196" s="76"/>
    </row>
    <row r="197" spans="1:3" x14ac:dyDescent="0.2">
      <c r="A197" s="76"/>
      <c r="C197" s="76"/>
    </row>
    <row r="198" spans="1:3" x14ac:dyDescent="0.2">
      <c r="A198" s="76"/>
      <c r="C198" s="76"/>
    </row>
    <row r="199" spans="1:3" x14ac:dyDescent="0.2">
      <c r="A199" s="76"/>
      <c r="C199" s="76"/>
    </row>
    <row r="200" spans="1:3" x14ac:dyDescent="0.2">
      <c r="A200" s="76"/>
      <c r="C200" s="76"/>
    </row>
    <row r="201" spans="1:3" x14ac:dyDescent="0.2">
      <c r="A201" s="76"/>
      <c r="C201" s="76"/>
    </row>
    <row r="202" spans="1:3" x14ac:dyDescent="0.2">
      <c r="A202" s="76"/>
      <c r="C202" s="76"/>
    </row>
    <row r="203" spans="1:3" x14ac:dyDescent="0.2">
      <c r="A203" s="76"/>
      <c r="C203" s="76"/>
    </row>
    <row r="204" spans="1:3" x14ac:dyDescent="0.2">
      <c r="A204" s="76"/>
      <c r="C204" s="76"/>
    </row>
    <row r="205" spans="1:3" x14ac:dyDescent="0.2">
      <c r="A205" s="76"/>
      <c r="C205" s="76"/>
    </row>
    <row r="206" spans="1:3" x14ac:dyDescent="0.2">
      <c r="A206" s="76"/>
      <c r="C206" s="76"/>
    </row>
    <row r="207" spans="1:3" x14ac:dyDescent="0.2">
      <c r="A207" s="76"/>
      <c r="C207" s="76"/>
    </row>
    <row r="208" spans="1:3" x14ac:dyDescent="0.2">
      <c r="A208" s="76"/>
      <c r="C208" s="76"/>
    </row>
    <row r="209" spans="1:3" x14ac:dyDescent="0.2">
      <c r="A209" s="76"/>
      <c r="C209" s="76"/>
    </row>
    <row r="210" spans="1:3" x14ac:dyDescent="0.2">
      <c r="A210" s="76"/>
      <c r="C210" s="76"/>
    </row>
    <row r="211" spans="1:3" x14ac:dyDescent="0.2">
      <c r="A211" s="76"/>
      <c r="C211" s="76"/>
    </row>
    <row r="212" spans="1:3" x14ac:dyDescent="0.2">
      <c r="A212" s="76"/>
      <c r="C212" s="76"/>
    </row>
    <row r="213" spans="1:3" x14ac:dyDescent="0.2">
      <c r="A213" s="76"/>
      <c r="C213" s="76"/>
    </row>
    <row r="214" spans="1:3" x14ac:dyDescent="0.2">
      <c r="A214" s="76"/>
      <c r="C214" s="76"/>
    </row>
    <row r="215" spans="1:3" x14ac:dyDescent="0.2">
      <c r="A215" s="76"/>
      <c r="C215" s="76"/>
    </row>
    <row r="216" spans="1:3" x14ac:dyDescent="0.2">
      <c r="A216" s="76"/>
      <c r="C216" s="76"/>
    </row>
    <row r="217" spans="1:3" x14ac:dyDescent="0.2">
      <c r="A217" s="76"/>
      <c r="C217" s="76"/>
    </row>
    <row r="218" spans="1:3" x14ac:dyDescent="0.2">
      <c r="A218" s="76"/>
      <c r="C218" s="76"/>
    </row>
    <row r="219" spans="1:3" x14ac:dyDescent="0.2">
      <c r="A219" s="76"/>
      <c r="C219" s="76"/>
    </row>
    <row r="220" spans="1:3" x14ac:dyDescent="0.2">
      <c r="A220" s="76"/>
      <c r="C220" s="76"/>
    </row>
    <row r="221" spans="1:3" x14ac:dyDescent="0.2">
      <c r="A221" s="76"/>
      <c r="C221" s="76"/>
    </row>
    <row r="222" spans="1:3" x14ac:dyDescent="0.2">
      <c r="A222" s="76"/>
      <c r="C222" s="76"/>
    </row>
    <row r="223" spans="1:3" x14ac:dyDescent="0.2">
      <c r="A223" s="76"/>
      <c r="C223" s="76"/>
    </row>
    <row r="224" spans="1:3" x14ac:dyDescent="0.2">
      <c r="A224" s="76"/>
      <c r="C224" s="76"/>
    </row>
    <row r="225" spans="1:3" x14ac:dyDescent="0.2">
      <c r="A225" s="76"/>
      <c r="C225" s="76"/>
    </row>
    <row r="226" spans="1:3" x14ac:dyDescent="0.2">
      <c r="A226" s="76"/>
      <c r="C226" s="76"/>
    </row>
    <row r="227" spans="1:3" x14ac:dyDescent="0.2">
      <c r="A227" s="76"/>
      <c r="C227" s="76"/>
    </row>
    <row r="228" spans="1:3" x14ac:dyDescent="0.2">
      <c r="A228" s="76"/>
      <c r="C228" s="76"/>
    </row>
    <row r="229" spans="1:3" x14ac:dyDescent="0.2">
      <c r="A229" s="76"/>
      <c r="C229" s="76"/>
    </row>
    <row r="230" spans="1:3" x14ac:dyDescent="0.2">
      <c r="A230" s="76"/>
      <c r="C230" s="76"/>
    </row>
    <row r="231" spans="1:3" x14ac:dyDescent="0.2">
      <c r="A231" s="76"/>
      <c r="C231" s="76"/>
    </row>
    <row r="232" spans="1:3" x14ac:dyDescent="0.2">
      <c r="A232" s="76"/>
      <c r="C232" s="76"/>
    </row>
    <row r="233" spans="1:3" x14ac:dyDescent="0.2">
      <c r="A233" s="76"/>
      <c r="C233" s="76"/>
    </row>
    <row r="234" spans="1:3" x14ac:dyDescent="0.2">
      <c r="A234" s="76"/>
      <c r="C234" s="76"/>
    </row>
    <row r="235" spans="1:3" x14ac:dyDescent="0.2">
      <c r="A235" s="76"/>
      <c r="C235" s="76"/>
    </row>
    <row r="236" spans="1:3" x14ac:dyDescent="0.2">
      <c r="A236" s="76"/>
      <c r="C236" s="76"/>
    </row>
    <row r="237" spans="1:3" x14ac:dyDescent="0.2">
      <c r="A237" s="76"/>
      <c r="C237" s="76"/>
    </row>
    <row r="238" spans="1:3" x14ac:dyDescent="0.2">
      <c r="A238" s="76"/>
      <c r="C238" s="76"/>
    </row>
    <row r="239" spans="1:3" x14ac:dyDescent="0.2">
      <c r="A239" s="76"/>
      <c r="C239" s="76"/>
    </row>
    <row r="240" spans="1:3" x14ac:dyDescent="0.2">
      <c r="A240" s="76"/>
      <c r="C240" s="76"/>
    </row>
    <row r="241" spans="1:3" x14ac:dyDescent="0.2">
      <c r="A241" s="76"/>
      <c r="C241" s="76"/>
    </row>
    <row r="242" spans="1:3" x14ac:dyDescent="0.2">
      <c r="A242" s="76"/>
      <c r="C242" s="76"/>
    </row>
    <row r="243" spans="1:3" x14ac:dyDescent="0.2">
      <c r="A243" s="76"/>
      <c r="C243" s="76"/>
    </row>
    <row r="244" spans="1:3" x14ac:dyDescent="0.2">
      <c r="A244" s="76"/>
      <c r="C244" s="76"/>
    </row>
    <row r="245" spans="1:3" x14ac:dyDescent="0.2">
      <c r="A245" s="76"/>
      <c r="C245" s="76"/>
    </row>
    <row r="246" spans="1:3" x14ac:dyDescent="0.2">
      <c r="A246" s="76"/>
      <c r="C246" s="76"/>
    </row>
    <row r="247" spans="1:3" x14ac:dyDescent="0.2">
      <c r="A247" s="76"/>
      <c r="C247" s="76"/>
    </row>
    <row r="248" spans="1:3" x14ac:dyDescent="0.2">
      <c r="A248" s="76"/>
      <c r="C248" s="76"/>
    </row>
    <row r="249" spans="1:3" x14ac:dyDescent="0.2">
      <c r="A249" s="76"/>
      <c r="C249" s="76"/>
    </row>
    <row r="250" spans="1:3" x14ac:dyDescent="0.2">
      <c r="A250" s="76"/>
      <c r="C250" s="76"/>
    </row>
    <row r="251" spans="1:3" x14ac:dyDescent="0.2">
      <c r="A251" s="76"/>
      <c r="C251" s="76"/>
    </row>
    <row r="252" spans="1:3" x14ac:dyDescent="0.2">
      <c r="A252" s="76"/>
      <c r="C252" s="76"/>
    </row>
    <row r="253" spans="1:3" x14ac:dyDescent="0.2">
      <c r="A253" s="76"/>
      <c r="C253" s="76"/>
    </row>
    <row r="254" spans="1:3" x14ac:dyDescent="0.2">
      <c r="A254" s="76"/>
      <c r="C254" s="76"/>
    </row>
    <row r="255" spans="1:3" x14ac:dyDescent="0.2">
      <c r="A255" s="76"/>
      <c r="C255" s="76"/>
    </row>
    <row r="256" spans="1:3" x14ac:dyDescent="0.2">
      <c r="A256" s="76"/>
      <c r="C256" s="76"/>
    </row>
    <row r="257" spans="1:3" x14ac:dyDescent="0.2">
      <c r="A257" s="76"/>
      <c r="C257" s="76"/>
    </row>
    <row r="258" spans="1:3" x14ac:dyDescent="0.2">
      <c r="A258" s="76"/>
      <c r="C258" s="76"/>
    </row>
    <row r="259" spans="1:3" x14ac:dyDescent="0.2">
      <c r="A259" s="76"/>
      <c r="C259" s="76"/>
    </row>
    <row r="260" spans="1:3" x14ac:dyDescent="0.2">
      <c r="A260" s="76"/>
      <c r="C260" s="76"/>
    </row>
    <row r="261" spans="1:3" x14ac:dyDescent="0.2">
      <c r="A261" s="76"/>
      <c r="C261" s="76"/>
    </row>
    <row r="262" spans="1:3" x14ac:dyDescent="0.2">
      <c r="A262" s="76"/>
      <c r="C262" s="76"/>
    </row>
    <row r="263" spans="1:3" x14ac:dyDescent="0.2">
      <c r="A263" s="76"/>
      <c r="C263" s="76"/>
    </row>
    <row r="264" spans="1:3" x14ac:dyDescent="0.2">
      <c r="A264" s="76"/>
      <c r="C264" s="76"/>
    </row>
    <row r="265" spans="1:3" x14ac:dyDescent="0.2">
      <c r="A265" s="76"/>
      <c r="C265" s="76"/>
    </row>
    <row r="266" spans="1:3" x14ac:dyDescent="0.2">
      <c r="A266" s="76"/>
      <c r="C266" s="76"/>
    </row>
    <row r="267" spans="1:3" x14ac:dyDescent="0.2">
      <c r="A267" s="76"/>
      <c r="C267" s="76"/>
    </row>
    <row r="268" spans="1:3" x14ac:dyDescent="0.2">
      <c r="A268" s="76"/>
      <c r="C268" s="76"/>
    </row>
    <row r="269" spans="1:3" x14ac:dyDescent="0.2">
      <c r="A269" s="76"/>
      <c r="C269" s="76"/>
    </row>
    <row r="270" spans="1:3" x14ac:dyDescent="0.2">
      <c r="A270" s="76"/>
      <c r="C270" s="76"/>
    </row>
    <row r="271" spans="1:3" x14ac:dyDescent="0.2">
      <c r="A271" s="76"/>
      <c r="C271" s="76"/>
    </row>
    <row r="272" spans="1:3" x14ac:dyDescent="0.2">
      <c r="A272" s="76"/>
      <c r="C272" s="76"/>
    </row>
    <row r="273" spans="1:3" x14ac:dyDescent="0.2">
      <c r="A273" s="76"/>
      <c r="C273" s="76"/>
    </row>
    <row r="274" spans="1:3" x14ac:dyDescent="0.2">
      <c r="A274" s="76"/>
      <c r="C274" s="76"/>
    </row>
    <row r="275" spans="1:3" x14ac:dyDescent="0.2">
      <c r="A275" s="76"/>
      <c r="C275" s="76"/>
    </row>
    <row r="276" spans="1:3" x14ac:dyDescent="0.2">
      <c r="A276" s="76"/>
      <c r="C276" s="76"/>
    </row>
    <row r="277" spans="1:3" x14ac:dyDescent="0.2">
      <c r="A277" s="76"/>
      <c r="C277" s="76"/>
    </row>
    <row r="278" spans="1:3" x14ac:dyDescent="0.2">
      <c r="A278" s="76"/>
      <c r="C278" s="76"/>
    </row>
    <row r="279" spans="1:3" x14ac:dyDescent="0.2">
      <c r="A279" s="76"/>
      <c r="C279" s="76"/>
    </row>
    <row r="280" spans="1:3" x14ac:dyDescent="0.2">
      <c r="A280" s="76"/>
      <c r="C280" s="76"/>
    </row>
    <row r="281" spans="1:3" x14ac:dyDescent="0.2">
      <c r="A281" s="76"/>
      <c r="C281" s="76"/>
    </row>
    <row r="282" spans="1:3" x14ac:dyDescent="0.2">
      <c r="A282" s="76"/>
      <c r="C282" s="76"/>
    </row>
    <row r="283" spans="1:3" x14ac:dyDescent="0.2">
      <c r="A283" s="76"/>
      <c r="C283" s="76"/>
    </row>
    <row r="284" spans="1:3" x14ac:dyDescent="0.2">
      <c r="A284" s="76"/>
      <c r="C284" s="76"/>
    </row>
    <row r="285" spans="1:3" x14ac:dyDescent="0.2">
      <c r="A285" s="76"/>
      <c r="C285" s="76"/>
    </row>
    <row r="286" spans="1:3" x14ac:dyDescent="0.2">
      <c r="A286" s="76"/>
      <c r="C286" s="76"/>
    </row>
    <row r="287" spans="1:3" x14ac:dyDescent="0.2">
      <c r="A287" s="76"/>
      <c r="C287" s="76"/>
    </row>
    <row r="288" spans="1:3" x14ac:dyDescent="0.2">
      <c r="A288" s="76"/>
      <c r="C288" s="76"/>
    </row>
    <row r="289" spans="1:3" x14ac:dyDescent="0.2">
      <c r="A289" s="76"/>
      <c r="C289" s="76"/>
    </row>
    <row r="290" spans="1:3" x14ac:dyDescent="0.2">
      <c r="A290" s="76"/>
      <c r="C290" s="76"/>
    </row>
    <row r="291" spans="1:3" x14ac:dyDescent="0.2">
      <c r="A291" s="76"/>
      <c r="C291" s="76"/>
    </row>
    <row r="292" spans="1:3" x14ac:dyDescent="0.2">
      <c r="A292" s="76"/>
      <c r="C292" s="76"/>
    </row>
    <row r="293" spans="1:3" x14ac:dyDescent="0.2">
      <c r="A293" s="76"/>
      <c r="C293" s="76"/>
    </row>
    <row r="294" spans="1:3" x14ac:dyDescent="0.2">
      <c r="A294" s="76"/>
      <c r="C294" s="76"/>
    </row>
    <row r="295" spans="1:3" x14ac:dyDescent="0.2">
      <c r="A295" s="76"/>
      <c r="C295" s="76"/>
    </row>
    <row r="296" spans="1:3" x14ac:dyDescent="0.2">
      <c r="A296" s="76"/>
      <c r="C296" s="76"/>
    </row>
    <row r="297" spans="1:3" x14ac:dyDescent="0.2">
      <c r="A297" s="76"/>
      <c r="C297" s="76"/>
    </row>
    <row r="298" spans="1:3" x14ac:dyDescent="0.2">
      <c r="A298" s="76"/>
      <c r="C298" s="76"/>
    </row>
    <row r="299" spans="1:3" x14ac:dyDescent="0.2">
      <c r="A299" s="76"/>
      <c r="C299" s="76"/>
    </row>
    <row r="300" spans="1:3" x14ac:dyDescent="0.2">
      <c r="A300" s="76"/>
      <c r="C300" s="76"/>
    </row>
    <row r="301" spans="1:3" x14ac:dyDescent="0.2">
      <c r="A301" s="76"/>
      <c r="C301" s="76"/>
    </row>
    <row r="302" spans="1:3" x14ac:dyDescent="0.2">
      <c r="A302" s="76"/>
      <c r="C302" s="76"/>
    </row>
    <row r="303" spans="1:3" x14ac:dyDescent="0.2">
      <c r="A303" s="76"/>
      <c r="C303" s="76"/>
    </row>
    <row r="304" spans="1:3" x14ac:dyDescent="0.2">
      <c r="A304" s="76"/>
      <c r="C304" s="76"/>
    </row>
    <row r="305" spans="1:3" x14ac:dyDescent="0.2">
      <c r="A305" s="76"/>
      <c r="C305" s="76"/>
    </row>
    <row r="306" spans="1:3" x14ac:dyDescent="0.2">
      <c r="A306" s="76"/>
      <c r="C306" s="76"/>
    </row>
    <row r="307" spans="1:3" x14ac:dyDescent="0.2">
      <c r="A307" s="76"/>
      <c r="C307" s="76"/>
    </row>
    <row r="308" spans="1:3" x14ac:dyDescent="0.2">
      <c r="A308" s="76"/>
      <c r="C308" s="76"/>
    </row>
    <row r="309" spans="1:3" x14ac:dyDescent="0.2">
      <c r="A309" s="76"/>
      <c r="C309" s="76"/>
    </row>
    <row r="310" spans="1:3" x14ac:dyDescent="0.2">
      <c r="A310" s="76"/>
      <c r="C310" s="76"/>
    </row>
    <row r="311" spans="1:3" x14ac:dyDescent="0.2">
      <c r="A311" s="76"/>
      <c r="C311" s="76"/>
    </row>
    <row r="312" spans="1:3" x14ac:dyDescent="0.2">
      <c r="A312" s="76"/>
      <c r="C312" s="76"/>
    </row>
    <row r="313" spans="1:3" x14ac:dyDescent="0.2">
      <c r="A313" s="76"/>
      <c r="C313" s="76"/>
    </row>
    <row r="314" spans="1:3" x14ac:dyDescent="0.2">
      <c r="A314" s="76"/>
      <c r="C314" s="76"/>
    </row>
    <row r="315" spans="1:3" x14ac:dyDescent="0.2">
      <c r="A315" s="76"/>
      <c r="C315" s="76"/>
    </row>
    <row r="316" spans="1:3" x14ac:dyDescent="0.2">
      <c r="A316" s="76"/>
      <c r="C316" s="76"/>
    </row>
    <row r="317" spans="1:3" x14ac:dyDescent="0.2">
      <c r="A317" s="76"/>
      <c r="C317" s="76"/>
    </row>
    <row r="318" spans="1:3" x14ac:dyDescent="0.2">
      <c r="A318" s="76"/>
      <c r="C318" s="76"/>
    </row>
    <row r="319" spans="1:3" x14ac:dyDescent="0.2">
      <c r="A319" s="76"/>
      <c r="C319" s="76"/>
    </row>
    <row r="320" spans="1:3" x14ac:dyDescent="0.2">
      <c r="A320" s="76"/>
      <c r="C320" s="76"/>
    </row>
    <row r="321" spans="1:3" x14ac:dyDescent="0.2">
      <c r="A321" s="76"/>
      <c r="C321" s="76"/>
    </row>
    <row r="322" spans="1:3" x14ac:dyDescent="0.2">
      <c r="A322" s="76"/>
      <c r="C322" s="76"/>
    </row>
    <row r="323" spans="1:3" x14ac:dyDescent="0.2">
      <c r="A323" s="76"/>
      <c r="C323" s="76"/>
    </row>
    <row r="324" spans="1:3" x14ac:dyDescent="0.2">
      <c r="A324" s="76"/>
      <c r="C324" s="76"/>
    </row>
    <row r="325" spans="1:3" x14ac:dyDescent="0.2">
      <c r="A325" s="76"/>
      <c r="C325" s="76"/>
    </row>
    <row r="326" spans="1:3" x14ac:dyDescent="0.2">
      <c r="A326" s="76"/>
      <c r="C326" s="76"/>
    </row>
    <row r="327" spans="1:3" x14ac:dyDescent="0.2">
      <c r="A327" s="76"/>
      <c r="C327" s="76"/>
    </row>
    <row r="328" spans="1:3" x14ac:dyDescent="0.2">
      <c r="A328" s="76"/>
      <c r="C328" s="76"/>
    </row>
    <row r="329" spans="1:3" x14ac:dyDescent="0.2">
      <c r="A329" s="76"/>
      <c r="C329" s="76"/>
    </row>
    <row r="330" spans="1:3" x14ac:dyDescent="0.2">
      <c r="A330" s="76"/>
      <c r="C330" s="76"/>
    </row>
    <row r="331" spans="1:3" x14ac:dyDescent="0.2">
      <c r="A331" s="76"/>
      <c r="C331" s="76"/>
    </row>
    <row r="332" spans="1:3" x14ac:dyDescent="0.2">
      <c r="A332" s="76"/>
      <c r="C332" s="76"/>
    </row>
    <row r="333" spans="1:3" x14ac:dyDescent="0.2">
      <c r="A333" s="76"/>
      <c r="C333" s="76"/>
    </row>
    <row r="334" spans="1:3" x14ac:dyDescent="0.2">
      <c r="A334" s="76"/>
      <c r="C334" s="76"/>
    </row>
    <row r="335" spans="1:3" x14ac:dyDescent="0.2">
      <c r="A335" s="76"/>
      <c r="C335" s="76"/>
    </row>
    <row r="336" spans="1:3" x14ac:dyDescent="0.2">
      <c r="A336" s="76"/>
      <c r="C336" s="76"/>
    </row>
    <row r="337" spans="1:3" x14ac:dyDescent="0.2">
      <c r="A337" s="76"/>
      <c r="C337" s="76"/>
    </row>
    <row r="338" spans="1:3" x14ac:dyDescent="0.2">
      <c r="A338" s="76"/>
      <c r="C338" s="76"/>
    </row>
    <row r="339" spans="1:3" x14ac:dyDescent="0.2">
      <c r="A339" s="76"/>
      <c r="C339" s="76"/>
    </row>
    <row r="340" spans="1:3" x14ac:dyDescent="0.2">
      <c r="A340" s="76"/>
      <c r="C340" s="76"/>
    </row>
    <row r="341" spans="1:3" x14ac:dyDescent="0.2">
      <c r="A341" s="76"/>
      <c r="C341" s="76"/>
    </row>
    <row r="342" spans="1:3" x14ac:dyDescent="0.2">
      <c r="A342" s="76"/>
      <c r="C342" s="76"/>
    </row>
    <row r="343" spans="1:3" x14ac:dyDescent="0.2">
      <c r="A343" s="76"/>
      <c r="C343" s="76"/>
    </row>
    <row r="344" spans="1:3" x14ac:dyDescent="0.2">
      <c r="A344" s="76"/>
      <c r="C344" s="76"/>
    </row>
    <row r="345" spans="1:3" x14ac:dyDescent="0.2">
      <c r="A345" s="76"/>
      <c r="C345" s="76"/>
    </row>
    <row r="346" spans="1:3" x14ac:dyDescent="0.2">
      <c r="A346" s="76"/>
      <c r="C346" s="76"/>
    </row>
    <row r="347" spans="1:3" x14ac:dyDescent="0.2">
      <c r="A347" s="76"/>
      <c r="C347" s="76"/>
    </row>
    <row r="348" spans="1:3" x14ac:dyDescent="0.2">
      <c r="A348" s="76"/>
      <c r="C348" s="76"/>
    </row>
    <row r="349" spans="1:3" x14ac:dyDescent="0.2">
      <c r="A349" s="76"/>
      <c r="C349" s="76"/>
    </row>
    <row r="350" spans="1:3" x14ac:dyDescent="0.2">
      <c r="A350" s="76"/>
      <c r="C350" s="76"/>
    </row>
    <row r="351" spans="1:3" x14ac:dyDescent="0.2">
      <c r="A351" s="76"/>
      <c r="C351" s="76"/>
    </row>
    <row r="352" spans="1:3" x14ac:dyDescent="0.2">
      <c r="A352" s="76"/>
      <c r="C352" s="76"/>
    </row>
    <row r="353" spans="1:3" x14ac:dyDescent="0.2">
      <c r="A353" s="76"/>
      <c r="C353" s="76"/>
    </row>
    <row r="354" spans="1:3" x14ac:dyDescent="0.2">
      <c r="A354" s="76"/>
      <c r="C354" s="76"/>
    </row>
    <row r="355" spans="1:3" x14ac:dyDescent="0.2">
      <c r="A355" s="76"/>
      <c r="C355" s="76"/>
    </row>
    <row r="356" spans="1:3" x14ac:dyDescent="0.2">
      <c r="A356" s="76"/>
      <c r="C356" s="76"/>
    </row>
    <row r="357" spans="1:3" x14ac:dyDescent="0.2">
      <c r="A357" s="76"/>
      <c r="C357" s="76"/>
    </row>
    <row r="358" spans="1:3" x14ac:dyDescent="0.2">
      <c r="A358" s="76"/>
      <c r="C358" s="76"/>
    </row>
    <row r="359" spans="1:3" x14ac:dyDescent="0.2">
      <c r="A359" s="76"/>
      <c r="C359" s="76"/>
    </row>
    <row r="360" spans="1:3" x14ac:dyDescent="0.2">
      <c r="A360" s="76"/>
      <c r="C360" s="76"/>
    </row>
    <row r="361" spans="1:3" x14ac:dyDescent="0.2">
      <c r="A361" s="76"/>
      <c r="C361" s="76"/>
    </row>
    <row r="362" spans="1:3" x14ac:dyDescent="0.2">
      <c r="A362" s="76"/>
      <c r="C362" s="76"/>
    </row>
    <row r="363" spans="1:3" x14ac:dyDescent="0.2">
      <c r="A363" s="76"/>
      <c r="C363" s="76"/>
    </row>
    <row r="364" spans="1:3" x14ac:dyDescent="0.2">
      <c r="A364" s="76"/>
      <c r="C364" s="76"/>
    </row>
    <row r="365" spans="1:3" x14ac:dyDescent="0.2">
      <c r="A365" s="76"/>
      <c r="C365" s="76"/>
    </row>
    <row r="366" spans="1:3" x14ac:dyDescent="0.2">
      <c r="A366" s="76"/>
      <c r="C366" s="76"/>
    </row>
    <row r="367" spans="1:3" x14ac:dyDescent="0.2">
      <c r="A367" s="76"/>
      <c r="C367" s="76"/>
    </row>
    <row r="368" spans="1:3" x14ac:dyDescent="0.2">
      <c r="A368" s="76"/>
      <c r="C368" s="76"/>
    </row>
    <row r="369" spans="1:3" x14ac:dyDescent="0.2">
      <c r="A369" s="76"/>
      <c r="C369" s="76"/>
    </row>
    <row r="370" spans="1:3" x14ac:dyDescent="0.2">
      <c r="A370" s="76"/>
      <c r="C370" s="76"/>
    </row>
    <row r="371" spans="1:3" x14ac:dyDescent="0.2">
      <c r="A371" s="76"/>
      <c r="C371" s="76"/>
    </row>
    <row r="372" spans="1:3" x14ac:dyDescent="0.2">
      <c r="A372" s="76"/>
      <c r="C372" s="76"/>
    </row>
    <row r="373" spans="1:3" x14ac:dyDescent="0.2">
      <c r="A373" s="76"/>
      <c r="C373" s="76"/>
    </row>
    <row r="374" spans="1:3" x14ac:dyDescent="0.2">
      <c r="A374" s="76"/>
      <c r="C374" s="76"/>
    </row>
    <row r="375" spans="1:3" x14ac:dyDescent="0.2">
      <c r="A375" s="76"/>
      <c r="C375" s="76"/>
    </row>
    <row r="376" spans="1:3" x14ac:dyDescent="0.2">
      <c r="A376" s="76"/>
      <c r="C376" s="76"/>
    </row>
    <row r="377" spans="1:3" x14ac:dyDescent="0.2">
      <c r="A377" s="76"/>
      <c r="C377" s="76"/>
    </row>
    <row r="378" spans="1:3" x14ac:dyDescent="0.2">
      <c r="A378" s="76"/>
      <c r="C378" s="76"/>
    </row>
    <row r="379" spans="1:3" x14ac:dyDescent="0.2">
      <c r="A379" s="76"/>
      <c r="C379" s="76"/>
    </row>
    <row r="380" spans="1:3" x14ac:dyDescent="0.2">
      <c r="A380" s="76"/>
      <c r="C380" s="76"/>
    </row>
    <row r="381" spans="1:3" x14ac:dyDescent="0.2">
      <c r="A381" s="76"/>
      <c r="C381" s="76"/>
    </row>
    <row r="382" spans="1:3" x14ac:dyDescent="0.2">
      <c r="A382" s="76"/>
      <c r="C382" s="76"/>
    </row>
    <row r="383" spans="1:3" x14ac:dyDescent="0.2">
      <c r="A383" s="76"/>
      <c r="C383" s="76"/>
    </row>
    <row r="384" spans="1:3" x14ac:dyDescent="0.2">
      <c r="A384" s="76"/>
      <c r="C384" s="76"/>
    </row>
    <row r="385" spans="1:3" x14ac:dyDescent="0.2">
      <c r="A385" s="76"/>
      <c r="C385" s="76"/>
    </row>
    <row r="386" spans="1:3" x14ac:dyDescent="0.2">
      <c r="A386" s="76"/>
      <c r="C386" s="76"/>
    </row>
    <row r="387" spans="1:3" x14ac:dyDescent="0.2">
      <c r="A387" s="76"/>
      <c r="C387" s="76"/>
    </row>
    <row r="388" spans="1:3" x14ac:dyDescent="0.2">
      <c r="A388" s="76"/>
      <c r="C388" s="76"/>
    </row>
    <row r="389" spans="1:3" x14ac:dyDescent="0.2">
      <c r="A389" s="76"/>
      <c r="C389" s="76"/>
    </row>
    <row r="390" spans="1:3" x14ac:dyDescent="0.2">
      <c r="A390" s="76"/>
      <c r="C390" s="76"/>
    </row>
    <row r="391" spans="1:3" x14ac:dyDescent="0.2">
      <c r="A391" s="76"/>
      <c r="C391" s="76"/>
    </row>
    <row r="392" spans="1:3" x14ac:dyDescent="0.2">
      <c r="A392" s="76"/>
      <c r="C392" s="76"/>
    </row>
    <row r="393" spans="1:3" x14ac:dyDescent="0.2">
      <c r="A393" s="76"/>
      <c r="C393" s="76"/>
    </row>
    <row r="394" spans="1:3" x14ac:dyDescent="0.2">
      <c r="A394" s="76"/>
      <c r="C394" s="76"/>
    </row>
    <row r="395" spans="1:3" x14ac:dyDescent="0.2">
      <c r="A395" s="76"/>
      <c r="C395" s="76"/>
    </row>
    <row r="396" spans="1:3" x14ac:dyDescent="0.2">
      <c r="A396" s="76"/>
      <c r="C396" s="76"/>
    </row>
    <row r="397" spans="1:3" x14ac:dyDescent="0.2">
      <c r="A397" s="76"/>
      <c r="C397" s="76"/>
    </row>
    <row r="398" spans="1:3" x14ac:dyDescent="0.2">
      <c r="A398" s="76"/>
      <c r="C398" s="76"/>
    </row>
    <row r="399" spans="1:3" x14ac:dyDescent="0.2">
      <c r="A399" s="76"/>
      <c r="C399" s="76"/>
    </row>
    <row r="400" spans="1:3" x14ac:dyDescent="0.2">
      <c r="A400" s="76"/>
      <c r="C400" s="76"/>
    </row>
    <row r="401" spans="1:3" x14ac:dyDescent="0.2">
      <c r="A401" s="76"/>
      <c r="C401" s="76"/>
    </row>
    <row r="402" spans="1:3" x14ac:dyDescent="0.2">
      <c r="A402" s="76"/>
      <c r="C402" s="76"/>
    </row>
    <row r="403" spans="1:3" x14ac:dyDescent="0.2">
      <c r="A403" s="76"/>
      <c r="C403" s="76"/>
    </row>
    <row r="404" spans="1:3" x14ac:dyDescent="0.2">
      <c r="A404" s="76"/>
      <c r="C404" s="76"/>
    </row>
    <row r="405" spans="1:3" x14ac:dyDescent="0.2">
      <c r="A405" s="76"/>
      <c r="C405" s="76"/>
    </row>
    <row r="406" spans="1:3" x14ac:dyDescent="0.2">
      <c r="A406" s="76"/>
      <c r="C406" s="76"/>
    </row>
    <row r="407" spans="1:3" x14ac:dyDescent="0.2">
      <c r="A407" s="76"/>
      <c r="C407" s="76"/>
    </row>
    <row r="408" spans="1:3" x14ac:dyDescent="0.2">
      <c r="A408" s="76"/>
      <c r="C408" s="76"/>
    </row>
    <row r="409" spans="1:3" x14ac:dyDescent="0.2">
      <c r="A409" s="76"/>
      <c r="C409" s="76"/>
    </row>
    <row r="410" spans="1:3" x14ac:dyDescent="0.2">
      <c r="A410" s="76"/>
      <c r="C410" s="76"/>
    </row>
    <row r="411" spans="1:3" x14ac:dyDescent="0.2">
      <c r="A411" s="76"/>
      <c r="C411" s="76"/>
    </row>
    <row r="412" spans="1:3" x14ac:dyDescent="0.2">
      <c r="A412" s="76"/>
      <c r="C412" s="76"/>
    </row>
    <row r="413" spans="1:3" x14ac:dyDescent="0.2">
      <c r="A413" s="76"/>
      <c r="C413" s="76"/>
    </row>
    <row r="414" spans="1:3" x14ac:dyDescent="0.2">
      <c r="A414" s="76"/>
      <c r="C414" s="76"/>
    </row>
    <row r="415" spans="1:3" x14ac:dyDescent="0.2">
      <c r="A415" s="76"/>
      <c r="C415" s="76"/>
    </row>
    <row r="416" spans="1:3" x14ac:dyDescent="0.2">
      <c r="A416" s="76"/>
      <c r="C416" s="76"/>
    </row>
    <row r="417" spans="1:3" x14ac:dyDescent="0.2">
      <c r="A417" s="76"/>
      <c r="C417" s="76"/>
    </row>
    <row r="418" spans="1:3" x14ac:dyDescent="0.2">
      <c r="A418" s="76"/>
      <c r="C418" s="76"/>
    </row>
    <row r="419" spans="1:3" x14ac:dyDescent="0.2">
      <c r="A419" s="76"/>
      <c r="C419" s="76"/>
    </row>
    <row r="420" spans="1:3" x14ac:dyDescent="0.2">
      <c r="A420" s="76"/>
      <c r="C420" s="76"/>
    </row>
    <row r="421" spans="1:3" x14ac:dyDescent="0.2">
      <c r="A421" s="76"/>
      <c r="C421" s="76"/>
    </row>
    <row r="422" spans="1:3" x14ac:dyDescent="0.2">
      <c r="A422" s="76"/>
      <c r="C422" s="76"/>
    </row>
    <row r="423" spans="1:3" x14ac:dyDescent="0.2">
      <c r="A423" s="76"/>
      <c r="C423" s="76"/>
    </row>
    <row r="424" spans="1:3" x14ac:dyDescent="0.2">
      <c r="A424" s="76"/>
      <c r="C424" s="76"/>
    </row>
    <row r="425" spans="1:3" x14ac:dyDescent="0.2">
      <c r="A425" s="76"/>
      <c r="C425" s="76"/>
    </row>
    <row r="426" spans="1:3" x14ac:dyDescent="0.2">
      <c r="A426" s="76"/>
      <c r="C426" s="76"/>
    </row>
    <row r="427" spans="1:3" x14ac:dyDescent="0.2">
      <c r="A427" s="76"/>
      <c r="C427" s="76"/>
    </row>
    <row r="428" spans="1:3" x14ac:dyDescent="0.2">
      <c r="A428" s="76"/>
      <c r="C428" s="76"/>
    </row>
    <row r="429" spans="1:3" x14ac:dyDescent="0.2">
      <c r="A429" s="76"/>
      <c r="C429" s="76"/>
    </row>
    <row r="430" spans="1:3" x14ac:dyDescent="0.2">
      <c r="A430" s="76"/>
      <c r="C430" s="76"/>
    </row>
    <row r="431" spans="1:3" x14ac:dyDescent="0.2">
      <c r="A431" s="76"/>
      <c r="C431" s="76"/>
    </row>
    <row r="432" spans="1:3" x14ac:dyDescent="0.2">
      <c r="A432" s="76"/>
      <c r="C432" s="76"/>
    </row>
    <row r="433" spans="1:3" x14ac:dyDescent="0.2">
      <c r="A433" s="76"/>
      <c r="C433" s="76"/>
    </row>
    <row r="434" spans="1:3" x14ac:dyDescent="0.2">
      <c r="A434" s="76"/>
      <c r="C434" s="76"/>
    </row>
    <row r="435" spans="1:3" x14ac:dyDescent="0.2">
      <c r="A435" s="76"/>
      <c r="C435" s="76"/>
    </row>
    <row r="436" spans="1:3" x14ac:dyDescent="0.2">
      <c r="A436" s="76"/>
      <c r="C436" s="76"/>
    </row>
    <row r="437" spans="1:3" x14ac:dyDescent="0.2">
      <c r="A437" s="76"/>
      <c r="C437" s="76"/>
    </row>
    <row r="438" spans="1:3" x14ac:dyDescent="0.2">
      <c r="A438" s="76"/>
      <c r="C438" s="76"/>
    </row>
    <row r="439" spans="1:3" x14ac:dyDescent="0.2">
      <c r="A439" s="76"/>
      <c r="C439" s="76"/>
    </row>
    <row r="440" spans="1:3" x14ac:dyDescent="0.2">
      <c r="A440" s="76"/>
      <c r="C440" s="76"/>
    </row>
    <row r="441" spans="1:3" x14ac:dyDescent="0.2">
      <c r="A441" s="76"/>
      <c r="C441" s="76"/>
    </row>
    <row r="442" spans="1:3" x14ac:dyDescent="0.2">
      <c r="A442" s="76"/>
      <c r="C442" s="76"/>
    </row>
    <row r="443" spans="1:3" x14ac:dyDescent="0.2">
      <c r="A443" s="76"/>
      <c r="C443" s="76"/>
    </row>
    <row r="444" spans="1:3" x14ac:dyDescent="0.2">
      <c r="A444" s="76"/>
      <c r="C444" s="76"/>
    </row>
    <row r="445" spans="1:3" x14ac:dyDescent="0.2">
      <c r="A445" s="76"/>
      <c r="C445" s="76"/>
    </row>
    <row r="446" spans="1:3" x14ac:dyDescent="0.2">
      <c r="A446" s="76"/>
      <c r="C446" s="76"/>
    </row>
    <row r="447" spans="1:3" x14ac:dyDescent="0.2">
      <c r="A447" s="76"/>
      <c r="C447" s="76"/>
    </row>
    <row r="448" spans="1:3" x14ac:dyDescent="0.2">
      <c r="A448" s="76"/>
      <c r="C448" s="76"/>
    </row>
    <row r="449" spans="1:3" x14ac:dyDescent="0.2">
      <c r="A449" s="76"/>
      <c r="C449" s="76"/>
    </row>
    <row r="450" spans="1:3" x14ac:dyDescent="0.2">
      <c r="A450" s="76"/>
      <c r="C450" s="76"/>
    </row>
    <row r="451" spans="1:3" x14ac:dyDescent="0.2">
      <c r="A451" s="76"/>
      <c r="C451" s="76"/>
    </row>
    <row r="452" spans="1:3" x14ac:dyDescent="0.2">
      <c r="A452" s="76"/>
      <c r="C452" s="76"/>
    </row>
    <row r="453" spans="1:3" x14ac:dyDescent="0.2">
      <c r="A453" s="76"/>
      <c r="C453" s="76"/>
    </row>
    <row r="454" spans="1:3" x14ac:dyDescent="0.2">
      <c r="A454" s="76"/>
      <c r="C454" s="76"/>
    </row>
    <row r="455" spans="1:3" x14ac:dyDescent="0.2">
      <c r="A455" s="76"/>
      <c r="C455" s="76"/>
    </row>
    <row r="456" spans="1:3" x14ac:dyDescent="0.2">
      <c r="A456" s="76"/>
      <c r="C456" s="76"/>
    </row>
    <row r="457" spans="1:3" x14ac:dyDescent="0.2">
      <c r="A457" s="76"/>
      <c r="C457" s="76"/>
    </row>
    <row r="458" spans="1:3" x14ac:dyDescent="0.2">
      <c r="A458" s="76"/>
      <c r="C458" s="76"/>
    </row>
    <row r="459" spans="1:3" x14ac:dyDescent="0.2">
      <c r="A459" s="76"/>
      <c r="C459" s="76"/>
    </row>
    <row r="460" spans="1:3" x14ac:dyDescent="0.2">
      <c r="A460" s="76"/>
      <c r="C460" s="76"/>
    </row>
    <row r="461" spans="1:3" x14ac:dyDescent="0.2">
      <c r="A461" s="76"/>
      <c r="C461" s="76"/>
    </row>
    <row r="462" spans="1:3" x14ac:dyDescent="0.2">
      <c r="A462" s="76"/>
      <c r="C462" s="76"/>
    </row>
    <row r="463" spans="1:3" x14ac:dyDescent="0.2">
      <c r="A463" s="76"/>
      <c r="C463" s="76"/>
    </row>
    <row r="464" spans="1:3" x14ac:dyDescent="0.2">
      <c r="A464" s="76"/>
      <c r="C464" s="76"/>
    </row>
    <row r="465" spans="1:3" x14ac:dyDescent="0.2">
      <c r="A465" s="76"/>
      <c r="C465" s="76"/>
    </row>
    <row r="466" spans="1:3" x14ac:dyDescent="0.2">
      <c r="A466" s="76"/>
      <c r="C466" s="76"/>
    </row>
    <row r="467" spans="1:3" x14ac:dyDescent="0.2">
      <c r="A467" s="76"/>
      <c r="C467" s="76"/>
    </row>
    <row r="468" spans="1:3" x14ac:dyDescent="0.2">
      <c r="A468" s="76"/>
      <c r="C468" s="76"/>
    </row>
    <row r="469" spans="1:3" x14ac:dyDescent="0.2">
      <c r="A469" s="76"/>
      <c r="C469" s="76"/>
    </row>
    <row r="470" spans="1:3" x14ac:dyDescent="0.2">
      <c r="A470" s="76"/>
      <c r="C470" s="76"/>
    </row>
    <row r="471" spans="1:3" x14ac:dyDescent="0.2">
      <c r="A471" s="76"/>
      <c r="C471" s="76"/>
    </row>
    <row r="472" spans="1:3" x14ac:dyDescent="0.2">
      <c r="A472" s="76"/>
      <c r="C472" s="76"/>
    </row>
    <row r="473" spans="1:3" x14ac:dyDescent="0.2">
      <c r="A473" s="76"/>
      <c r="C473" s="76"/>
    </row>
    <row r="474" spans="1:3" x14ac:dyDescent="0.2">
      <c r="A474" s="76"/>
      <c r="C474" s="76"/>
    </row>
    <row r="475" spans="1:3" x14ac:dyDescent="0.2">
      <c r="A475" s="76"/>
      <c r="C475" s="76"/>
    </row>
    <row r="476" spans="1:3" x14ac:dyDescent="0.2">
      <c r="A476" s="76"/>
      <c r="C476" s="76"/>
    </row>
    <row r="477" spans="1:3" x14ac:dyDescent="0.2">
      <c r="A477" s="76"/>
      <c r="C477" s="76"/>
    </row>
    <row r="478" spans="1:3" x14ac:dyDescent="0.2">
      <c r="A478" s="76"/>
      <c r="C478" s="76"/>
    </row>
    <row r="479" spans="1:3" x14ac:dyDescent="0.2">
      <c r="A479" s="76"/>
      <c r="C479" s="76"/>
    </row>
    <row r="480" spans="1:3" x14ac:dyDescent="0.2">
      <c r="A480" s="76"/>
      <c r="C480" s="76"/>
    </row>
    <row r="481" spans="1:3" x14ac:dyDescent="0.2">
      <c r="A481" s="76"/>
      <c r="C481" s="76"/>
    </row>
    <row r="482" spans="1:3" x14ac:dyDescent="0.2">
      <c r="A482" s="76"/>
      <c r="C482" s="76"/>
    </row>
    <row r="483" spans="1:3" x14ac:dyDescent="0.2">
      <c r="A483" s="76"/>
      <c r="C483" s="76"/>
    </row>
    <row r="484" spans="1:3" x14ac:dyDescent="0.2">
      <c r="A484" s="76"/>
      <c r="C484" s="76"/>
    </row>
    <row r="485" spans="1:3" x14ac:dyDescent="0.2">
      <c r="A485" s="76"/>
      <c r="C485" s="76"/>
    </row>
    <row r="486" spans="1:3" x14ac:dyDescent="0.2">
      <c r="A486" s="76"/>
      <c r="C486" s="76"/>
    </row>
    <row r="487" spans="1:3" x14ac:dyDescent="0.2">
      <c r="A487" s="76"/>
      <c r="C487" s="76"/>
    </row>
    <row r="488" spans="1:3" x14ac:dyDescent="0.2">
      <c r="A488" s="76"/>
      <c r="C488" s="76"/>
    </row>
    <row r="489" spans="1:3" x14ac:dyDescent="0.2">
      <c r="A489" s="76"/>
      <c r="C489" s="76"/>
    </row>
    <row r="490" spans="1:3" x14ac:dyDescent="0.2">
      <c r="A490" s="76"/>
      <c r="C490" s="76"/>
    </row>
    <row r="491" spans="1:3" x14ac:dyDescent="0.2">
      <c r="A491" s="76"/>
      <c r="C491" s="76"/>
    </row>
    <row r="492" spans="1:3" x14ac:dyDescent="0.2">
      <c r="A492" s="76"/>
      <c r="C492" s="76"/>
    </row>
    <row r="493" spans="1:3" x14ac:dyDescent="0.2">
      <c r="A493" s="76"/>
      <c r="C493" s="76"/>
    </row>
    <row r="494" spans="1:3" x14ac:dyDescent="0.2">
      <c r="A494" s="76"/>
      <c r="C494" s="76"/>
    </row>
    <row r="495" spans="1:3" x14ac:dyDescent="0.2">
      <c r="A495" s="76"/>
      <c r="C495" s="76"/>
    </row>
    <row r="496" spans="1:3" x14ac:dyDescent="0.2">
      <c r="A496" s="76"/>
      <c r="C496" s="76"/>
    </row>
    <row r="497" spans="1:3" x14ac:dyDescent="0.2">
      <c r="A497" s="76"/>
      <c r="C497" s="76"/>
    </row>
    <row r="498" spans="1:3" x14ac:dyDescent="0.2">
      <c r="A498" s="76"/>
      <c r="C498" s="76"/>
    </row>
    <row r="499" spans="1:3" x14ac:dyDescent="0.2">
      <c r="A499" s="76"/>
      <c r="C499" s="76"/>
    </row>
    <row r="500" spans="1:3" x14ac:dyDescent="0.2">
      <c r="A500" s="76"/>
      <c r="C500" s="76"/>
    </row>
    <row r="501" spans="1:3" x14ac:dyDescent="0.2">
      <c r="A501" s="76"/>
      <c r="C501" s="76"/>
    </row>
    <row r="502" spans="1:3" x14ac:dyDescent="0.2">
      <c r="A502" s="76"/>
      <c r="C502" s="76"/>
    </row>
    <row r="503" spans="1:3" x14ac:dyDescent="0.2">
      <c r="A503" s="76"/>
      <c r="C503" s="76"/>
    </row>
    <row r="504" spans="1:3" x14ac:dyDescent="0.2">
      <c r="A504" s="76"/>
      <c r="C504" s="76"/>
    </row>
    <row r="505" spans="1:3" x14ac:dyDescent="0.2">
      <c r="A505" s="76"/>
      <c r="C505" s="76"/>
    </row>
    <row r="506" spans="1:3" x14ac:dyDescent="0.2">
      <c r="A506" s="76"/>
      <c r="C506" s="76"/>
    </row>
    <row r="507" spans="1:3" x14ac:dyDescent="0.2">
      <c r="A507" s="76"/>
      <c r="C507" s="76"/>
    </row>
    <row r="508" spans="1:3" x14ac:dyDescent="0.2">
      <c r="A508" s="76"/>
      <c r="C508" s="76"/>
    </row>
    <row r="509" spans="1:3" x14ac:dyDescent="0.2">
      <c r="A509" s="76"/>
      <c r="C509" s="76"/>
    </row>
    <row r="510" spans="1:3" x14ac:dyDescent="0.2">
      <c r="A510" s="76"/>
      <c r="C510" s="76"/>
    </row>
    <row r="511" spans="1:3" x14ac:dyDescent="0.2">
      <c r="A511" s="76"/>
      <c r="C511" s="76"/>
    </row>
    <row r="512" spans="1:3" x14ac:dyDescent="0.2">
      <c r="A512" s="76"/>
      <c r="C512" s="76"/>
    </row>
    <row r="513" spans="1:3" x14ac:dyDescent="0.2">
      <c r="A513" s="76"/>
      <c r="C513" s="76"/>
    </row>
    <row r="514" spans="1:3" x14ac:dyDescent="0.2">
      <c r="A514" s="76"/>
      <c r="C514" s="76"/>
    </row>
    <row r="515" spans="1:3" x14ac:dyDescent="0.2">
      <c r="A515" s="76"/>
      <c r="C515" s="76"/>
    </row>
    <row r="516" spans="1:3" x14ac:dyDescent="0.2">
      <c r="A516" s="76"/>
      <c r="C516" s="76"/>
    </row>
    <row r="517" spans="1:3" x14ac:dyDescent="0.2">
      <c r="A517" s="76"/>
      <c r="C517" s="76"/>
    </row>
    <row r="518" spans="1:3" x14ac:dyDescent="0.2">
      <c r="A518" s="76"/>
      <c r="C518" s="76"/>
    </row>
    <row r="519" spans="1:3" x14ac:dyDescent="0.2">
      <c r="A519" s="76"/>
      <c r="C519" s="76"/>
    </row>
    <row r="520" spans="1:3" x14ac:dyDescent="0.2">
      <c r="A520" s="76"/>
      <c r="C520" s="76"/>
    </row>
    <row r="521" spans="1:3" x14ac:dyDescent="0.2">
      <c r="A521" s="76"/>
      <c r="C521" s="76"/>
    </row>
    <row r="522" spans="1:3" x14ac:dyDescent="0.2">
      <c r="A522" s="76"/>
      <c r="C522" s="76"/>
    </row>
    <row r="523" spans="1:3" x14ac:dyDescent="0.2">
      <c r="A523" s="76"/>
      <c r="C523" s="76"/>
    </row>
    <row r="524" spans="1:3" x14ac:dyDescent="0.2">
      <c r="A524" s="76"/>
      <c r="C524" s="76"/>
    </row>
    <row r="525" spans="1:3" x14ac:dyDescent="0.2">
      <c r="A525" s="76"/>
      <c r="C525" s="76"/>
    </row>
    <row r="526" spans="1:3" x14ac:dyDescent="0.2">
      <c r="A526" s="76"/>
      <c r="C526" s="76"/>
    </row>
    <row r="527" spans="1:3" x14ac:dyDescent="0.2">
      <c r="A527" s="76"/>
      <c r="C527" s="76"/>
    </row>
    <row r="528" spans="1:3" x14ac:dyDescent="0.2">
      <c r="A528" s="76"/>
      <c r="C528" s="76"/>
    </row>
    <row r="529" spans="1:3" x14ac:dyDescent="0.2">
      <c r="A529" s="76"/>
      <c r="C529" s="76"/>
    </row>
    <row r="530" spans="1:3" x14ac:dyDescent="0.2">
      <c r="A530" s="76"/>
      <c r="C530" s="76"/>
    </row>
    <row r="531" spans="1:3" x14ac:dyDescent="0.2">
      <c r="A531" s="76"/>
      <c r="C531" s="76"/>
    </row>
    <row r="532" spans="1:3" x14ac:dyDescent="0.2">
      <c r="A532" s="76"/>
      <c r="C532" s="76"/>
    </row>
    <row r="533" spans="1:3" x14ac:dyDescent="0.2">
      <c r="A533" s="76"/>
      <c r="C533" s="76"/>
    </row>
    <row r="534" spans="1:3" x14ac:dyDescent="0.2">
      <c r="A534" s="76"/>
      <c r="C534" s="76"/>
    </row>
    <row r="535" spans="1:3" x14ac:dyDescent="0.2">
      <c r="A535" s="76"/>
      <c r="C535" s="76"/>
    </row>
    <row r="536" spans="1:3" x14ac:dyDescent="0.2">
      <c r="A536" s="76"/>
      <c r="C536" s="76"/>
    </row>
    <row r="537" spans="1:3" x14ac:dyDescent="0.2">
      <c r="A537" s="76"/>
      <c r="C537" s="76"/>
    </row>
    <row r="538" spans="1:3" x14ac:dyDescent="0.2">
      <c r="A538" s="76"/>
      <c r="C538" s="76"/>
    </row>
    <row r="539" spans="1:3" x14ac:dyDescent="0.2">
      <c r="A539" s="76"/>
      <c r="C539" s="76"/>
    </row>
    <row r="540" spans="1:3" x14ac:dyDescent="0.2">
      <c r="A540" s="76"/>
      <c r="C540" s="76"/>
    </row>
    <row r="541" spans="1:3" x14ac:dyDescent="0.2">
      <c r="A541" s="76"/>
      <c r="C541" s="76"/>
    </row>
    <row r="542" spans="1:3" x14ac:dyDescent="0.2">
      <c r="A542" s="76"/>
      <c r="C542" s="76"/>
    </row>
    <row r="543" spans="1:3" x14ac:dyDescent="0.2">
      <c r="A543" s="76"/>
      <c r="C543" s="76"/>
    </row>
    <row r="544" spans="1:3" x14ac:dyDescent="0.2">
      <c r="A544" s="76"/>
      <c r="C544" s="76"/>
    </row>
    <row r="545" spans="1:3" x14ac:dyDescent="0.2">
      <c r="A545" s="76"/>
      <c r="C545" s="76"/>
    </row>
    <row r="546" spans="1:3" x14ac:dyDescent="0.2">
      <c r="A546" s="76"/>
      <c r="C546" s="76"/>
    </row>
    <row r="547" spans="1:3" x14ac:dyDescent="0.2">
      <c r="A547" s="76"/>
      <c r="C547" s="76"/>
    </row>
    <row r="548" spans="1:3" x14ac:dyDescent="0.2">
      <c r="A548" s="76"/>
      <c r="C548" s="76"/>
    </row>
    <row r="549" spans="1:3" x14ac:dyDescent="0.2">
      <c r="A549" s="76"/>
      <c r="C549" s="76"/>
    </row>
    <row r="550" spans="1:3" x14ac:dyDescent="0.2">
      <c r="A550" s="76"/>
      <c r="C550" s="76"/>
    </row>
    <row r="551" spans="1:3" x14ac:dyDescent="0.2">
      <c r="A551" s="76"/>
      <c r="C551" s="76"/>
    </row>
    <row r="552" spans="1:3" x14ac:dyDescent="0.2">
      <c r="A552" s="76"/>
      <c r="C552" s="76"/>
    </row>
    <row r="553" spans="1:3" x14ac:dyDescent="0.2">
      <c r="A553" s="76"/>
      <c r="C553" s="76"/>
    </row>
    <row r="554" spans="1:3" x14ac:dyDescent="0.2">
      <c r="A554" s="76"/>
      <c r="C554" s="76"/>
    </row>
    <row r="555" spans="1:3" x14ac:dyDescent="0.2">
      <c r="A555" s="76"/>
      <c r="C555" s="76"/>
    </row>
    <row r="556" spans="1:3" x14ac:dyDescent="0.2">
      <c r="A556" s="76"/>
      <c r="C556" s="76"/>
    </row>
    <row r="557" spans="1:3" x14ac:dyDescent="0.2">
      <c r="A557" s="76"/>
      <c r="C557" s="76"/>
    </row>
    <row r="558" spans="1:3" x14ac:dyDescent="0.2">
      <c r="A558" s="76"/>
      <c r="C558" s="76"/>
    </row>
    <row r="559" spans="1:3" x14ac:dyDescent="0.2">
      <c r="A559" s="76"/>
      <c r="C559" s="76"/>
    </row>
    <row r="560" spans="1:3" x14ac:dyDescent="0.2">
      <c r="A560" s="76"/>
      <c r="C560" s="76"/>
    </row>
    <row r="561" spans="1:3" x14ac:dyDescent="0.2">
      <c r="A561" s="76"/>
      <c r="C561" s="76"/>
    </row>
    <row r="562" spans="1:3" x14ac:dyDescent="0.2">
      <c r="A562" s="76"/>
      <c r="C562" s="76"/>
    </row>
    <row r="563" spans="1:3" x14ac:dyDescent="0.2">
      <c r="A563" s="76"/>
      <c r="C563" s="76"/>
    </row>
    <row r="564" spans="1:3" x14ac:dyDescent="0.2">
      <c r="A564" s="76"/>
      <c r="C564" s="76"/>
    </row>
    <row r="565" spans="1:3" x14ac:dyDescent="0.2">
      <c r="A565" s="76"/>
      <c r="C565" s="76"/>
    </row>
    <row r="566" spans="1:3" x14ac:dyDescent="0.2">
      <c r="A566" s="76"/>
      <c r="C566" s="76"/>
    </row>
    <row r="567" spans="1:3" x14ac:dyDescent="0.2">
      <c r="A567" s="76"/>
      <c r="C567" s="76"/>
    </row>
    <row r="568" spans="1:3" x14ac:dyDescent="0.2">
      <c r="A568" s="76"/>
      <c r="C568" s="76"/>
    </row>
    <row r="569" spans="1:3" x14ac:dyDescent="0.2">
      <c r="A569" s="76"/>
      <c r="C569" s="76"/>
    </row>
    <row r="570" spans="1:3" x14ac:dyDescent="0.2">
      <c r="A570" s="76"/>
      <c r="C570" s="76"/>
    </row>
    <row r="571" spans="1:3" x14ac:dyDescent="0.2">
      <c r="A571" s="76"/>
      <c r="C571" s="76"/>
    </row>
    <row r="572" spans="1:3" x14ac:dyDescent="0.2">
      <c r="A572" s="76"/>
      <c r="C572" s="76"/>
    </row>
    <row r="573" spans="1:3" x14ac:dyDescent="0.2">
      <c r="A573" s="76"/>
      <c r="C573" s="76"/>
    </row>
    <row r="574" spans="1:3" x14ac:dyDescent="0.2">
      <c r="A574" s="76"/>
      <c r="C574" s="76"/>
    </row>
    <row r="575" spans="1:3" x14ac:dyDescent="0.2">
      <c r="A575" s="76"/>
      <c r="C575" s="76"/>
    </row>
    <row r="576" spans="1:3" x14ac:dyDescent="0.2">
      <c r="A576" s="76"/>
      <c r="C576" s="76"/>
    </row>
    <row r="577" spans="1:3" x14ac:dyDescent="0.2">
      <c r="A577" s="76"/>
      <c r="C577" s="76"/>
    </row>
    <row r="578" spans="1:3" x14ac:dyDescent="0.2">
      <c r="A578" s="76"/>
      <c r="C578" s="76"/>
    </row>
    <row r="579" spans="1:3" x14ac:dyDescent="0.2">
      <c r="A579" s="76"/>
      <c r="C579" s="76"/>
    </row>
    <row r="580" spans="1:3" x14ac:dyDescent="0.2">
      <c r="A580" s="76"/>
      <c r="C580" s="76"/>
    </row>
    <row r="581" spans="1:3" x14ac:dyDescent="0.2">
      <c r="A581" s="76"/>
      <c r="C581" s="76"/>
    </row>
    <row r="582" spans="1:3" x14ac:dyDescent="0.2">
      <c r="A582" s="76"/>
      <c r="C582" s="76"/>
    </row>
    <row r="583" spans="1:3" x14ac:dyDescent="0.2">
      <c r="A583" s="76"/>
      <c r="C583" s="76"/>
    </row>
    <row r="584" spans="1:3" x14ac:dyDescent="0.2">
      <c r="A584" s="76"/>
      <c r="C584" s="76"/>
    </row>
    <row r="585" spans="1:3" x14ac:dyDescent="0.2">
      <c r="A585" s="76"/>
      <c r="C585" s="76"/>
    </row>
    <row r="586" spans="1:3" x14ac:dyDescent="0.2">
      <c r="A586" s="76"/>
      <c r="C586" s="76"/>
    </row>
    <row r="587" spans="1:3" x14ac:dyDescent="0.2">
      <c r="A587" s="76"/>
      <c r="C587" s="76"/>
    </row>
    <row r="588" spans="1:3" x14ac:dyDescent="0.2">
      <c r="A588" s="76"/>
      <c r="C588" s="76"/>
    </row>
    <row r="589" spans="1:3" x14ac:dyDescent="0.2">
      <c r="A589" s="76"/>
      <c r="C589" s="76"/>
    </row>
    <row r="590" spans="1:3" x14ac:dyDescent="0.2">
      <c r="A590" s="76"/>
      <c r="C590" s="76"/>
    </row>
    <row r="591" spans="1:3" x14ac:dyDescent="0.2">
      <c r="A591" s="76"/>
      <c r="C591" s="76"/>
    </row>
    <row r="592" spans="1:3" x14ac:dyDescent="0.2">
      <c r="A592" s="76"/>
      <c r="C592" s="76"/>
    </row>
    <row r="593" spans="1:3" x14ac:dyDescent="0.2">
      <c r="A593" s="76"/>
      <c r="C593" s="76"/>
    </row>
    <row r="594" spans="1:3" x14ac:dyDescent="0.2">
      <c r="A594" s="76"/>
      <c r="C594" s="76"/>
    </row>
    <row r="595" spans="1:3" x14ac:dyDescent="0.2">
      <c r="A595" s="76"/>
      <c r="C595" s="76"/>
    </row>
    <row r="596" spans="1:3" x14ac:dyDescent="0.2">
      <c r="A596" s="76"/>
      <c r="C596" s="76"/>
    </row>
    <row r="597" spans="1:3" x14ac:dyDescent="0.2">
      <c r="A597" s="76"/>
      <c r="C597" s="76"/>
    </row>
    <row r="598" spans="1:3" x14ac:dyDescent="0.2">
      <c r="A598" s="76"/>
      <c r="C598" s="76"/>
    </row>
    <row r="599" spans="1:3" x14ac:dyDescent="0.2">
      <c r="A599" s="76"/>
      <c r="C599" s="76"/>
    </row>
    <row r="600" spans="1:3" x14ac:dyDescent="0.2">
      <c r="A600" s="76"/>
      <c r="C600" s="76"/>
    </row>
    <row r="601" spans="1:3" x14ac:dyDescent="0.2">
      <c r="A601" s="76"/>
      <c r="C601" s="76"/>
    </row>
    <row r="602" spans="1:3" x14ac:dyDescent="0.2">
      <c r="A602" s="76"/>
      <c r="C602" s="76"/>
    </row>
    <row r="603" spans="1:3" x14ac:dyDescent="0.2">
      <c r="A603" s="76"/>
      <c r="C603" s="76"/>
    </row>
    <row r="604" spans="1:3" x14ac:dyDescent="0.2">
      <c r="A604" s="76"/>
      <c r="C604" s="76"/>
    </row>
    <row r="605" spans="1:3" x14ac:dyDescent="0.2">
      <c r="A605" s="76"/>
      <c r="C605" s="76"/>
    </row>
    <row r="606" spans="1:3" x14ac:dyDescent="0.2">
      <c r="A606" s="76"/>
      <c r="C606" s="76"/>
    </row>
    <row r="607" spans="1:3" x14ac:dyDescent="0.2">
      <c r="A607" s="76"/>
      <c r="C607" s="76"/>
    </row>
    <row r="608" spans="1:3" x14ac:dyDescent="0.2">
      <c r="A608" s="76"/>
      <c r="C608" s="76"/>
    </row>
    <row r="609" spans="1:3" x14ac:dyDescent="0.2">
      <c r="A609" s="76"/>
      <c r="C609" s="76"/>
    </row>
    <row r="610" spans="1:3" x14ac:dyDescent="0.2">
      <c r="A610" s="76"/>
      <c r="C610" s="76"/>
    </row>
    <row r="611" spans="1:3" x14ac:dyDescent="0.2">
      <c r="A611" s="76"/>
      <c r="C611" s="76"/>
    </row>
    <row r="612" spans="1:3" x14ac:dyDescent="0.2">
      <c r="A612" s="76"/>
      <c r="C612" s="76"/>
    </row>
    <row r="613" spans="1:3" x14ac:dyDescent="0.2">
      <c r="A613" s="76"/>
      <c r="C613" s="76"/>
    </row>
    <row r="614" spans="1:3" x14ac:dyDescent="0.2">
      <c r="A614" s="76"/>
      <c r="C614" s="76"/>
    </row>
    <row r="615" spans="1:3" x14ac:dyDescent="0.2">
      <c r="A615" s="76"/>
      <c r="C615" s="76"/>
    </row>
    <row r="616" spans="1:3" x14ac:dyDescent="0.2">
      <c r="A616" s="76"/>
      <c r="C616" s="76"/>
    </row>
    <row r="617" spans="1:3" x14ac:dyDescent="0.2">
      <c r="A617" s="76"/>
      <c r="C617" s="76"/>
    </row>
    <row r="618" spans="1:3" x14ac:dyDescent="0.2">
      <c r="A618" s="76"/>
      <c r="C618" s="76"/>
    </row>
    <row r="619" spans="1:3" x14ac:dyDescent="0.2">
      <c r="A619" s="76"/>
      <c r="C619" s="76"/>
    </row>
    <row r="620" spans="1:3" x14ac:dyDescent="0.2">
      <c r="A620" s="76"/>
      <c r="C620" s="76"/>
    </row>
    <row r="621" spans="1:3" x14ac:dyDescent="0.2">
      <c r="A621" s="76"/>
      <c r="C621" s="76"/>
    </row>
    <row r="622" spans="1:3" x14ac:dyDescent="0.2">
      <c r="A622" s="76"/>
      <c r="C622" s="76"/>
    </row>
    <row r="623" spans="1:3" x14ac:dyDescent="0.2">
      <c r="A623" s="76"/>
      <c r="C623" s="76"/>
    </row>
    <row r="624" spans="1:3" x14ac:dyDescent="0.2">
      <c r="A624" s="76"/>
      <c r="C624" s="76"/>
    </row>
    <row r="625" spans="1:3" x14ac:dyDescent="0.2">
      <c r="A625" s="76"/>
      <c r="C625" s="76"/>
    </row>
    <row r="626" spans="1:3" x14ac:dyDescent="0.2">
      <c r="A626" s="76"/>
      <c r="C626" s="76"/>
    </row>
    <row r="627" spans="1:3" x14ac:dyDescent="0.2">
      <c r="A627" s="76"/>
      <c r="C627" s="76"/>
    </row>
    <row r="628" spans="1:3" x14ac:dyDescent="0.2">
      <c r="A628" s="76"/>
      <c r="C628" s="76"/>
    </row>
    <row r="629" spans="1:3" x14ac:dyDescent="0.2">
      <c r="A629" s="76"/>
      <c r="C629" s="76"/>
    </row>
    <row r="630" spans="1:3" x14ac:dyDescent="0.2">
      <c r="A630" s="76"/>
      <c r="C630" s="76"/>
    </row>
    <row r="631" spans="1:3" x14ac:dyDescent="0.2">
      <c r="A631" s="76"/>
      <c r="C631" s="76"/>
    </row>
    <row r="632" spans="1:3" x14ac:dyDescent="0.2">
      <c r="A632" s="76"/>
      <c r="C632" s="76"/>
    </row>
    <row r="633" spans="1:3" x14ac:dyDescent="0.2">
      <c r="A633" s="76"/>
      <c r="C633" s="76"/>
    </row>
    <row r="634" spans="1:3" x14ac:dyDescent="0.2">
      <c r="A634" s="76"/>
      <c r="C634" s="76"/>
    </row>
    <row r="635" spans="1:3" x14ac:dyDescent="0.2">
      <c r="A635" s="76"/>
      <c r="C635" s="76"/>
    </row>
    <row r="636" spans="1:3" x14ac:dyDescent="0.2">
      <c r="A636" s="76"/>
      <c r="C636" s="76"/>
    </row>
    <row r="637" spans="1:3" x14ac:dyDescent="0.2">
      <c r="A637" s="76"/>
      <c r="C637" s="76"/>
    </row>
    <row r="638" spans="1:3" x14ac:dyDescent="0.2">
      <c r="A638" s="76"/>
      <c r="C638" s="76"/>
    </row>
    <row r="639" spans="1:3" x14ac:dyDescent="0.2">
      <c r="A639" s="76"/>
      <c r="C639" s="76"/>
    </row>
    <row r="640" spans="1:3" x14ac:dyDescent="0.2">
      <c r="A640" s="76"/>
      <c r="C640" s="76"/>
    </row>
    <row r="641" spans="1:3" x14ac:dyDescent="0.2">
      <c r="A641" s="76"/>
      <c r="C641" s="76"/>
    </row>
    <row r="642" spans="1:3" x14ac:dyDescent="0.2">
      <c r="A642" s="76"/>
      <c r="C642" s="76"/>
    </row>
    <row r="643" spans="1:3" x14ac:dyDescent="0.2">
      <c r="A643" s="76"/>
      <c r="C643" s="76"/>
    </row>
    <row r="644" spans="1:3" x14ac:dyDescent="0.2">
      <c r="A644" s="76"/>
      <c r="C644" s="76"/>
    </row>
    <row r="645" spans="1:3" x14ac:dyDescent="0.2">
      <c r="A645" s="76"/>
      <c r="C645" s="76"/>
    </row>
    <row r="646" spans="1:3" x14ac:dyDescent="0.2">
      <c r="A646" s="76"/>
      <c r="C646" s="76"/>
    </row>
    <row r="647" spans="1:3" x14ac:dyDescent="0.2">
      <c r="A647" s="76"/>
      <c r="C647" s="76"/>
    </row>
    <row r="648" spans="1:3" x14ac:dyDescent="0.2">
      <c r="A648" s="76"/>
      <c r="C648" s="76"/>
    </row>
    <row r="649" spans="1:3" x14ac:dyDescent="0.2">
      <c r="A649" s="76"/>
      <c r="C649" s="76"/>
    </row>
    <row r="650" spans="1:3" x14ac:dyDescent="0.2">
      <c r="A650" s="76"/>
      <c r="C650" s="76"/>
    </row>
    <row r="651" spans="1:3" x14ac:dyDescent="0.2">
      <c r="A651" s="76"/>
      <c r="C651" s="76"/>
    </row>
    <row r="652" spans="1:3" x14ac:dyDescent="0.2">
      <c r="A652" s="76"/>
      <c r="C652" s="76"/>
    </row>
    <row r="653" spans="1:3" x14ac:dyDescent="0.2">
      <c r="A653" s="76"/>
      <c r="C653" s="76"/>
    </row>
    <row r="654" spans="1:3" x14ac:dyDescent="0.2">
      <c r="A654" s="76"/>
      <c r="C654" s="76"/>
    </row>
    <row r="655" spans="1:3" x14ac:dyDescent="0.2">
      <c r="A655" s="76"/>
      <c r="C655" s="76"/>
    </row>
    <row r="656" spans="1:3" x14ac:dyDescent="0.2">
      <c r="A656" s="76"/>
      <c r="C656" s="76"/>
    </row>
    <row r="657" spans="1:3" x14ac:dyDescent="0.2">
      <c r="A657" s="76"/>
      <c r="C657" s="76"/>
    </row>
    <row r="658" spans="1:3" x14ac:dyDescent="0.2">
      <c r="A658" s="76"/>
      <c r="C658" s="76"/>
    </row>
    <row r="659" spans="1:3" x14ac:dyDescent="0.2">
      <c r="A659" s="76"/>
      <c r="C659" s="76"/>
    </row>
    <row r="660" spans="1:3" x14ac:dyDescent="0.2">
      <c r="A660" s="76"/>
      <c r="C660" s="76"/>
    </row>
    <row r="661" spans="1:3" x14ac:dyDescent="0.2">
      <c r="A661" s="76"/>
      <c r="C661" s="76"/>
    </row>
    <row r="662" spans="1:3" x14ac:dyDescent="0.2">
      <c r="A662" s="76"/>
      <c r="C662" s="76"/>
    </row>
    <row r="663" spans="1:3" x14ac:dyDescent="0.2">
      <c r="A663" s="76"/>
      <c r="C663" s="76"/>
    </row>
    <row r="664" spans="1:3" x14ac:dyDescent="0.2">
      <c r="A664" s="76"/>
      <c r="C664" s="76"/>
    </row>
    <row r="665" spans="1:3" x14ac:dyDescent="0.2">
      <c r="A665" s="76"/>
      <c r="C665" s="76"/>
    </row>
    <row r="666" spans="1:3" x14ac:dyDescent="0.2">
      <c r="A666" s="76"/>
      <c r="C666" s="76"/>
    </row>
    <row r="667" spans="1:3" x14ac:dyDescent="0.2">
      <c r="A667" s="76"/>
      <c r="C667" s="76"/>
    </row>
    <row r="668" spans="1:3" x14ac:dyDescent="0.2">
      <c r="A668" s="76"/>
      <c r="C668" s="76"/>
    </row>
    <row r="669" spans="1:3" x14ac:dyDescent="0.2">
      <c r="A669" s="76"/>
      <c r="C669" s="76"/>
    </row>
    <row r="670" spans="1:3" x14ac:dyDescent="0.2">
      <c r="A670" s="76"/>
      <c r="C670" s="76"/>
    </row>
    <row r="671" spans="1:3" x14ac:dyDescent="0.2">
      <c r="A671" s="76"/>
      <c r="C671" s="76"/>
    </row>
    <row r="672" spans="1:3" x14ac:dyDescent="0.2">
      <c r="A672" s="76"/>
      <c r="C672" s="76"/>
    </row>
    <row r="673" spans="1:3" x14ac:dyDescent="0.2">
      <c r="A673" s="76"/>
      <c r="C673" s="76"/>
    </row>
    <row r="674" spans="1:3" x14ac:dyDescent="0.2">
      <c r="A674" s="76"/>
      <c r="C674" s="76"/>
    </row>
    <row r="675" spans="1:3" x14ac:dyDescent="0.2">
      <c r="A675" s="76"/>
      <c r="C675" s="76"/>
    </row>
    <row r="676" spans="1:3" x14ac:dyDescent="0.2">
      <c r="A676" s="76"/>
      <c r="C676" s="76"/>
    </row>
    <row r="677" spans="1:3" x14ac:dyDescent="0.2">
      <c r="A677" s="76"/>
      <c r="C677" s="76"/>
    </row>
    <row r="678" spans="1:3" x14ac:dyDescent="0.2">
      <c r="A678" s="76"/>
      <c r="C678" s="76"/>
    </row>
    <row r="679" spans="1:3" x14ac:dyDescent="0.2">
      <c r="A679" s="76"/>
      <c r="C679" s="76"/>
    </row>
    <row r="680" spans="1:3" x14ac:dyDescent="0.2">
      <c r="A680" s="76"/>
      <c r="C680" s="76"/>
    </row>
    <row r="681" spans="1:3" x14ac:dyDescent="0.2">
      <c r="A681" s="76"/>
      <c r="C681" s="76"/>
    </row>
    <row r="682" spans="1:3" x14ac:dyDescent="0.2">
      <c r="A682" s="76"/>
      <c r="C682" s="76"/>
    </row>
    <row r="683" spans="1:3" x14ac:dyDescent="0.2">
      <c r="A683" s="76"/>
      <c r="C683" s="76"/>
    </row>
    <row r="684" spans="1:3" x14ac:dyDescent="0.2">
      <c r="A684" s="76"/>
      <c r="C684" s="76"/>
    </row>
    <row r="685" spans="1:3" x14ac:dyDescent="0.2">
      <c r="A685" s="76"/>
      <c r="C685" s="76"/>
    </row>
    <row r="686" spans="1:3" x14ac:dyDescent="0.2">
      <c r="A686" s="76"/>
      <c r="C686" s="76"/>
    </row>
    <row r="687" spans="1:3" x14ac:dyDescent="0.2">
      <c r="A687" s="76"/>
      <c r="C687" s="76"/>
    </row>
    <row r="688" spans="1:3" x14ac:dyDescent="0.2">
      <c r="A688" s="76"/>
      <c r="C688" s="76"/>
    </row>
    <row r="689" spans="1:3" x14ac:dyDescent="0.2">
      <c r="A689" s="76"/>
      <c r="C689" s="76"/>
    </row>
    <row r="690" spans="1:3" x14ac:dyDescent="0.2">
      <c r="A690" s="76"/>
      <c r="C690" s="76"/>
    </row>
    <row r="691" spans="1:3" x14ac:dyDescent="0.2">
      <c r="A691" s="76"/>
      <c r="C691" s="76"/>
    </row>
    <row r="692" spans="1:3" x14ac:dyDescent="0.2">
      <c r="A692" s="76"/>
      <c r="C692" s="76"/>
    </row>
    <row r="693" spans="1:3" x14ac:dyDescent="0.2">
      <c r="A693" s="76"/>
      <c r="C693" s="76"/>
    </row>
    <row r="694" spans="1:3" x14ac:dyDescent="0.2">
      <c r="A694" s="76"/>
      <c r="C694" s="76"/>
    </row>
    <row r="695" spans="1:3" x14ac:dyDescent="0.2">
      <c r="A695" s="76"/>
      <c r="C695" s="76"/>
    </row>
    <row r="696" spans="1:3" x14ac:dyDescent="0.2">
      <c r="A696" s="76"/>
      <c r="C696" s="76"/>
    </row>
    <row r="697" spans="1:3" x14ac:dyDescent="0.2">
      <c r="A697" s="76"/>
      <c r="C697" s="76"/>
    </row>
    <row r="698" spans="1:3" x14ac:dyDescent="0.2">
      <c r="A698" s="76"/>
      <c r="C698" s="76"/>
    </row>
    <row r="699" spans="1:3" x14ac:dyDescent="0.2">
      <c r="A699" s="76"/>
      <c r="C699" s="76"/>
    </row>
    <row r="700" spans="1:3" x14ac:dyDescent="0.2">
      <c r="A700" s="76"/>
      <c r="C700" s="76"/>
    </row>
    <row r="701" spans="1:3" x14ac:dyDescent="0.2">
      <c r="A701" s="76"/>
      <c r="C701" s="76"/>
    </row>
    <row r="702" spans="1:3" x14ac:dyDescent="0.2">
      <c r="A702" s="76"/>
      <c r="C702" s="76"/>
    </row>
    <row r="703" spans="1:3" x14ac:dyDescent="0.2">
      <c r="A703" s="76"/>
      <c r="C703" s="76"/>
    </row>
    <row r="704" spans="1:3" x14ac:dyDescent="0.2">
      <c r="A704" s="76"/>
      <c r="C704" s="76"/>
    </row>
    <row r="705" spans="1:3" x14ac:dyDescent="0.2">
      <c r="A705" s="76"/>
      <c r="C705" s="76"/>
    </row>
    <row r="706" spans="1:3" x14ac:dyDescent="0.2">
      <c r="A706" s="76"/>
      <c r="C706" s="76"/>
    </row>
    <row r="707" spans="1:3" x14ac:dyDescent="0.2">
      <c r="A707" s="76"/>
      <c r="C707" s="76"/>
    </row>
    <row r="708" spans="1:3" x14ac:dyDescent="0.2">
      <c r="A708" s="76"/>
      <c r="C708" s="76"/>
    </row>
    <row r="709" spans="1:3" x14ac:dyDescent="0.2">
      <c r="A709" s="76"/>
      <c r="C709" s="76"/>
    </row>
    <row r="710" spans="1:3" x14ac:dyDescent="0.2">
      <c r="A710" s="76"/>
      <c r="C710" s="76"/>
    </row>
    <row r="711" spans="1:3" x14ac:dyDescent="0.2">
      <c r="A711" s="76"/>
      <c r="C711" s="76"/>
    </row>
    <row r="712" spans="1:3" x14ac:dyDescent="0.2">
      <c r="A712" s="76"/>
      <c r="C712" s="76"/>
    </row>
    <row r="713" spans="1:3" x14ac:dyDescent="0.2">
      <c r="A713" s="76"/>
      <c r="C713" s="76"/>
    </row>
    <row r="714" spans="1:3" x14ac:dyDescent="0.2">
      <c r="A714" s="76"/>
      <c r="C714" s="76"/>
    </row>
    <row r="715" spans="1:3" x14ac:dyDescent="0.2">
      <c r="A715" s="76"/>
      <c r="C715" s="76"/>
    </row>
    <row r="716" spans="1:3" x14ac:dyDescent="0.2">
      <c r="A716" s="76"/>
      <c r="C716" s="76"/>
    </row>
    <row r="717" spans="1:3" x14ac:dyDescent="0.2">
      <c r="A717" s="76"/>
      <c r="C717" s="76"/>
    </row>
    <row r="718" spans="1:3" x14ac:dyDescent="0.2">
      <c r="A718" s="76"/>
      <c r="C718" s="76"/>
    </row>
    <row r="719" spans="1:3" x14ac:dyDescent="0.2">
      <c r="A719" s="76"/>
      <c r="C719" s="76"/>
    </row>
    <row r="720" spans="1:3" x14ac:dyDescent="0.2">
      <c r="A720" s="76"/>
      <c r="C720" s="76"/>
    </row>
    <row r="721" spans="1:3" x14ac:dyDescent="0.2">
      <c r="A721" s="76"/>
      <c r="C721" s="76"/>
    </row>
    <row r="722" spans="1:3" x14ac:dyDescent="0.2">
      <c r="A722" s="76"/>
      <c r="C722" s="76"/>
    </row>
    <row r="723" spans="1:3" x14ac:dyDescent="0.2">
      <c r="A723" s="76"/>
      <c r="C723" s="76"/>
    </row>
    <row r="724" spans="1:3" x14ac:dyDescent="0.2">
      <c r="A724" s="76"/>
      <c r="C724" s="76"/>
    </row>
    <row r="725" spans="1:3" x14ac:dyDescent="0.2">
      <c r="A725" s="76"/>
      <c r="C725" s="76"/>
    </row>
    <row r="726" spans="1:3" x14ac:dyDescent="0.2">
      <c r="A726" s="76"/>
      <c r="C726" s="76"/>
    </row>
    <row r="727" spans="1:3" x14ac:dyDescent="0.2">
      <c r="A727" s="76"/>
      <c r="C727" s="76"/>
    </row>
    <row r="728" spans="1:3" x14ac:dyDescent="0.2">
      <c r="A728" s="76"/>
      <c r="C728" s="76"/>
    </row>
    <row r="729" spans="1:3" x14ac:dyDescent="0.2">
      <c r="A729" s="76"/>
      <c r="C729" s="76"/>
    </row>
    <row r="730" spans="1:3" x14ac:dyDescent="0.2">
      <c r="A730" s="76"/>
      <c r="C730" s="76"/>
    </row>
    <row r="731" spans="1:3" x14ac:dyDescent="0.2">
      <c r="A731" s="76"/>
      <c r="C731" s="76"/>
    </row>
    <row r="732" spans="1:3" x14ac:dyDescent="0.2">
      <c r="A732" s="76"/>
      <c r="C732" s="76"/>
    </row>
    <row r="733" spans="1:3" x14ac:dyDescent="0.2">
      <c r="A733" s="76"/>
      <c r="C733" s="76"/>
    </row>
    <row r="734" spans="1:3" x14ac:dyDescent="0.2">
      <c r="A734" s="76"/>
      <c r="C734" s="76"/>
    </row>
    <row r="735" spans="1:3" x14ac:dyDescent="0.2">
      <c r="A735" s="76"/>
      <c r="C735" s="76"/>
    </row>
    <row r="736" spans="1:3" x14ac:dyDescent="0.2">
      <c r="A736" s="76"/>
      <c r="C736" s="76"/>
    </row>
    <row r="737" spans="1:3" x14ac:dyDescent="0.2">
      <c r="A737" s="76"/>
      <c r="C737" s="76"/>
    </row>
    <row r="738" spans="1:3" x14ac:dyDescent="0.2">
      <c r="A738" s="76"/>
      <c r="C738" s="76"/>
    </row>
    <row r="739" spans="1:3" x14ac:dyDescent="0.2">
      <c r="A739" s="76"/>
      <c r="C739" s="76"/>
    </row>
    <row r="740" spans="1:3" x14ac:dyDescent="0.2">
      <c r="A740" s="76"/>
      <c r="C740" s="76"/>
    </row>
    <row r="741" spans="1:3" x14ac:dyDescent="0.2">
      <c r="A741" s="76"/>
      <c r="C741" s="76"/>
    </row>
    <row r="742" spans="1:3" x14ac:dyDescent="0.2">
      <c r="A742" s="76"/>
      <c r="C742" s="76"/>
    </row>
    <row r="743" spans="1:3" x14ac:dyDescent="0.2">
      <c r="A743" s="76"/>
      <c r="C743" s="76"/>
    </row>
    <row r="744" spans="1:3" x14ac:dyDescent="0.2">
      <c r="A744" s="76"/>
      <c r="C744" s="76"/>
    </row>
    <row r="745" spans="1:3" x14ac:dyDescent="0.2">
      <c r="A745" s="76"/>
      <c r="C745" s="76"/>
    </row>
    <row r="746" spans="1:3" x14ac:dyDescent="0.2">
      <c r="A746" s="76"/>
      <c r="C746" s="76"/>
    </row>
    <row r="747" spans="1:3" x14ac:dyDescent="0.2">
      <c r="A747" s="76"/>
      <c r="C747" s="76"/>
    </row>
    <row r="748" spans="1:3" x14ac:dyDescent="0.2">
      <c r="A748" s="76"/>
      <c r="C748" s="76"/>
    </row>
    <row r="749" spans="1:3" x14ac:dyDescent="0.2">
      <c r="A749" s="76"/>
      <c r="C749" s="76"/>
    </row>
    <row r="750" spans="1:3" x14ac:dyDescent="0.2">
      <c r="A750" s="76"/>
      <c r="C750" s="76"/>
    </row>
    <row r="751" spans="1:3" x14ac:dyDescent="0.2">
      <c r="A751" s="76"/>
      <c r="C751" s="76"/>
    </row>
    <row r="752" spans="1:3" x14ac:dyDescent="0.2">
      <c r="A752" s="76"/>
      <c r="C752" s="76"/>
    </row>
    <row r="753" spans="1:3" x14ac:dyDescent="0.2">
      <c r="A753" s="76"/>
      <c r="C753" s="76"/>
    </row>
    <row r="754" spans="1:3" x14ac:dyDescent="0.2">
      <c r="A754" s="76"/>
      <c r="C754" s="76"/>
    </row>
    <row r="755" spans="1:3" x14ac:dyDescent="0.2">
      <c r="A755" s="76"/>
      <c r="C755" s="76"/>
    </row>
    <row r="756" spans="1:3" x14ac:dyDescent="0.2">
      <c r="A756" s="76"/>
      <c r="C756" s="76"/>
    </row>
    <row r="757" spans="1:3" x14ac:dyDescent="0.2">
      <c r="A757" s="76"/>
      <c r="C757" s="76"/>
    </row>
    <row r="758" spans="1:3" x14ac:dyDescent="0.2">
      <c r="A758" s="76"/>
      <c r="C758" s="76"/>
    </row>
    <row r="759" spans="1:3" x14ac:dyDescent="0.2">
      <c r="A759" s="76"/>
      <c r="C759" s="76"/>
    </row>
    <row r="760" spans="1:3" x14ac:dyDescent="0.2">
      <c r="A760" s="76"/>
      <c r="C760" s="76"/>
    </row>
    <row r="761" spans="1:3" x14ac:dyDescent="0.2">
      <c r="A761" s="76"/>
      <c r="C761" s="76"/>
    </row>
    <row r="762" spans="1:3" x14ac:dyDescent="0.2">
      <c r="A762" s="76"/>
      <c r="C762" s="76"/>
    </row>
    <row r="763" spans="1:3" x14ac:dyDescent="0.2">
      <c r="A763" s="76"/>
      <c r="C763" s="76"/>
    </row>
    <row r="764" spans="1:3" x14ac:dyDescent="0.2">
      <c r="A764" s="76"/>
      <c r="C764" s="76"/>
    </row>
    <row r="765" spans="1:3" x14ac:dyDescent="0.2">
      <c r="A765" s="76"/>
      <c r="C765" s="76"/>
    </row>
    <row r="766" spans="1:3" x14ac:dyDescent="0.2">
      <c r="A766" s="76"/>
      <c r="C766" s="76"/>
    </row>
    <row r="767" spans="1:3" x14ac:dyDescent="0.2">
      <c r="A767" s="76"/>
      <c r="C767" s="76"/>
    </row>
    <row r="768" spans="1:3" x14ac:dyDescent="0.2">
      <c r="A768" s="76"/>
      <c r="C768" s="76"/>
    </row>
    <row r="769" spans="1:3" x14ac:dyDescent="0.2">
      <c r="A769" s="76"/>
      <c r="C769" s="76"/>
    </row>
    <row r="770" spans="1:3" x14ac:dyDescent="0.2">
      <c r="A770" s="76"/>
      <c r="C770" s="76"/>
    </row>
    <row r="771" spans="1:3" x14ac:dyDescent="0.2">
      <c r="A771" s="76"/>
      <c r="C771" s="76"/>
    </row>
    <row r="772" spans="1:3" x14ac:dyDescent="0.2">
      <c r="A772" s="76"/>
      <c r="C772" s="76"/>
    </row>
    <row r="773" spans="1:3" x14ac:dyDescent="0.2">
      <c r="A773" s="76"/>
      <c r="C773" s="76"/>
    </row>
    <row r="774" spans="1:3" x14ac:dyDescent="0.2">
      <c r="A774" s="76"/>
      <c r="C774" s="76"/>
    </row>
    <row r="775" spans="1:3" x14ac:dyDescent="0.2">
      <c r="A775" s="76"/>
      <c r="C775" s="76"/>
    </row>
    <row r="776" spans="1:3" x14ac:dyDescent="0.2">
      <c r="A776" s="76"/>
      <c r="C776" s="76"/>
    </row>
    <row r="777" spans="1:3" x14ac:dyDescent="0.2">
      <c r="A777" s="76"/>
      <c r="C777" s="76"/>
    </row>
    <row r="778" spans="1:3" x14ac:dyDescent="0.2">
      <c r="A778" s="76"/>
      <c r="C778" s="76"/>
    </row>
    <row r="779" spans="1:3" x14ac:dyDescent="0.2">
      <c r="A779" s="76"/>
      <c r="C779" s="76"/>
    </row>
    <row r="780" spans="1:3" x14ac:dyDescent="0.2">
      <c r="A780" s="76"/>
      <c r="C780" s="76"/>
    </row>
    <row r="781" spans="1:3" x14ac:dyDescent="0.2">
      <c r="A781" s="76"/>
      <c r="C781" s="76"/>
    </row>
    <row r="782" spans="1:3" x14ac:dyDescent="0.2">
      <c r="A782" s="76"/>
      <c r="C782" s="76"/>
    </row>
    <row r="783" spans="1:3" x14ac:dyDescent="0.2">
      <c r="A783" s="76"/>
      <c r="C783" s="76"/>
    </row>
    <row r="784" spans="1:3" x14ac:dyDescent="0.2">
      <c r="A784" s="76"/>
      <c r="C784" s="76"/>
    </row>
    <row r="785" spans="1:3" x14ac:dyDescent="0.2">
      <c r="A785" s="76"/>
      <c r="C785" s="76"/>
    </row>
    <row r="786" spans="1:3" x14ac:dyDescent="0.2">
      <c r="A786" s="76"/>
      <c r="C786" s="76"/>
    </row>
    <row r="787" spans="1:3" x14ac:dyDescent="0.2">
      <c r="A787" s="76"/>
      <c r="C787" s="76"/>
    </row>
    <row r="788" spans="1:3" x14ac:dyDescent="0.2">
      <c r="A788" s="76"/>
      <c r="C788" s="76"/>
    </row>
    <row r="789" spans="1:3" x14ac:dyDescent="0.2">
      <c r="A789" s="76"/>
      <c r="C789" s="76"/>
    </row>
    <row r="790" spans="1:3" x14ac:dyDescent="0.2">
      <c r="A790" s="76"/>
      <c r="C790" s="76"/>
    </row>
    <row r="791" spans="1:3" x14ac:dyDescent="0.2">
      <c r="A791" s="76"/>
      <c r="C791" s="76"/>
    </row>
    <row r="792" spans="1:3" x14ac:dyDescent="0.2">
      <c r="A792" s="76"/>
      <c r="C792" s="76"/>
    </row>
    <row r="793" spans="1:3" x14ac:dyDescent="0.2">
      <c r="A793" s="76"/>
      <c r="C793" s="76"/>
    </row>
    <row r="794" spans="1:3" x14ac:dyDescent="0.2">
      <c r="A794" s="76"/>
      <c r="C794" s="76"/>
    </row>
    <row r="795" spans="1:3" x14ac:dyDescent="0.2">
      <c r="A795" s="76"/>
      <c r="C795" s="76"/>
    </row>
    <row r="796" spans="1:3" x14ac:dyDescent="0.2">
      <c r="A796" s="76"/>
      <c r="C796" s="76"/>
    </row>
    <row r="797" spans="1:3" x14ac:dyDescent="0.2">
      <c r="A797" s="76"/>
      <c r="C797" s="76"/>
    </row>
    <row r="798" spans="1:3" x14ac:dyDescent="0.2">
      <c r="A798" s="76"/>
      <c r="C798" s="76"/>
    </row>
    <row r="799" spans="1:3" x14ac:dyDescent="0.2">
      <c r="A799" s="76"/>
      <c r="C799" s="76"/>
    </row>
    <row r="800" spans="1:3" x14ac:dyDescent="0.2">
      <c r="A800" s="76"/>
      <c r="C800" s="76"/>
    </row>
    <row r="801" spans="1:3" x14ac:dyDescent="0.2">
      <c r="A801" s="76"/>
      <c r="C801" s="76"/>
    </row>
    <row r="802" spans="1:3" x14ac:dyDescent="0.2">
      <c r="A802" s="76"/>
      <c r="C802" s="76"/>
    </row>
    <row r="803" spans="1:3" x14ac:dyDescent="0.2">
      <c r="A803" s="76"/>
      <c r="C803" s="76"/>
    </row>
    <row r="804" spans="1:3" x14ac:dyDescent="0.2">
      <c r="A804" s="76"/>
      <c r="C804" s="76"/>
    </row>
    <row r="805" spans="1:3" x14ac:dyDescent="0.2">
      <c r="A805" s="76"/>
      <c r="C805" s="76"/>
    </row>
    <row r="806" spans="1:3" x14ac:dyDescent="0.2">
      <c r="A806" s="76"/>
      <c r="C806" s="76"/>
    </row>
    <row r="807" spans="1:3" x14ac:dyDescent="0.2">
      <c r="A807" s="76"/>
      <c r="C807" s="76"/>
    </row>
    <row r="808" spans="1:3" x14ac:dyDescent="0.2">
      <c r="A808" s="76"/>
      <c r="C808" s="76"/>
    </row>
    <row r="809" spans="1:3" x14ac:dyDescent="0.2">
      <c r="A809" s="76"/>
      <c r="C809" s="76"/>
    </row>
    <row r="810" spans="1:3" x14ac:dyDescent="0.2">
      <c r="A810" s="76"/>
      <c r="C810" s="76"/>
    </row>
    <row r="811" spans="1:3" x14ac:dyDescent="0.2">
      <c r="A811" s="76"/>
      <c r="C811" s="76"/>
    </row>
    <row r="812" spans="1:3" x14ac:dyDescent="0.2">
      <c r="A812" s="76"/>
      <c r="C812" s="76"/>
    </row>
    <row r="813" spans="1:3" x14ac:dyDescent="0.2">
      <c r="A813" s="76"/>
      <c r="C813" s="76"/>
    </row>
    <row r="814" spans="1:3" x14ac:dyDescent="0.2">
      <c r="A814" s="76"/>
      <c r="C814" s="76"/>
    </row>
    <row r="815" spans="1:3" x14ac:dyDescent="0.2">
      <c r="A815" s="76"/>
      <c r="C815" s="76"/>
    </row>
    <row r="816" spans="1:3" x14ac:dyDescent="0.2">
      <c r="A816" s="76"/>
      <c r="C816" s="76"/>
    </row>
    <row r="817" spans="1:3" x14ac:dyDescent="0.2">
      <c r="A817" s="76"/>
      <c r="C817" s="76"/>
    </row>
    <row r="818" spans="1:3" x14ac:dyDescent="0.2">
      <c r="A818" s="76"/>
      <c r="C818" s="76"/>
    </row>
    <row r="819" spans="1:3" x14ac:dyDescent="0.2">
      <c r="A819" s="76"/>
      <c r="C819" s="76"/>
    </row>
    <row r="820" spans="1:3" x14ac:dyDescent="0.2">
      <c r="A820" s="76"/>
      <c r="C820" s="76"/>
    </row>
    <row r="821" spans="1:3" x14ac:dyDescent="0.2">
      <c r="A821" s="76"/>
      <c r="C821" s="76"/>
    </row>
    <row r="822" spans="1:3" x14ac:dyDescent="0.2">
      <c r="A822" s="76"/>
      <c r="C822" s="76"/>
    </row>
    <row r="823" spans="1:3" x14ac:dyDescent="0.2">
      <c r="A823" s="76"/>
      <c r="C823" s="76"/>
    </row>
    <row r="824" spans="1:3" x14ac:dyDescent="0.2">
      <c r="A824" s="76"/>
      <c r="C824" s="76"/>
    </row>
    <row r="825" spans="1:3" x14ac:dyDescent="0.2">
      <c r="A825" s="76"/>
      <c r="C825" s="76"/>
    </row>
    <row r="826" spans="1:3" x14ac:dyDescent="0.2">
      <c r="A826" s="76"/>
      <c r="C826" s="76"/>
    </row>
    <row r="827" spans="1:3" x14ac:dyDescent="0.2">
      <c r="A827" s="76"/>
      <c r="C827" s="76"/>
    </row>
    <row r="828" spans="1:3" x14ac:dyDescent="0.2">
      <c r="A828" s="76"/>
      <c r="C828" s="76"/>
    </row>
    <row r="829" spans="1:3" x14ac:dyDescent="0.2">
      <c r="A829" s="76"/>
      <c r="C829" s="76"/>
    </row>
    <row r="830" spans="1:3" x14ac:dyDescent="0.2">
      <c r="A830" s="76"/>
      <c r="C830" s="76"/>
    </row>
    <row r="831" spans="1:3" x14ac:dyDescent="0.2">
      <c r="A831" s="76"/>
      <c r="C831" s="76"/>
    </row>
    <row r="832" spans="1:3" x14ac:dyDescent="0.2">
      <c r="A832" s="76"/>
      <c r="C832" s="76"/>
    </row>
    <row r="833" spans="1:3" x14ac:dyDescent="0.2">
      <c r="A833" s="76"/>
      <c r="C833" s="76"/>
    </row>
    <row r="834" spans="1:3" x14ac:dyDescent="0.2">
      <c r="A834" s="76"/>
      <c r="C834" s="76"/>
    </row>
    <row r="835" spans="1:3" x14ac:dyDescent="0.2">
      <c r="A835" s="76"/>
      <c r="C835" s="76"/>
    </row>
    <row r="836" spans="1:3" x14ac:dyDescent="0.2">
      <c r="A836" s="76"/>
      <c r="C836" s="76"/>
    </row>
    <row r="837" spans="1:3" x14ac:dyDescent="0.2">
      <c r="A837" s="76"/>
      <c r="C837" s="76"/>
    </row>
    <row r="838" spans="1:3" x14ac:dyDescent="0.2">
      <c r="A838" s="76"/>
      <c r="C838" s="76"/>
    </row>
    <row r="839" spans="1:3" x14ac:dyDescent="0.2">
      <c r="A839" s="76"/>
      <c r="C839" s="76"/>
    </row>
    <row r="840" spans="1:3" x14ac:dyDescent="0.2">
      <c r="A840" s="76"/>
      <c r="C840" s="76"/>
    </row>
    <row r="841" spans="1:3" x14ac:dyDescent="0.2">
      <c r="A841" s="76"/>
      <c r="C841" s="76"/>
    </row>
    <row r="842" spans="1:3" x14ac:dyDescent="0.2">
      <c r="A842" s="76"/>
      <c r="C842" s="76"/>
    </row>
    <row r="843" spans="1:3" x14ac:dyDescent="0.2">
      <c r="A843" s="76"/>
      <c r="C843" s="76"/>
    </row>
    <row r="844" spans="1:3" x14ac:dyDescent="0.2">
      <c r="A844" s="76"/>
      <c r="C844" s="76"/>
    </row>
    <row r="845" spans="1:3" x14ac:dyDescent="0.2">
      <c r="A845" s="76"/>
      <c r="C845" s="76"/>
    </row>
    <row r="846" spans="1:3" x14ac:dyDescent="0.2">
      <c r="A846" s="76"/>
      <c r="C846" s="76"/>
    </row>
    <row r="847" spans="1:3" x14ac:dyDescent="0.2">
      <c r="A847" s="76"/>
      <c r="C847" s="76"/>
    </row>
    <row r="848" spans="1:3" x14ac:dyDescent="0.2">
      <c r="A848" s="76"/>
      <c r="C848" s="76"/>
    </row>
    <row r="849" spans="1:3" x14ac:dyDescent="0.2">
      <c r="A849" s="76"/>
      <c r="C849" s="76"/>
    </row>
    <row r="850" spans="1:3" x14ac:dyDescent="0.2">
      <c r="A850" s="76"/>
      <c r="C850" s="76"/>
    </row>
    <row r="851" spans="1:3" x14ac:dyDescent="0.2">
      <c r="A851" s="76"/>
      <c r="C851" s="76"/>
    </row>
    <row r="852" spans="1:3" x14ac:dyDescent="0.2">
      <c r="A852" s="76"/>
      <c r="C852" s="76"/>
    </row>
    <row r="853" spans="1:3" x14ac:dyDescent="0.2">
      <c r="A853" s="76"/>
      <c r="C853" s="76"/>
    </row>
    <row r="854" spans="1:3" x14ac:dyDescent="0.2">
      <c r="A854" s="76"/>
      <c r="C854" s="76"/>
    </row>
    <row r="855" spans="1:3" x14ac:dyDescent="0.2">
      <c r="A855" s="76"/>
      <c r="C855" s="76"/>
    </row>
    <row r="856" spans="1:3" x14ac:dyDescent="0.2">
      <c r="A856" s="76"/>
      <c r="C856" s="76"/>
    </row>
    <row r="857" spans="1:3" x14ac:dyDescent="0.2">
      <c r="A857" s="76"/>
      <c r="C857" s="76"/>
    </row>
    <row r="858" spans="1:3" x14ac:dyDescent="0.2">
      <c r="A858" s="76"/>
      <c r="C858" s="76"/>
    </row>
    <row r="859" spans="1:3" x14ac:dyDescent="0.2">
      <c r="A859" s="76"/>
      <c r="C859" s="76"/>
    </row>
    <row r="860" spans="1:3" x14ac:dyDescent="0.2">
      <c r="A860" s="76"/>
      <c r="C860" s="76"/>
    </row>
    <row r="861" spans="1:3" x14ac:dyDescent="0.2">
      <c r="A861" s="76"/>
      <c r="C861" s="76"/>
    </row>
    <row r="862" spans="1:3" x14ac:dyDescent="0.2">
      <c r="A862" s="76"/>
      <c r="C862" s="76"/>
    </row>
    <row r="863" spans="1:3" x14ac:dyDescent="0.2">
      <c r="A863" s="76"/>
      <c r="C863" s="76"/>
    </row>
    <row r="864" spans="1:3" x14ac:dyDescent="0.2">
      <c r="A864" s="76"/>
      <c r="C864" s="76"/>
    </row>
    <row r="865" spans="1:3" x14ac:dyDescent="0.2">
      <c r="A865" s="76"/>
      <c r="C865" s="76"/>
    </row>
    <row r="866" spans="1:3" x14ac:dyDescent="0.2">
      <c r="A866" s="76"/>
      <c r="C866" s="76"/>
    </row>
    <row r="867" spans="1:3" x14ac:dyDescent="0.2">
      <c r="A867" s="76"/>
      <c r="C867" s="76"/>
    </row>
    <row r="868" spans="1:3" x14ac:dyDescent="0.2">
      <c r="A868" s="76"/>
      <c r="C868" s="76"/>
    </row>
    <row r="869" spans="1:3" x14ac:dyDescent="0.2">
      <c r="A869" s="76"/>
      <c r="C869" s="76"/>
    </row>
    <row r="870" spans="1:3" x14ac:dyDescent="0.2">
      <c r="A870" s="76"/>
      <c r="C870" s="76"/>
    </row>
    <row r="871" spans="1:3" x14ac:dyDescent="0.2">
      <c r="A871" s="76"/>
      <c r="C871" s="76"/>
    </row>
    <row r="872" spans="1:3" x14ac:dyDescent="0.2">
      <c r="A872" s="76"/>
      <c r="C872" s="76"/>
    </row>
    <row r="873" spans="1:3" x14ac:dyDescent="0.2">
      <c r="A873" s="76"/>
      <c r="C873" s="76"/>
    </row>
    <row r="874" spans="1:3" x14ac:dyDescent="0.2">
      <c r="A874" s="76"/>
      <c r="C874" s="76"/>
    </row>
    <row r="875" spans="1:3" x14ac:dyDescent="0.2">
      <c r="A875" s="76"/>
      <c r="C875" s="76"/>
    </row>
    <row r="876" spans="1:3" x14ac:dyDescent="0.2">
      <c r="A876" s="76"/>
      <c r="C876" s="76"/>
    </row>
    <row r="877" spans="1:3" x14ac:dyDescent="0.2">
      <c r="A877" s="76"/>
      <c r="C877" s="76"/>
    </row>
    <row r="878" spans="1:3" x14ac:dyDescent="0.2">
      <c r="A878" s="76"/>
      <c r="C878" s="76"/>
    </row>
    <row r="879" spans="1:3" x14ac:dyDescent="0.2">
      <c r="A879" s="76"/>
      <c r="C879" s="76"/>
    </row>
    <row r="880" spans="1:3" x14ac:dyDescent="0.2">
      <c r="A880" s="76"/>
      <c r="C880" s="76"/>
    </row>
    <row r="881" spans="1:3" x14ac:dyDescent="0.2">
      <c r="A881" s="76"/>
      <c r="C881" s="76"/>
    </row>
    <row r="882" spans="1:3" x14ac:dyDescent="0.2">
      <c r="A882" s="76"/>
      <c r="C882" s="76"/>
    </row>
    <row r="883" spans="1:3" x14ac:dyDescent="0.2">
      <c r="A883" s="76"/>
      <c r="C883" s="76"/>
    </row>
    <row r="884" spans="1:3" x14ac:dyDescent="0.2">
      <c r="A884" s="76"/>
      <c r="C884" s="76"/>
    </row>
    <row r="885" spans="1:3" x14ac:dyDescent="0.2">
      <c r="A885" s="76"/>
      <c r="C885" s="76"/>
    </row>
    <row r="886" spans="1:3" x14ac:dyDescent="0.2">
      <c r="A886" s="76"/>
      <c r="C886" s="76"/>
    </row>
    <row r="887" spans="1:3" x14ac:dyDescent="0.2">
      <c r="A887" s="76"/>
      <c r="C887" s="76"/>
    </row>
    <row r="888" spans="1:3" x14ac:dyDescent="0.2">
      <c r="A888" s="76"/>
      <c r="C888" s="76"/>
    </row>
    <row r="889" spans="1:3" x14ac:dyDescent="0.2">
      <c r="A889" s="76"/>
      <c r="C889" s="76"/>
    </row>
    <row r="890" spans="1:3" x14ac:dyDescent="0.2">
      <c r="A890" s="76"/>
      <c r="C890" s="76"/>
    </row>
    <row r="891" spans="1:3" x14ac:dyDescent="0.2">
      <c r="A891" s="76"/>
      <c r="C891" s="76"/>
    </row>
    <row r="892" spans="1:3" x14ac:dyDescent="0.2">
      <c r="A892" s="76"/>
      <c r="C892" s="76"/>
    </row>
    <row r="893" spans="1:3" x14ac:dyDescent="0.2">
      <c r="A893" s="76"/>
      <c r="C893" s="76"/>
    </row>
    <row r="894" spans="1:3" x14ac:dyDescent="0.2">
      <c r="A894" s="76"/>
      <c r="C894" s="76"/>
    </row>
    <row r="895" spans="1:3" x14ac:dyDescent="0.2">
      <c r="A895" s="76"/>
      <c r="C895" s="76"/>
    </row>
    <row r="896" spans="1:3" x14ac:dyDescent="0.2">
      <c r="A896" s="76"/>
      <c r="C896" s="76"/>
    </row>
    <row r="897" spans="1:3" x14ac:dyDescent="0.2">
      <c r="A897" s="76"/>
      <c r="C897" s="76"/>
    </row>
    <row r="898" spans="1:3" x14ac:dyDescent="0.2">
      <c r="A898" s="76"/>
      <c r="C898" s="76"/>
    </row>
    <row r="899" spans="1:3" x14ac:dyDescent="0.2">
      <c r="A899" s="76"/>
      <c r="C899" s="76"/>
    </row>
    <row r="900" spans="1:3" x14ac:dyDescent="0.2">
      <c r="A900" s="76"/>
      <c r="C900" s="76"/>
    </row>
    <row r="901" spans="1:3" x14ac:dyDescent="0.2">
      <c r="A901" s="76"/>
      <c r="C901" s="76"/>
    </row>
    <row r="902" spans="1:3" x14ac:dyDescent="0.2">
      <c r="A902" s="76"/>
      <c r="C902" s="76"/>
    </row>
    <row r="903" spans="1:3" x14ac:dyDescent="0.2">
      <c r="A903" s="76"/>
      <c r="C903" s="76"/>
    </row>
    <row r="904" spans="1:3" x14ac:dyDescent="0.2">
      <c r="A904" s="76"/>
      <c r="C904" s="76"/>
    </row>
    <row r="905" spans="1:3" x14ac:dyDescent="0.2">
      <c r="A905" s="76"/>
      <c r="C905" s="76"/>
    </row>
    <row r="906" spans="1:3" x14ac:dyDescent="0.2">
      <c r="A906" s="76"/>
      <c r="C906" s="76"/>
    </row>
    <row r="907" spans="1:3" x14ac:dyDescent="0.2">
      <c r="A907" s="76"/>
      <c r="C907" s="76"/>
    </row>
    <row r="908" spans="1:3" x14ac:dyDescent="0.2">
      <c r="A908" s="76"/>
      <c r="C908" s="76"/>
    </row>
    <row r="909" spans="1:3" x14ac:dyDescent="0.2">
      <c r="A909" s="76"/>
      <c r="C909" s="76"/>
    </row>
    <row r="910" spans="1:3" x14ac:dyDescent="0.2">
      <c r="A910" s="76"/>
      <c r="C910" s="76"/>
    </row>
    <row r="911" spans="1:3" x14ac:dyDescent="0.2">
      <c r="A911" s="76"/>
      <c r="C911" s="76"/>
    </row>
    <row r="912" spans="1:3" x14ac:dyDescent="0.2">
      <c r="A912" s="76"/>
      <c r="C912" s="76"/>
    </row>
    <row r="913" spans="1:3" x14ac:dyDescent="0.2">
      <c r="A913" s="76"/>
      <c r="C913" s="76"/>
    </row>
    <row r="914" spans="1:3" x14ac:dyDescent="0.2">
      <c r="A914" s="76"/>
      <c r="C914" s="76"/>
    </row>
    <row r="915" spans="1:3" x14ac:dyDescent="0.2">
      <c r="A915" s="76"/>
      <c r="C915" s="76"/>
    </row>
    <row r="916" spans="1:3" x14ac:dyDescent="0.2">
      <c r="A916" s="76"/>
      <c r="C916" s="76"/>
    </row>
    <row r="917" spans="1:3" x14ac:dyDescent="0.2">
      <c r="A917" s="76"/>
      <c r="C917" s="76"/>
    </row>
    <row r="918" spans="1:3" x14ac:dyDescent="0.2">
      <c r="A918" s="76"/>
      <c r="C918" s="76"/>
    </row>
    <row r="919" spans="1:3" x14ac:dyDescent="0.2">
      <c r="A919" s="76"/>
      <c r="C919" s="76"/>
    </row>
    <row r="920" spans="1:3" x14ac:dyDescent="0.2">
      <c r="A920" s="76"/>
      <c r="C920" s="76"/>
    </row>
    <row r="921" spans="1:3" x14ac:dyDescent="0.2">
      <c r="A921" s="76"/>
      <c r="C921" s="76"/>
    </row>
    <row r="922" spans="1:3" x14ac:dyDescent="0.2">
      <c r="A922" s="76"/>
      <c r="C922" s="76"/>
    </row>
    <row r="923" spans="1:3" x14ac:dyDescent="0.2">
      <c r="A923" s="76"/>
      <c r="C923" s="76"/>
    </row>
    <row r="924" spans="1:3" x14ac:dyDescent="0.2">
      <c r="A924" s="76"/>
      <c r="C924" s="76"/>
    </row>
    <row r="925" spans="1:3" x14ac:dyDescent="0.2">
      <c r="A925" s="76"/>
      <c r="C925" s="76"/>
    </row>
    <row r="926" spans="1:3" x14ac:dyDescent="0.2">
      <c r="A926" s="76"/>
      <c r="C926" s="76"/>
    </row>
    <row r="927" spans="1:3" x14ac:dyDescent="0.2">
      <c r="A927" s="76"/>
      <c r="C927" s="76"/>
    </row>
    <row r="928" spans="1:3" x14ac:dyDescent="0.2">
      <c r="A928" s="76"/>
      <c r="C928" s="76"/>
    </row>
    <row r="929" spans="1:3" x14ac:dyDescent="0.2">
      <c r="A929" s="76"/>
      <c r="C929" s="76"/>
    </row>
    <row r="930" spans="1:3" x14ac:dyDescent="0.2">
      <c r="A930" s="76"/>
      <c r="C930" s="76"/>
    </row>
    <row r="931" spans="1:3" x14ac:dyDescent="0.2">
      <c r="A931" s="76"/>
      <c r="C931" s="76"/>
    </row>
    <row r="932" spans="1:3" x14ac:dyDescent="0.2">
      <c r="A932" s="76"/>
      <c r="C932" s="76"/>
    </row>
    <row r="933" spans="1:3" x14ac:dyDescent="0.2">
      <c r="A933" s="76"/>
      <c r="C933" s="76"/>
    </row>
    <row r="934" spans="1:3" x14ac:dyDescent="0.2">
      <c r="A934" s="76"/>
      <c r="C934" s="76"/>
    </row>
    <row r="935" spans="1:3" x14ac:dyDescent="0.2">
      <c r="A935" s="76"/>
      <c r="C935" s="76"/>
    </row>
    <row r="936" spans="1:3" x14ac:dyDescent="0.2">
      <c r="A936" s="76"/>
      <c r="C936" s="76"/>
    </row>
    <row r="937" spans="1:3" x14ac:dyDescent="0.2">
      <c r="A937" s="76"/>
      <c r="C937" s="76"/>
    </row>
    <row r="938" spans="1:3" x14ac:dyDescent="0.2">
      <c r="A938" s="76"/>
      <c r="C938" s="76"/>
    </row>
    <row r="939" spans="1:3" x14ac:dyDescent="0.2">
      <c r="A939" s="76"/>
      <c r="C939" s="76"/>
    </row>
    <row r="940" spans="1:3" x14ac:dyDescent="0.2">
      <c r="A940" s="76"/>
      <c r="C940" s="76"/>
    </row>
    <row r="941" spans="1:3" x14ac:dyDescent="0.2">
      <c r="A941" s="76"/>
      <c r="C941" s="76"/>
    </row>
    <row r="942" spans="1:3" x14ac:dyDescent="0.2">
      <c r="A942" s="76"/>
      <c r="C942" s="76"/>
    </row>
    <row r="943" spans="1:3" x14ac:dyDescent="0.2">
      <c r="A943" s="76"/>
      <c r="C943" s="76"/>
    </row>
    <row r="944" spans="1:3" x14ac:dyDescent="0.2">
      <c r="A944" s="76"/>
      <c r="C944" s="76"/>
    </row>
    <row r="945" spans="1:3" x14ac:dyDescent="0.2">
      <c r="A945" s="76"/>
      <c r="C945" s="76"/>
    </row>
    <row r="946" spans="1:3" x14ac:dyDescent="0.2">
      <c r="A946" s="76"/>
      <c r="C946" s="76"/>
    </row>
    <row r="947" spans="1:3" x14ac:dyDescent="0.2">
      <c r="A947" s="76"/>
      <c r="C947" s="76"/>
    </row>
    <row r="948" spans="1:3" x14ac:dyDescent="0.2">
      <c r="A948" s="76"/>
      <c r="C948" s="76"/>
    </row>
    <row r="949" spans="1:3" x14ac:dyDescent="0.2">
      <c r="A949" s="76"/>
      <c r="C949" s="76"/>
    </row>
    <row r="950" spans="1:3" x14ac:dyDescent="0.2">
      <c r="A950" s="76"/>
      <c r="C950" s="76"/>
    </row>
    <row r="951" spans="1:3" x14ac:dyDescent="0.2">
      <c r="A951" s="76"/>
      <c r="C951" s="76"/>
    </row>
    <row r="952" spans="1:3" x14ac:dyDescent="0.2">
      <c r="A952" s="76"/>
      <c r="C952" s="76"/>
    </row>
    <row r="953" spans="1:3" x14ac:dyDescent="0.2">
      <c r="A953" s="76"/>
      <c r="C953" s="76"/>
    </row>
    <row r="954" spans="1:3" x14ac:dyDescent="0.2">
      <c r="A954" s="76"/>
      <c r="C954" s="76"/>
    </row>
    <row r="955" spans="1:3" x14ac:dyDescent="0.2">
      <c r="A955" s="76"/>
      <c r="C955" s="76"/>
    </row>
    <row r="956" spans="1:3" x14ac:dyDescent="0.2">
      <c r="A956" s="76"/>
      <c r="C956" s="76"/>
    </row>
    <row r="957" spans="1:3" x14ac:dyDescent="0.2">
      <c r="A957" s="76"/>
      <c r="C957" s="76"/>
    </row>
    <row r="958" spans="1:3" x14ac:dyDescent="0.2">
      <c r="A958" s="76"/>
      <c r="C958" s="76"/>
    </row>
    <row r="959" spans="1:3" x14ac:dyDescent="0.2">
      <c r="A959" s="76"/>
      <c r="C959" s="76"/>
    </row>
    <row r="960" spans="1:3" x14ac:dyDescent="0.2">
      <c r="A960" s="76"/>
      <c r="C960" s="76"/>
    </row>
    <row r="961" spans="1:3" x14ac:dyDescent="0.2">
      <c r="A961" s="76"/>
      <c r="C961" s="76"/>
    </row>
    <row r="962" spans="1:3" x14ac:dyDescent="0.2">
      <c r="A962" s="76"/>
      <c r="C962" s="76"/>
    </row>
    <row r="963" spans="1:3" x14ac:dyDescent="0.2">
      <c r="A963" s="76"/>
      <c r="C963" s="76"/>
    </row>
    <row r="964" spans="1:3" x14ac:dyDescent="0.2">
      <c r="A964" s="76"/>
      <c r="C964" s="76"/>
    </row>
    <row r="965" spans="1:3" x14ac:dyDescent="0.2">
      <c r="A965" s="76"/>
      <c r="C965" s="76"/>
    </row>
    <row r="966" spans="1:3" x14ac:dyDescent="0.2">
      <c r="A966" s="76"/>
      <c r="C966" s="76"/>
    </row>
    <row r="967" spans="1:3" x14ac:dyDescent="0.2">
      <c r="A967" s="76"/>
      <c r="C967" s="76"/>
    </row>
    <row r="968" spans="1:3" x14ac:dyDescent="0.2">
      <c r="A968" s="76"/>
      <c r="C968" s="76"/>
    </row>
    <row r="969" spans="1:3" x14ac:dyDescent="0.2">
      <c r="A969" s="76"/>
      <c r="C969" s="76"/>
    </row>
    <row r="970" spans="1:3" x14ac:dyDescent="0.2">
      <c r="A970" s="76"/>
      <c r="C970" s="76"/>
    </row>
    <row r="971" spans="1:3" x14ac:dyDescent="0.2">
      <c r="A971" s="76"/>
      <c r="C971" s="76"/>
    </row>
    <row r="972" spans="1:3" x14ac:dyDescent="0.2">
      <c r="A972" s="76"/>
      <c r="C972" s="76"/>
    </row>
    <row r="973" spans="1:3" x14ac:dyDescent="0.2">
      <c r="A973" s="76"/>
      <c r="C973" s="76"/>
    </row>
    <row r="974" spans="1:3" x14ac:dyDescent="0.2">
      <c r="A974" s="76"/>
      <c r="C974" s="76"/>
    </row>
    <row r="975" spans="1:3" x14ac:dyDescent="0.2">
      <c r="A975" s="76"/>
      <c r="C975" s="76"/>
    </row>
    <row r="976" spans="1:3" x14ac:dyDescent="0.2">
      <c r="A976" s="76"/>
      <c r="C976" s="76"/>
    </row>
    <row r="977" spans="1:3" x14ac:dyDescent="0.2">
      <c r="A977" s="76"/>
      <c r="C977" s="76"/>
    </row>
    <row r="978" spans="1:3" x14ac:dyDescent="0.2">
      <c r="A978" s="76"/>
      <c r="C978" s="76"/>
    </row>
    <row r="979" spans="1:3" x14ac:dyDescent="0.2">
      <c r="A979" s="76"/>
      <c r="C979" s="76"/>
    </row>
    <row r="980" spans="1:3" x14ac:dyDescent="0.2">
      <c r="A980" s="76"/>
      <c r="C980" s="76"/>
    </row>
    <row r="981" spans="1:3" x14ac:dyDescent="0.2">
      <c r="A981" s="76"/>
      <c r="C981" s="76"/>
    </row>
    <row r="982" spans="1:3" x14ac:dyDescent="0.2">
      <c r="A982" s="76"/>
      <c r="C982" s="76"/>
    </row>
    <row r="983" spans="1:3" x14ac:dyDescent="0.2">
      <c r="A983" s="76"/>
      <c r="C983" s="76"/>
    </row>
    <row r="984" spans="1:3" x14ac:dyDescent="0.2">
      <c r="A984" s="76"/>
      <c r="C984" s="76"/>
    </row>
    <row r="985" spans="1:3" x14ac:dyDescent="0.2">
      <c r="A985" s="76"/>
      <c r="C985" s="76"/>
    </row>
    <row r="986" spans="1:3" x14ac:dyDescent="0.2">
      <c r="A986" s="76"/>
      <c r="C986" s="76"/>
    </row>
    <row r="987" spans="1:3" x14ac:dyDescent="0.2">
      <c r="A987" s="76"/>
      <c r="C987" s="76"/>
    </row>
    <row r="988" spans="1:3" x14ac:dyDescent="0.2">
      <c r="A988" s="76"/>
      <c r="C988" s="76"/>
    </row>
    <row r="989" spans="1:3" x14ac:dyDescent="0.2">
      <c r="A989" s="76"/>
      <c r="C989" s="76"/>
    </row>
    <row r="990" spans="1:3" x14ac:dyDescent="0.2">
      <c r="A990" s="76"/>
      <c r="C990" s="76"/>
    </row>
    <row r="991" spans="1:3" x14ac:dyDescent="0.2">
      <c r="A991" s="76"/>
      <c r="C991" s="76"/>
    </row>
    <row r="992" spans="1:3" x14ac:dyDescent="0.2">
      <c r="A992" s="76"/>
      <c r="C992" s="76"/>
    </row>
    <row r="993" spans="1:3" x14ac:dyDescent="0.2">
      <c r="A993" s="76"/>
      <c r="C993" s="76"/>
    </row>
    <row r="994" spans="1:3" x14ac:dyDescent="0.2">
      <c r="A994" s="76"/>
      <c r="C994" s="76"/>
    </row>
    <row r="995" spans="1:3" x14ac:dyDescent="0.2">
      <c r="A995" s="76"/>
      <c r="C995" s="76"/>
    </row>
    <row r="996" spans="1:3" x14ac:dyDescent="0.2">
      <c r="A996" s="76"/>
      <c r="C996" s="76"/>
    </row>
    <row r="997" spans="1:3" x14ac:dyDescent="0.2">
      <c r="A997" s="76"/>
      <c r="C997" s="76"/>
    </row>
    <row r="998" spans="1:3" x14ac:dyDescent="0.2">
      <c r="A998" s="76"/>
      <c r="C998" s="76"/>
    </row>
    <row r="999" spans="1:3" x14ac:dyDescent="0.2">
      <c r="A999" s="76"/>
      <c r="C999" s="76"/>
    </row>
    <row r="1000" spans="1:3" x14ac:dyDescent="0.2">
      <c r="A1000" s="76"/>
      <c r="C1000" s="76"/>
    </row>
    <row r="1001" spans="1:3" x14ac:dyDescent="0.2">
      <c r="A1001" s="76"/>
      <c r="C1001" s="76"/>
    </row>
    <row r="1002" spans="1:3" x14ac:dyDescent="0.2">
      <c r="A1002" s="76"/>
      <c r="C1002" s="76"/>
    </row>
    <row r="1003" spans="1:3" x14ac:dyDescent="0.2">
      <c r="A1003" s="76"/>
      <c r="C1003" s="76"/>
    </row>
    <row r="1004" spans="1:3" x14ac:dyDescent="0.2">
      <c r="A1004" s="76"/>
      <c r="C1004" s="76"/>
    </row>
    <row r="1005" spans="1:3" x14ac:dyDescent="0.2">
      <c r="A1005" s="76"/>
      <c r="C1005" s="76"/>
    </row>
    <row r="1006" spans="1:3" x14ac:dyDescent="0.2">
      <c r="A1006" s="76"/>
      <c r="C1006" s="76"/>
    </row>
    <row r="1007" spans="1:3" x14ac:dyDescent="0.2">
      <c r="A1007" s="76"/>
      <c r="C1007" s="76"/>
    </row>
    <row r="1008" spans="1:3" x14ac:dyDescent="0.2">
      <c r="A1008" s="76"/>
      <c r="C1008" s="76"/>
    </row>
    <row r="1009" spans="1:3" x14ac:dyDescent="0.2">
      <c r="A1009" s="76"/>
      <c r="C1009" s="76"/>
    </row>
    <row r="1010" spans="1:3" x14ac:dyDescent="0.2">
      <c r="A1010" s="76"/>
      <c r="C1010" s="76"/>
    </row>
    <row r="1011" spans="1:3" x14ac:dyDescent="0.2">
      <c r="A1011" s="76"/>
      <c r="C1011" s="76"/>
    </row>
    <row r="1012" spans="1:3" x14ac:dyDescent="0.2">
      <c r="A1012" s="76"/>
      <c r="C1012" s="76"/>
    </row>
    <row r="1013" spans="1:3" x14ac:dyDescent="0.2">
      <c r="A1013" s="76"/>
      <c r="C1013" s="76"/>
    </row>
    <row r="1014" spans="1:3" x14ac:dyDescent="0.2">
      <c r="A1014" s="76"/>
      <c r="C1014" s="76"/>
    </row>
    <row r="1015" spans="1:3" x14ac:dyDescent="0.2">
      <c r="A1015" s="76"/>
      <c r="C1015" s="76"/>
    </row>
    <row r="1016" spans="1:3" x14ac:dyDescent="0.2">
      <c r="A1016" s="76"/>
      <c r="C1016" s="76"/>
    </row>
    <row r="1017" spans="1:3" x14ac:dyDescent="0.2">
      <c r="A1017" s="76"/>
      <c r="C1017" s="76"/>
    </row>
    <row r="1018" spans="1:3" x14ac:dyDescent="0.2">
      <c r="A1018" s="76"/>
      <c r="C1018" s="76"/>
    </row>
    <row r="1019" spans="1:3" x14ac:dyDescent="0.2">
      <c r="A1019" s="76"/>
      <c r="C1019" s="76"/>
    </row>
    <row r="1020" spans="1:3" x14ac:dyDescent="0.2">
      <c r="A1020" s="76"/>
      <c r="C1020" s="76"/>
    </row>
    <row r="1021" spans="1:3" x14ac:dyDescent="0.2">
      <c r="A1021" s="76"/>
      <c r="C1021" s="76"/>
    </row>
    <row r="1022" spans="1:3" x14ac:dyDescent="0.2">
      <c r="A1022" s="76"/>
      <c r="C1022" s="76"/>
    </row>
    <row r="1023" spans="1:3" x14ac:dyDescent="0.2">
      <c r="A1023" s="76"/>
      <c r="C1023" s="76"/>
    </row>
    <row r="1024" spans="1:3" x14ac:dyDescent="0.2">
      <c r="A1024" s="76"/>
      <c r="C1024" s="76"/>
    </row>
    <row r="1025" spans="1:3" x14ac:dyDescent="0.2">
      <c r="A1025" s="76"/>
      <c r="C1025" s="76"/>
    </row>
    <row r="1026" spans="1:3" x14ac:dyDescent="0.2">
      <c r="A1026" s="76"/>
      <c r="C1026" s="76"/>
    </row>
    <row r="1027" spans="1:3" x14ac:dyDescent="0.2">
      <c r="A1027" s="76"/>
      <c r="C1027" s="76"/>
    </row>
    <row r="1028" spans="1:3" x14ac:dyDescent="0.2">
      <c r="A1028" s="76"/>
      <c r="C1028" s="76"/>
    </row>
    <row r="1029" spans="1:3" x14ac:dyDescent="0.2">
      <c r="A1029" s="76"/>
      <c r="C1029" s="76"/>
    </row>
    <row r="1030" spans="1:3" x14ac:dyDescent="0.2">
      <c r="A1030" s="76"/>
      <c r="C1030" s="76"/>
    </row>
    <row r="1031" spans="1:3" x14ac:dyDescent="0.2">
      <c r="A1031" s="76"/>
      <c r="C1031" s="76"/>
    </row>
    <row r="1032" spans="1:3" x14ac:dyDescent="0.2">
      <c r="A1032" s="76"/>
      <c r="C1032" s="76"/>
    </row>
    <row r="1033" spans="1:3" x14ac:dyDescent="0.2">
      <c r="A1033" s="76"/>
      <c r="C1033" s="76"/>
    </row>
    <row r="1034" spans="1:3" x14ac:dyDescent="0.2">
      <c r="A1034" s="76"/>
      <c r="C1034" s="76"/>
    </row>
    <row r="1035" spans="1:3" x14ac:dyDescent="0.2">
      <c r="A1035" s="76"/>
      <c r="C1035" s="76"/>
    </row>
    <row r="1036" spans="1:3" x14ac:dyDescent="0.2">
      <c r="A1036" s="76"/>
      <c r="C1036" s="76"/>
    </row>
    <row r="1037" spans="1:3" x14ac:dyDescent="0.2">
      <c r="A1037" s="76"/>
      <c r="C1037" s="76"/>
    </row>
    <row r="1038" spans="1:3" x14ac:dyDescent="0.2">
      <c r="A1038" s="76"/>
      <c r="C1038" s="76"/>
    </row>
    <row r="1039" spans="1:3" x14ac:dyDescent="0.2">
      <c r="A1039" s="76"/>
      <c r="C1039" s="76"/>
    </row>
    <row r="1040" spans="1:3" x14ac:dyDescent="0.2">
      <c r="A1040" s="76"/>
      <c r="C1040" s="76"/>
    </row>
    <row r="1041" spans="1:3" x14ac:dyDescent="0.2">
      <c r="A1041" s="76"/>
      <c r="C1041" s="76"/>
    </row>
    <row r="1042" spans="1:3" x14ac:dyDescent="0.2">
      <c r="A1042" s="76"/>
      <c r="C1042" s="76"/>
    </row>
    <row r="1043" spans="1:3" x14ac:dyDescent="0.2">
      <c r="A1043" s="76"/>
      <c r="C1043" s="76"/>
    </row>
    <row r="1044" spans="1:3" x14ac:dyDescent="0.2">
      <c r="A1044" s="76"/>
      <c r="C1044" s="76"/>
    </row>
    <row r="1045" spans="1:3" x14ac:dyDescent="0.2">
      <c r="A1045" s="76"/>
      <c r="C1045" s="76"/>
    </row>
    <row r="1046" spans="1:3" x14ac:dyDescent="0.2">
      <c r="A1046" s="76"/>
      <c r="C1046" s="76"/>
    </row>
    <row r="1047" spans="1:3" x14ac:dyDescent="0.2">
      <c r="A1047" s="76"/>
      <c r="C1047" s="76"/>
    </row>
    <row r="1048" spans="1:3" x14ac:dyDescent="0.2">
      <c r="A1048" s="76"/>
      <c r="C1048" s="76"/>
    </row>
    <row r="1049" spans="1:3" x14ac:dyDescent="0.2">
      <c r="A1049" s="76"/>
      <c r="C1049" s="76"/>
    </row>
    <row r="1050" spans="1:3" x14ac:dyDescent="0.2">
      <c r="A1050" s="76"/>
      <c r="C1050" s="76"/>
    </row>
    <row r="1051" spans="1:3" x14ac:dyDescent="0.2">
      <c r="A1051" s="76"/>
      <c r="C1051" s="76"/>
    </row>
    <row r="1052" spans="1:3" x14ac:dyDescent="0.2">
      <c r="A1052" s="76"/>
      <c r="C1052" s="76"/>
    </row>
    <row r="1053" spans="1:3" x14ac:dyDescent="0.2">
      <c r="A1053" s="76"/>
      <c r="C1053" s="76"/>
    </row>
    <row r="1054" spans="1:3" x14ac:dyDescent="0.2">
      <c r="A1054" s="76"/>
      <c r="C1054" s="76"/>
    </row>
    <row r="1055" spans="1:3" x14ac:dyDescent="0.2">
      <c r="A1055" s="76"/>
      <c r="C1055" s="76"/>
    </row>
    <row r="1056" spans="1:3" x14ac:dyDescent="0.2">
      <c r="A1056" s="76"/>
      <c r="C1056" s="76"/>
    </row>
    <row r="1057" spans="1:3" x14ac:dyDescent="0.2">
      <c r="A1057" s="76"/>
      <c r="C1057" s="76"/>
    </row>
    <row r="1058" spans="1:3" x14ac:dyDescent="0.2">
      <c r="A1058" s="76"/>
      <c r="C1058" s="76"/>
    </row>
    <row r="1059" spans="1:3" x14ac:dyDescent="0.2">
      <c r="A1059" s="76"/>
      <c r="C1059" s="76"/>
    </row>
    <row r="1060" spans="1:3" x14ac:dyDescent="0.2">
      <c r="A1060" s="76"/>
      <c r="C1060" s="76"/>
    </row>
    <row r="1061" spans="1:3" x14ac:dyDescent="0.2">
      <c r="A1061" s="76"/>
      <c r="C1061" s="76"/>
    </row>
    <row r="1062" spans="1:3" x14ac:dyDescent="0.2">
      <c r="A1062" s="76"/>
      <c r="C1062" s="76"/>
    </row>
    <row r="1063" spans="1:3" x14ac:dyDescent="0.2">
      <c r="A1063" s="76"/>
      <c r="C1063" s="76"/>
    </row>
    <row r="1064" spans="1:3" x14ac:dyDescent="0.2">
      <c r="A1064" s="76"/>
      <c r="C1064" s="76"/>
    </row>
    <row r="1065" spans="1:3" x14ac:dyDescent="0.2">
      <c r="A1065" s="76"/>
      <c r="C1065" s="76"/>
    </row>
    <row r="1066" spans="1:3" x14ac:dyDescent="0.2">
      <c r="A1066" s="76"/>
      <c r="C1066" s="76"/>
    </row>
    <row r="1067" spans="1:3" x14ac:dyDescent="0.2">
      <c r="A1067" s="76"/>
      <c r="C1067" s="76"/>
    </row>
    <row r="1068" spans="1:3" x14ac:dyDescent="0.2">
      <c r="A1068" s="76"/>
      <c r="C1068" s="76"/>
    </row>
    <row r="1069" spans="1:3" x14ac:dyDescent="0.2">
      <c r="A1069" s="76"/>
      <c r="C1069" s="76"/>
    </row>
    <row r="1070" spans="1:3" x14ac:dyDescent="0.2">
      <c r="A1070" s="76"/>
      <c r="C1070" s="76"/>
    </row>
    <row r="1071" spans="1:3" x14ac:dyDescent="0.2">
      <c r="A1071" s="76"/>
      <c r="C1071" s="76"/>
    </row>
    <row r="1072" spans="1:3" x14ac:dyDescent="0.2">
      <c r="A1072" s="76"/>
      <c r="C1072" s="76"/>
    </row>
    <row r="1073" spans="1:3" x14ac:dyDescent="0.2">
      <c r="A1073" s="76"/>
      <c r="C1073" s="76"/>
    </row>
    <row r="1074" spans="1:3" x14ac:dyDescent="0.2">
      <c r="A1074" s="76"/>
      <c r="C1074" s="76"/>
    </row>
    <row r="1075" spans="1:3" x14ac:dyDescent="0.2">
      <c r="A1075" s="76"/>
      <c r="C1075" s="76"/>
    </row>
    <row r="1076" spans="1:3" x14ac:dyDescent="0.2">
      <c r="A1076" s="76"/>
      <c r="C1076" s="76"/>
    </row>
    <row r="1077" spans="1:3" x14ac:dyDescent="0.2">
      <c r="A1077" s="76"/>
      <c r="C1077" s="76"/>
    </row>
    <row r="1078" spans="1:3" x14ac:dyDescent="0.2">
      <c r="A1078" s="76"/>
      <c r="C1078" s="76"/>
    </row>
    <row r="1079" spans="1:3" x14ac:dyDescent="0.2">
      <c r="A1079" s="76"/>
      <c r="C1079" s="76"/>
    </row>
    <row r="1080" spans="1:3" x14ac:dyDescent="0.2">
      <c r="A1080" s="76"/>
      <c r="C1080" s="76"/>
    </row>
    <row r="1081" spans="1:3" x14ac:dyDescent="0.2">
      <c r="A1081" s="76"/>
      <c r="C1081" s="76"/>
    </row>
    <row r="1082" spans="1:3" x14ac:dyDescent="0.2">
      <c r="A1082" s="76"/>
      <c r="C1082" s="76"/>
    </row>
    <row r="1083" spans="1:3" x14ac:dyDescent="0.2">
      <c r="A1083" s="76"/>
      <c r="C1083" s="76"/>
    </row>
    <row r="1084" spans="1:3" x14ac:dyDescent="0.2">
      <c r="A1084" s="76"/>
      <c r="C1084" s="76"/>
    </row>
    <row r="1085" spans="1:3" x14ac:dyDescent="0.2">
      <c r="A1085" s="76"/>
      <c r="C1085" s="76"/>
    </row>
    <row r="1086" spans="1:3" x14ac:dyDescent="0.2">
      <c r="A1086" s="76"/>
      <c r="C1086" s="76"/>
    </row>
    <row r="1087" spans="1:3" x14ac:dyDescent="0.2">
      <c r="A1087" s="76"/>
      <c r="C1087" s="76"/>
    </row>
    <row r="1088" spans="1:3" x14ac:dyDescent="0.2">
      <c r="A1088" s="76"/>
      <c r="C1088" s="76"/>
    </row>
    <row r="1089" spans="1:3" x14ac:dyDescent="0.2">
      <c r="A1089" s="76"/>
      <c r="C1089" s="76"/>
    </row>
    <row r="1090" spans="1:3" x14ac:dyDescent="0.2">
      <c r="A1090" s="76"/>
      <c r="C1090" s="76"/>
    </row>
    <row r="1091" spans="1:3" x14ac:dyDescent="0.2">
      <c r="A1091" s="76"/>
      <c r="C1091" s="76"/>
    </row>
    <row r="1092" spans="1:3" x14ac:dyDescent="0.2">
      <c r="A1092" s="76"/>
      <c r="C1092" s="76"/>
    </row>
    <row r="1093" spans="1:3" x14ac:dyDescent="0.2">
      <c r="A1093" s="76"/>
      <c r="C1093" s="76"/>
    </row>
    <row r="1094" spans="1:3" x14ac:dyDescent="0.2">
      <c r="A1094" s="76"/>
      <c r="C1094" s="76"/>
    </row>
    <row r="1095" spans="1:3" x14ac:dyDescent="0.2">
      <c r="A1095" s="76"/>
      <c r="C1095" s="76"/>
    </row>
    <row r="1096" spans="1:3" x14ac:dyDescent="0.2">
      <c r="A1096" s="76"/>
      <c r="C1096" s="76"/>
    </row>
    <row r="1097" spans="1:3" x14ac:dyDescent="0.2">
      <c r="A1097" s="76"/>
      <c r="C1097" s="76"/>
    </row>
    <row r="1098" spans="1:3" x14ac:dyDescent="0.2">
      <c r="A1098" s="76"/>
      <c r="C1098" s="76"/>
    </row>
    <row r="1099" spans="1:3" x14ac:dyDescent="0.2">
      <c r="A1099" s="76"/>
      <c r="C1099" s="76"/>
    </row>
    <row r="1100" spans="1:3" x14ac:dyDescent="0.2">
      <c r="A1100" s="76"/>
      <c r="C1100" s="76"/>
    </row>
    <row r="1101" spans="1:3" x14ac:dyDescent="0.2">
      <c r="A1101" s="76"/>
      <c r="C1101" s="76"/>
    </row>
    <row r="1102" spans="1:3" x14ac:dyDescent="0.2">
      <c r="A1102" s="76"/>
      <c r="C1102" s="76"/>
    </row>
    <row r="1103" spans="1:3" x14ac:dyDescent="0.2">
      <c r="A1103" s="76"/>
      <c r="C1103" s="76"/>
    </row>
    <row r="1104" spans="1:3" x14ac:dyDescent="0.2">
      <c r="A1104" s="76"/>
      <c r="C1104" s="76"/>
    </row>
    <row r="1105" spans="1:3" x14ac:dyDescent="0.2">
      <c r="A1105" s="76"/>
      <c r="C1105" s="76"/>
    </row>
    <row r="1106" spans="1:3" x14ac:dyDescent="0.2">
      <c r="A1106" s="76"/>
      <c r="C1106" s="76"/>
    </row>
    <row r="1107" spans="1:3" x14ac:dyDescent="0.2">
      <c r="A1107" s="76"/>
      <c r="C1107" s="76"/>
    </row>
    <row r="1108" spans="1:3" x14ac:dyDescent="0.2">
      <c r="A1108" s="76"/>
      <c r="C1108" s="76"/>
    </row>
    <row r="1109" spans="1:3" x14ac:dyDescent="0.2">
      <c r="A1109" s="76"/>
      <c r="C1109" s="76"/>
    </row>
    <row r="1110" spans="1:3" x14ac:dyDescent="0.2">
      <c r="A1110" s="76"/>
      <c r="C1110" s="76"/>
    </row>
    <row r="1111" spans="1:3" x14ac:dyDescent="0.2">
      <c r="A1111" s="76"/>
      <c r="C1111" s="76"/>
    </row>
    <row r="1112" spans="1:3" x14ac:dyDescent="0.2">
      <c r="A1112" s="76"/>
      <c r="C1112" s="76"/>
    </row>
    <row r="1113" spans="1:3" x14ac:dyDescent="0.2">
      <c r="A1113" s="76"/>
      <c r="C1113" s="76"/>
    </row>
    <row r="1114" spans="1:3" x14ac:dyDescent="0.2">
      <c r="A1114" s="76"/>
      <c r="C1114" s="76"/>
    </row>
    <row r="1115" spans="1:3" x14ac:dyDescent="0.2">
      <c r="A1115" s="76"/>
      <c r="C1115" s="76"/>
    </row>
    <row r="1116" spans="1:3" x14ac:dyDescent="0.2">
      <c r="A1116" s="76"/>
      <c r="C1116" s="76"/>
    </row>
    <row r="1117" spans="1:3" x14ac:dyDescent="0.2">
      <c r="A1117" s="76"/>
      <c r="C1117" s="76"/>
    </row>
    <row r="1118" spans="1:3" x14ac:dyDescent="0.2">
      <c r="A1118" s="76"/>
      <c r="C1118" s="76"/>
    </row>
    <row r="1119" spans="1:3" x14ac:dyDescent="0.2">
      <c r="A1119" s="76"/>
      <c r="C1119" s="76"/>
    </row>
    <row r="1120" spans="1:3" x14ac:dyDescent="0.2">
      <c r="A1120" s="76"/>
      <c r="C1120" s="76"/>
    </row>
    <row r="1121" spans="1:3" x14ac:dyDescent="0.2">
      <c r="A1121" s="76"/>
      <c r="C1121" s="76"/>
    </row>
    <row r="1122" spans="1:3" x14ac:dyDescent="0.2">
      <c r="A1122" s="76"/>
      <c r="C1122" s="76"/>
    </row>
    <row r="1123" spans="1:3" x14ac:dyDescent="0.2">
      <c r="A1123" s="76"/>
      <c r="C1123" s="76"/>
    </row>
    <row r="1124" spans="1:3" x14ac:dyDescent="0.2">
      <c r="A1124" s="76"/>
      <c r="C1124" s="76"/>
    </row>
    <row r="1125" spans="1:3" x14ac:dyDescent="0.2">
      <c r="A1125" s="76"/>
      <c r="C1125" s="76"/>
    </row>
    <row r="1126" spans="1:3" x14ac:dyDescent="0.2">
      <c r="A1126" s="76"/>
      <c r="C1126" s="76"/>
    </row>
    <row r="1127" spans="1:3" x14ac:dyDescent="0.2">
      <c r="A1127" s="76"/>
      <c r="C1127" s="76"/>
    </row>
    <row r="1128" spans="1:3" x14ac:dyDescent="0.2">
      <c r="A1128" s="76"/>
      <c r="C1128" s="76"/>
    </row>
    <row r="1129" spans="1:3" x14ac:dyDescent="0.2">
      <c r="A1129" s="76"/>
      <c r="C1129" s="76"/>
    </row>
    <row r="1130" spans="1:3" x14ac:dyDescent="0.2">
      <c r="A1130" s="76"/>
      <c r="C1130" s="76"/>
    </row>
    <row r="1131" spans="1:3" x14ac:dyDescent="0.2">
      <c r="A1131" s="76"/>
      <c r="C1131" s="76"/>
    </row>
    <row r="1132" spans="1:3" x14ac:dyDescent="0.2">
      <c r="A1132" s="76"/>
      <c r="C1132" s="76"/>
    </row>
    <row r="1133" spans="1:3" x14ac:dyDescent="0.2">
      <c r="A1133" s="76"/>
      <c r="C1133" s="76"/>
    </row>
    <row r="1134" spans="1:3" x14ac:dyDescent="0.2">
      <c r="A1134" s="76"/>
      <c r="C1134" s="76"/>
    </row>
    <row r="1135" spans="1:3" x14ac:dyDescent="0.2">
      <c r="A1135" s="76"/>
      <c r="C1135" s="76"/>
    </row>
    <row r="1136" spans="1:3" x14ac:dyDescent="0.2">
      <c r="A1136" s="76"/>
      <c r="C1136" s="76"/>
    </row>
    <row r="1137" spans="1:3" x14ac:dyDescent="0.2">
      <c r="A1137" s="76"/>
      <c r="C1137" s="76"/>
    </row>
    <row r="1138" spans="1:3" x14ac:dyDescent="0.2">
      <c r="A1138" s="76"/>
      <c r="C1138" s="76"/>
    </row>
    <row r="1139" spans="1:3" x14ac:dyDescent="0.2">
      <c r="A1139" s="76"/>
      <c r="C1139" s="76"/>
    </row>
    <row r="1140" spans="1:3" x14ac:dyDescent="0.2">
      <c r="A1140" s="76"/>
      <c r="C1140" s="76"/>
    </row>
    <row r="1141" spans="1:3" x14ac:dyDescent="0.2">
      <c r="A1141" s="76"/>
      <c r="C1141" s="76"/>
    </row>
    <row r="1142" spans="1:3" x14ac:dyDescent="0.2">
      <c r="A1142" s="76"/>
      <c r="C1142" s="76"/>
    </row>
    <row r="1143" spans="1:3" x14ac:dyDescent="0.2">
      <c r="A1143" s="76"/>
      <c r="C1143" s="76"/>
    </row>
    <row r="1144" spans="1:3" x14ac:dyDescent="0.2">
      <c r="A1144" s="76"/>
      <c r="C1144" s="76"/>
    </row>
    <row r="1145" spans="1:3" x14ac:dyDescent="0.2">
      <c r="A1145" s="76"/>
      <c r="C1145" s="76"/>
    </row>
    <row r="1146" spans="1:3" x14ac:dyDescent="0.2">
      <c r="A1146" s="76"/>
      <c r="C1146" s="76"/>
    </row>
    <row r="1147" spans="1:3" x14ac:dyDescent="0.2">
      <c r="A1147" s="76"/>
      <c r="C1147" s="76"/>
    </row>
    <row r="1148" spans="1:3" x14ac:dyDescent="0.2">
      <c r="A1148" s="76"/>
      <c r="C1148" s="76"/>
    </row>
    <row r="1149" spans="1:3" x14ac:dyDescent="0.2">
      <c r="A1149" s="76"/>
      <c r="C1149" s="76"/>
    </row>
    <row r="1150" spans="1:3" x14ac:dyDescent="0.2">
      <c r="A1150" s="76"/>
      <c r="C1150" s="76"/>
    </row>
    <row r="1151" spans="1:3" x14ac:dyDescent="0.2">
      <c r="A1151" s="76"/>
      <c r="C1151" s="76"/>
    </row>
    <row r="1152" spans="1:3" x14ac:dyDescent="0.2">
      <c r="A1152" s="76"/>
      <c r="C1152" s="76"/>
    </row>
    <row r="1153" spans="1:3" x14ac:dyDescent="0.2">
      <c r="A1153" s="76"/>
      <c r="C1153" s="76"/>
    </row>
    <row r="1154" spans="1:3" x14ac:dyDescent="0.2">
      <c r="A1154" s="76"/>
      <c r="C1154" s="76"/>
    </row>
    <row r="1155" spans="1:3" x14ac:dyDescent="0.2">
      <c r="A1155" s="76"/>
      <c r="C1155" s="76"/>
    </row>
    <row r="1156" spans="1:3" x14ac:dyDescent="0.2">
      <c r="A1156" s="76"/>
      <c r="C1156" s="76"/>
    </row>
    <row r="1157" spans="1:3" x14ac:dyDescent="0.2">
      <c r="A1157" s="76"/>
      <c r="C1157" s="76"/>
    </row>
    <row r="1158" spans="1:3" x14ac:dyDescent="0.2">
      <c r="A1158" s="76"/>
      <c r="C1158" s="76"/>
    </row>
    <row r="1159" spans="1:3" x14ac:dyDescent="0.2">
      <c r="A1159" s="76"/>
      <c r="C1159" s="76"/>
    </row>
    <row r="1160" spans="1:3" x14ac:dyDescent="0.2">
      <c r="A1160" s="76"/>
      <c r="C1160" s="76"/>
    </row>
    <row r="1161" spans="1:3" x14ac:dyDescent="0.2">
      <c r="A1161" s="76"/>
      <c r="C1161" s="76"/>
    </row>
    <row r="1162" spans="1:3" x14ac:dyDescent="0.2">
      <c r="A1162" s="76"/>
      <c r="C1162" s="76"/>
    </row>
    <row r="1163" spans="1:3" x14ac:dyDescent="0.2">
      <c r="A1163" s="76"/>
      <c r="C1163" s="76"/>
    </row>
    <row r="1164" spans="1:3" x14ac:dyDescent="0.2">
      <c r="A1164" s="76"/>
      <c r="C1164" s="76"/>
    </row>
    <row r="1165" spans="1:3" x14ac:dyDescent="0.2">
      <c r="A1165" s="76"/>
      <c r="C1165" s="76"/>
    </row>
    <row r="1166" spans="1:3" x14ac:dyDescent="0.2">
      <c r="A1166" s="76"/>
      <c r="C1166" s="76"/>
    </row>
    <row r="1167" spans="1:3" x14ac:dyDescent="0.2">
      <c r="A1167" s="76"/>
      <c r="C1167" s="76"/>
    </row>
    <row r="1168" spans="1:3" x14ac:dyDescent="0.2">
      <c r="A1168" s="76"/>
      <c r="C1168" s="76"/>
    </row>
    <row r="1169" spans="1:3" x14ac:dyDescent="0.2">
      <c r="A1169" s="76"/>
      <c r="C1169" s="76"/>
    </row>
    <row r="1170" spans="1:3" x14ac:dyDescent="0.2">
      <c r="A1170" s="76"/>
      <c r="C1170" s="76"/>
    </row>
    <row r="1171" spans="1:3" x14ac:dyDescent="0.2">
      <c r="A1171" s="76"/>
      <c r="C1171" s="76"/>
    </row>
    <row r="1172" spans="1:3" x14ac:dyDescent="0.2">
      <c r="A1172" s="76"/>
      <c r="C1172" s="76"/>
    </row>
    <row r="1173" spans="1:3" x14ac:dyDescent="0.2">
      <c r="A1173" s="76"/>
      <c r="C1173" s="76"/>
    </row>
    <row r="1174" spans="1:3" x14ac:dyDescent="0.2">
      <c r="A1174" s="76"/>
      <c r="C1174" s="76"/>
    </row>
    <row r="1175" spans="1:3" x14ac:dyDescent="0.2">
      <c r="A1175" s="76"/>
      <c r="C1175" s="76"/>
    </row>
    <row r="1176" spans="1:3" x14ac:dyDescent="0.2">
      <c r="A1176" s="76"/>
      <c r="C1176" s="76"/>
    </row>
    <row r="1177" spans="1:3" x14ac:dyDescent="0.2">
      <c r="A1177" s="76"/>
      <c r="C1177" s="76"/>
    </row>
    <row r="1178" spans="1:3" x14ac:dyDescent="0.2">
      <c r="A1178" s="76"/>
      <c r="C1178" s="76"/>
    </row>
    <row r="1179" spans="1:3" x14ac:dyDescent="0.2">
      <c r="A1179" s="76"/>
      <c r="C1179" s="76"/>
    </row>
    <row r="1180" spans="1:3" x14ac:dyDescent="0.2">
      <c r="A1180" s="76"/>
      <c r="C1180" s="76"/>
    </row>
    <row r="1181" spans="1:3" x14ac:dyDescent="0.2">
      <c r="A1181" s="76"/>
      <c r="C1181" s="76"/>
    </row>
    <row r="1182" spans="1:3" x14ac:dyDescent="0.2">
      <c r="A1182" s="76"/>
      <c r="C1182" s="76"/>
    </row>
    <row r="1183" spans="1:3" x14ac:dyDescent="0.2">
      <c r="A1183" s="76"/>
      <c r="C1183" s="76"/>
    </row>
    <row r="1184" spans="1:3" x14ac:dyDescent="0.2">
      <c r="A1184" s="76"/>
      <c r="C1184" s="76"/>
    </row>
    <row r="1185" spans="1:3" x14ac:dyDescent="0.2">
      <c r="A1185" s="76"/>
      <c r="C1185" s="76"/>
    </row>
    <row r="1186" spans="1:3" x14ac:dyDescent="0.2">
      <c r="A1186" s="76"/>
      <c r="C1186" s="76"/>
    </row>
    <row r="1187" spans="1:3" x14ac:dyDescent="0.2">
      <c r="A1187" s="76"/>
      <c r="C1187" s="76"/>
    </row>
    <row r="1188" spans="1:3" x14ac:dyDescent="0.2">
      <c r="A1188" s="76"/>
      <c r="C1188" s="76"/>
    </row>
    <row r="1189" spans="1:3" x14ac:dyDescent="0.2">
      <c r="A1189" s="76"/>
      <c r="C1189" s="76"/>
    </row>
    <row r="1190" spans="1:3" x14ac:dyDescent="0.2">
      <c r="A1190" s="76"/>
      <c r="C1190" s="76"/>
    </row>
    <row r="1191" spans="1:3" x14ac:dyDescent="0.2">
      <c r="A1191" s="76"/>
      <c r="C1191" s="76"/>
    </row>
    <row r="1192" spans="1:3" x14ac:dyDescent="0.2">
      <c r="A1192" s="76"/>
      <c r="C1192" s="76"/>
    </row>
    <row r="1193" spans="1:3" x14ac:dyDescent="0.2">
      <c r="A1193" s="76"/>
      <c r="C1193" s="76"/>
    </row>
    <row r="1194" spans="1:3" x14ac:dyDescent="0.2">
      <c r="A1194" s="76"/>
      <c r="C1194" s="76"/>
    </row>
    <row r="1195" spans="1:3" x14ac:dyDescent="0.2">
      <c r="A1195" s="76"/>
      <c r="C1195" s="76"/>
    </row>
    <row r="1196" spans="1:3" x14ac:dyDescent="0.2">
      <c r="A1196" s="76"/>
      <c r="C1196" s="76"/>
    </row>
    <row r="1197" spans="1:3" x14ac:dyDescent="0.2">
      <c r="A1197" s="76"/>
      <c r="C1197" s="76"/>
    </row>
    <row r="1198" spans="1:3" x14ac:dyDescent="0.2">
      <c r="A1198" s="76"/>
      <c r="C1198" s="76"/>
    </row>
    <row r="1199" spans="1:3" x14ac:dyDescent="0.2">
      <c r="A1199" s="76"/>
      <c r="C1199" s="76"/>
    </row>
    <row r="1200" spans="1:3" x14ac:dyDescent="0.2">
      <c r="A1200" s="76"/>
      <c r="C1200" s="76"/>
    </row>
    <row r="1201" spans="1:3" x14ac:dyDescent="0.2">
      <c r="A1201" s="76"/>
      <c r="C1201" s="76"/>
    </row>
    <row r="1202" spans="1:3" x14ac:dyDescent="0.2">
      <c r="A1202" s="76"/>
      <c r="C1202" s="76"/>
    </row>
    <row r="1203" spans="1:3" x14ac:dyDescent="0.2">
      <c r="A1203" s="76"/>
      <c r="C1203" s="76"/>
    </row>
    <row r="1204" spans="1:3" x14ac:dyDescent="0.2">
      <c r="A1204" s="76"/>
      <c r="C1204" s="76"/>
    </row>
    <row r="1205" spans="1:3" x14ac:dyDescent="0.2">
      <c r="A1205" s="76"/>
      <c r="C1205" s="76"/>
    </row>
    <row r="1206" spans="1:3" x14ac:dyDescent="0.2">
      <c r="A1206" s="76"/>
      <c r="C1206" s="76"/>
    </row>
    <row r="1207" spans="1:3" x14ac:dyDescent="0.2">
      <c r="A1207" s="76"/>
      <c r="C1207" s="76"/>
    </row>
    <row r="1208" spans="1:3" x14ac:dyDescent="0.2">
      <c r="A1208" s="76"/>
      <c r="C1208" s="76"/>
    </row>
    <row r="1209" spans="1:3" x14ac:dyDescent="0.2">
      <c r="A1209" s="76"/>
      <c r="C1209" s="76"/>
    </row>
    <row r="1210" spans="1:3" x14ac:dyDescent="0.2">
      <c r="A1210" s="76"/>
      <c r="C1210" s="76"/>
    </row>
    <row r="1211" spans="1:3" x14ac:dyDescent="0.2">
      <c r="A1211" s="76"/>
      <c r="C1211" s="76"/>
    </row>
    <row r="1212" spans="1:3" x14ac:dyDescent="0.2">
      <c r="A1212" s="76"/>
      <c r="C1212" s="76"/>
    </row>
    <row r="1213" spans="1:3" x14ac:dyDescent="0.2">
      <c r="A1213" s="76"/>
      <c r="C1213" s="76"/>
    </row>
    <row r="1214" spans="1:3" x14ac:dyDescent="0.2">
      <c r="A1214" s="76"/>
      <c r="C1214" s="76"/>
    </row>
    <row r="1215" spans="1:3" x14ac:dyDescent="0.2">
      <c r="A1215" s="76"/>
      <c r="C1215" s="76"/>
    </row>
    <row r="1216" spans="1:3" x14ac:dyDescent="0.2">
      <c r="A1216" s="76"/>
      <c r="C1216" s="76"/>
    </row>
    <row r="1217" spans="1:3" x14ac:dyDescent="0.2">
      <c r="A1217" s="76"/>
      <c r="C1217" s="76"/>
    </row>
    <row r="1218" spans="1:3" x14ac:dyDescent="0.2">
      <c r="A1218" s="76"/>
      <c r="C1218" s="76"/>
    </row>
    <row r="1219" spans="1:3" x14ac:dyDescent="0.2">
      <c r="A1219" s="76"/>
      <c r="C1219" s="76"/>
    </row>
    <row r="1220" spans="1:3" x14ac:dyDescent="0.2">
      <c r="A1220" s="76"/>
      <c r="C1220" s="76"/>
    </row>
    <row r="1221" spans="1:3" x14ac:dyDescent="0.2">
      <c r="A1221" s="76"/>
      <c r="C1221" s="76"/>
    </row>
    <row r="1222" spans="1:3" x14ac:dyDescent="0.2">
      <c r="A1222" s="76"/>
      <c r="C1222" s="76"/>
    </row>
    <row r="1223" spans="1:3" x14ac:dyDescent="0.2">
      <c r="A1223" s="76"/>
      <c r="C1223" s="76"/>
    </row>
    <row r="1224" spans="1:3" x14ac:dyDescent="0.2">
      <c r="A1224" s="76"/>
      <c r="C1224" s="76"/>
    </row>
    <row r="1225" spans="1:3" x14ac:dyDescent="0.2">
      <c r="A1225" s="76"/>
      <c r="C1225" s="76"/>
    </row>
    <row r="1226" spans="1:3" x14ac:dyDescent="0.2">
      <c r="A1226" s="76"/>
      <c r="C1226" s="76"/>
    </row>
    <row r="1227" spans="1:3" x14ac:dyDescent="0.2">
      <c r="A1227" s="76"/>
      <c r="C1227" s="76"/>
    </row>
    <row r="1228" spans="1:3" x14ac:dyDescent="0.2">
      <c r="A1228" s="76"/>
      <c r="C1228" s="76"/>
    </row>
    <row r="1229" spans="1:3" x14ac:dyDescent="0.2">
      <c r="A1229" s="76"/>
      <c r="C1229" s="76"/>
    </row>
    <row r="1230" spans="1:3" x14ac:dyDescent="0.2">
      <c r="A1230" s="76"/>
      <c r="C1230" s="76"/>
    </row>
    <row r="1231" spans="1:3" x14ac:dyDescent="0.2">
      <c r="A1231" s="76"/>
      <c r="C1231" s="76"/>
    </row>
    <row r="1232" spans="1:3" x14ac:dyDescent="0.2">
      <c r="A1232" s="76"/>
      <c r="C1232" s="76"/>
    </row>
    <row r="1233" spans="1:3" x14ac:dyDescent="0.2">
      <c r="A1233" s="76"/>
      <c r="C1233" s="76"/>
    </row>
    <row r="1234" spans="1:3" x14ac:dyDescent="0.2">
      <c r="A1234" s="76"/>
      <c r="C1234" s="76"/>
    </row>
    <row r="1235" spans="1:3" x14ac:dyDescent="0.2">
      <c r="A1235" s="76"/>
      <c r="C1235" s="76"/>
    </row>
    <row r="1236" spans="1:3" x14ac:dyDescent="0.2">
      <c r="A1236" s="76"/>
      <c r="C1236" s="76"/>
    </row>
    <row r="1237" spans="1:3" x14ac:dyDescent="0.2">
      <c r="A1237" s="76"/>
      <c r="C1237" s="76"/>
    </row>
    <row r="1238" spans="1:3" x14ac:dyDescent="0.2">
      <c r="A1238" s="76"/>
      <c r="C1238" s="76"/>
    </row>
    <row r="1239" spans="1:3" x14ac:dyDescent="0.2">
      <c r="A1239" s="76"/>
      <c r="C1239" s="76"/>
    </row>
    <row r="1240" spans="1:3" x14ac:dyDescent="0.2">
      <c r="A1240" s="76"/>
      <c r="C1240" s="76"/>
    </row>
    <row r="1241" spans="1:3" x14ac:dyDescent="0.2">
      <c r="A1241" s="76"/>
      <c r="C1241" s="76"/>
    </row>
    <row r="1242" spans="1:3" x14ac:dyDescent="0.2">
      <c r="A1242" s="76"/>
      <c r="C1242" s="76"/>
    </row>
    <row r="1243" spans="1:3" x14ac:dyDescent="0.2">
      <c r="A1243" s="76"/>
      <c r="C1243" s="76"/>
    </row>
    <row r="1244" spans="1:3" x14ac:dyDescent="0.2">
      <c r="A1244" s="76"/>
      <c r="C1244" s="76"/>
    </row>
    <row r="1245" spans="1:3" x14ac:dyDescent="0.2">
      <c r="A1245" s="76"/>
      <c r="C1245" s="76"/>
    </row>
    <row r="1246" spans="1:3" x14ac:dyDescent="0.2">
      <c r="A1246" s="76"/>
      <c r="C1246" s="76"/>
    </row>
    <row r="1247" spans="1:3" x14ac:dyDescent="0.2">
      <c r="A1247" s="76"/>
      <c r="C1247" s="76"/>
    </row>
    <row r="1248" spans="1:3" x14ac:dyDescent="0.2">
      <c r="A1248" s="76"/>
      <c r="C1248" s="76"/>
    </row>
    <row r="1249" spans="1:3" x14ac:dyDescent="0.2">
      <c r="A1249" s="76"/>
      <c r="C1249" s="76"/>
    </row>
    <row r="1250" spans="1:3" x14ac:dyDescent="0.2">
      <c r="A1250" s="76"/>
      <c r="C1250" s="76"/>
    </row>
    <row r="1251" spans="1:3" x14ac:dyDescent="0.2">
      <c r="A1251" s="76"/>
      <c r="C1251" s="76"/>
    </row>
    <row r="1252" spans="1:3" x14ac:dyDescent="0.2">
      <c r="A1252" s="76"/>
      <c r="C1252" s="76"/>
    </row>
    <row r="1253" spans="1:3" x14ac:dyDescent="0.2">
      <c r="A1253" s="76"/>
      <c r="C1253" s="76"/>
    </row>
    <row r="1254" spans="1:3" x14ac:dyDescent="0.2">
      <c r="A1254" s="76"/>
      <c r="C1254" s="76"/>
    </row>
    <row r="1255" spans="1:3" x14ac:dyDescent="0.2">
      <c r="A1255" s="76"/>
      <c r="C1255" s="76"/>
    </row>
    <row r="1256" spans="1:3" x14ac:dyDescent="0.2">
      <c r="A1256" s="76"/>
      <c r="C1256" s="76"/>
    </row>
    <row r="1257" spans="1:3" x14ac:dyDescent="0.2">
      <c r="A1257" s="76"/>
      <c r="C1257" s="76"/>
    </row>
    <row r="1258" spans="1:3" x14ac:dyDescent="0.2">
      <c r="A1258" s="76"/>
      <c r="C1258" s="76"/>
    </row>
    <row r="1259" spans="1:3" x14ac:dyDescent="0.2">
      <c r="A1259" s="76"/>
      <c r="C1259" s="76"/>
    </row>
    <row r="1260" spans="1:3" x14ac:dyDescent="0.2">
      <c r="A1260" s="76"/>
      <c r="C1260" s="76"/>
    </row>
    <row r="1261" spans="1:3" x14ac:dyDescent="0.2">
      <c r="A1261" s="76"/>
      <c r="C1261" s="76"/>
    </row>
    <row r="1262" spans="1:3" x14ac:dyDescent="0.2">
      <c r="A1262" s="76"/>
      <c r="C1262" s="76"/>
    </row>
    <row r="1263" spans="1:3" x14ac:dyDescent="0.2">
      <c r="A1263" s="76"/>
      <c r="C1263" s="76"/>
    </row>
    <row r="1264" spans="1:3" x14ac:dyDescent="0.2">
      <c r="A1264" s="76"/>
      <c r="C1264" s="76"/>
    </row>
    <row r="1265" spans="1:3" x14ac:dyDescent="0.2">
      <c r="A1265" s="76"/>
      <c r="C1265" s="76"/>
    </row>
    <row r="1266" spans="1:3" x14ac:dyDescent="0.2">
      <c r="A1266" s="76"/>
      <c r="C1266" s="76"/>
    </row>
    <row r="1267" spans="1:3" x14ac:dyDescent="0.2">
      <c r="A1267" s="76"/>
      <c r="C1267" s="76"/>
    </row>
    <row r="1268" spans="1:3" x14ac:dyDescent="0.2">
      <c r="A1268" s="76"/>
      <c r="C1268" s="76"/>
    </row>
    <row r="1269" spans="1:3" x14ac:dyDescent="0.2">
      <c r="A1269" s="76"/>
      <c r="C1269" s="76"/>
    </row>
    <row r="1270" spans="1:3" x14ac:dyDescent="0.2">
      <c r="A1270" s="76"/>
      <c r="C1270" s="76"/>
    </row>
    <row r="1271" spans="1:3" x14ac:dyDescent="0.2">
      <c r="A1271" s="76"/>
      <c r="C1271" s="76"/>
    </row>
    <row r="1272" spans="1:3" x14ac:dyDescent="0.2">
      <c r="A1272" s="76"/>
      <c r="C1272" s="76"/>
    </row>
    <row r="1273" spans="1:3" x14ac:dyDescent="0.2">
      <c r="A1273" s="76"/>
      <c r="C1273" s="76"/>
    </row>
    <row r="1274" spans="1:3" x14ac:dyDescent="0.2">
      <c r="A1274" s="76"/>
      <c r="C1274" s="76"/>
    </row>
    <row r="1275" spans="1:3" x14ac:dyDescent="0.2">
      <c r="A1275" s="76"/>
      <c r="C1275" s="76"/>
    </row>
    <row r="1276" spans="1:3" x14ac:dyDescent="0.2">
      <c r="A1276" s="76"/>
      <c r="C1276" s="76"/>
    </row>
    <row r="1277" spans="1:3" x14ac:dyDescent="0.2">
      <c r="A1277" s="76"/>
      <c r="C1277" s="76"/>
    </row>
    <row r="1278" spans="1:3" x14ac:dyDescent="0.2">
      <c r="A1278" s="76"/>
      <c r="C1278" s="76"/>
    </row>
    <row r="1279" spans="1:3" x14ac:dyDescent="0.2">
      <c r="A1279" s="76"/>
      <c r="C1279" s="76"/>
    </row>
    <row r="1280" spans="1:3" x14ac:dyDescent="0.2">
      <c r="A1280" s="76"/>
      <c r="C1280" s="76"/>
    </row>
    <row r="1281" spans="1:3" x14ac:dyDescent="0.2">
      <c r="A1281" s="76"/>
      <c r="C1281" s="76"/>
    </row>
    <row r="1282" spans="1:3" x14ac:dyDescent="0.2">
      <c r="A1282" s="76"/>
      <c r="C1282" s="76"/>
    </row>
    <row r="1283" spans="1:3" x14ac:dyDescent="0.2">
      <c r="A1283" s="76"/>
      <c r="C1283" s="76"/>
    </row>
    <row r="1284" spans="1:3" x14ac:dyDescent="0.2">
      <c r="A1284" s="76"/>
      <c r="C1284" s="76"/>
    </row>
    <row r="1285" spans="1:3" x14ac:dyDescent="0.2">
      <c r="A1285" s="76"/>
      <c r="C1285" s="76"/>
    </row>
    <row r="1286" spans="1:3" x14ac:dyDescent="0.2">
      <c r="A1286" s="76"/>
      <c r="C1286" s="76"/>
    </row>
    <row r="1287" spans="1:3" x14ac:dyDescent="0.2">
      <c r="A1287" s="76"/>
      <c r="C1287" s="76"/>
    </row>
    <row r="1288" spans="1:3" x14ac:dyDescent="0.2">
      <c r="A1288" s="76"/>
      <c r="C1288" s="76"/>
    </row>
    <row r="1289" spans="1:3" x14ac:dyDescent="0.2">
      <c r="A1289" s="76"/>
      <c r="C1289" s="76"/>
    </row>
    <row r="1290" spans="1:3" x14ac:dyDescent="0.2">
      <c r="A1290" s="76"/>
      <c r="C1290" s="76"/>
    </row>
    <row r="1291" spans="1:3" x14ac:dyDescent="0.2">
      <c r="A1291" s="76"/>
      <c r="C1291" s="76"/>
    </row>
    <row r="1292" spans="1:3" x14ac:dyDescent="0.2">
      <c r="A1292" s="76"/>
      <c r="C1292" s="76"/>
    </row>
    <row r="1293" spans="1:3" x14ac:dyDescent="0.2">
      <c r="A1293" s="76"/>
      <c r="C1293" s="76"/>
    </row>
    <row r="1294" spans="1:3" x14ac:dyDescent="0.2">
      <c r="A1294" s="76"/>
      <c r="C1294" s="76"/>
    </row>
    <row r="1295" spans="1:3" x14ac:dyDescent="0.2">
      <c r="A1295" s="76"/>
      <c r="C1295" s="76"/>
    </row>
    <row r="1296" spans="1:3" x14ac:dyDescent="0.2">
      <c r="A1296" s="76"/>
      <c r="C1296" s="76"/>
    </row>
    <row r="1297" spans="1:3" x14ac:dyDescent="0.2">
      <c r="A1297" s="76"/>
      <c r="C1297" s="76"/>
    </row>
    <row r="1298" spans="1:3" x14ac:dyDescent="0.2">
      <c r="A1298" s="76"/>
      <c r="C1298" s="76"/>
    </row>
    <row r="1299" spans="1:3" x14ac:dyDescent="0.2">
      <c r="A1299" s="76"/>
      <c r="C1299" s="76"/>
    </row>
    <row r="1300" spans="1:3" x14ac:dyDescent="0.2">
      <c r="A1300" s="76"/>
      <c r="C1300" s="76"/>
    </row>
    <row r="1301" spans="1:3" x14ac:dyDescent="0.2">
      <c r="A1301" s="76"/>
      <c r="C1301" s="76"/>
    </row>
    <row r="1302" spans="1:3" x14ac:dyDescent="0.2">
      <c r="A1302" s="76"/>
      <c r="C1302" s="76"/>
    </row>
    <row r="1303" spans="1:3" x14ac:dyDescent="0.2">
      <c r="A1303" s="76"/>
      <c r="C1303" s="76"/>
    </row>
    <row r="1304" spans="1:3" x14ac:dyDescent="0.2">
      <c r="A1304" s="76"/>
      <c r="C1304" s="76"/>
    </row>
    <row r="1305" spans="1:3" x14ac:dyDescent="0.2">
      <c r="A1305" s="76"/>
      <c r="C1305" s="76"/>
    </row>
    <row r="1306" spans="1:3" x14ac:dyDescent="0.2">
      <c r="A1306" s="76"/>
      <c r="C1306" s="76"/>
    </row>
    <row r="1307" spans="1:3" x14ac:dyDescent="0.2">
      <c r="A1307" s="76"/>
      <c r="C1307" s="76"/>
    </row>
    <row r="1308" spans="1:3" x14ac:dyDescent="0.2">
      <c r="A1308" s="76"/>
      <c r="C1308" s="76"/>
    </row>
    <row r="1309" spans="1:3" x14ac:dyDescent="0.2">
      <c r="A1309" s="76"/>
      <c r="C1309" s="76"/>
    </row>
    <row r="1310" spans="1:3" x14ac:dyDescent="0.2">
      <c r="A1310" s="76"/>
      <c r="C1310" s="76"/>
    </row>
    <row r="1311" spans="1:3" x14ac:dyDescent="0.2">
      <c r="A1311" s="76"/>
      <c r="C1311" s="76"/>
    </row>
    <row r="1312" spans="1:3" x14ac:dyDescent="0.2">
      <c r="A1312" s="76"/>
      <c r="C1312" s="76"/>
    </row>
    <row r="1313" spans="1:3" x14ac:dyDescent="0.2">
      <c r="A1313" s="76"/>
      <c r="C1313" s="76"/>
    </row>
    <row r="1314" spans="1:3" x14ac:dyDescent="0.2">
      <c r="A1314" s="76"/>
      <c r="C1314" s="76"/>
    </row>
    <row r="1315" spans="1:3" x14ac:dyDescent="0.2">
      <c r="A1315" s="76"/>
      <c r="C1315" s="76"/>
    </row>
    <row r="1316" spans="1:3" x14ac:dyDescent="0.2">
      <c r="A1316" s="76"/>
      <c r="C1316" s="76"/>
    </row>
    <row r="1317" spans="1:3" x14ac:dyDescent="0.2">
      <c r="A1317" s="76"/>
      <c r="C1317" s="76"/>
    </row>
    <row r="1318" spans="1:3" x14ac:dyDescent="0.2">
      <c r="A1318" s="76"/>
      <c r="C1318" s="76"/>
    </row>
    <row r="1319" spans="1:3" x14ac:dyDescent="0.2">
      <c r="A1319" s="76"/>
      <c r="C1319" s="76"/>
    </row>
    <row r="1320" spans="1:3" x14ac:dyDescent="0.2">
      <c r="A1320" s="76"/>
      <c r="C1320" s="76"/>
    </row>
    <row r="1321" spans="1:3" x14ac:dyDescent="0.2">
      <c r="A1321" s="76"/>
      <c r="C1321" s="76"/>
    </row>
    <row r="1322" spans="1:3" x14ac:dyDescent="0.2">
      <c r="A1322" s="76"/>
      <c r="C1322" s="76"/>
    </row>
    <row r="1323" spans="1:3" x14ac:dyDescent="0.2">
      <c r="A1323" s="76"/>
      <c r="C1323" s="76"/>
    </row>
    <row r="1324" spans="1:3" x14ac:dyDescent="0.2">
      <c r="A1324" s="76"/>
      <c r="C1324" s="76"/>
    </row>
    <row r="1325" spans="1:3" x14ac:dyDescent="0.2">
      <c r="A1325" s="76"/>
      <c r="C1325" s="76"/>
    </row>
    <row r="1326" spans="1:3" x14ac:dyDescent="0.2">
      <c r="A1326" s="76"/>
      <c r="C1326" s="76"/>
    </row>
    <row r="1327" spans="1:3" x14ac:dyDescent="0.2">
      <c r="A1327" s="76"/>
      <c r="C1327" s="76"/>
    </row>
    <row r="1328" spans="1:3" x14ac:dyDescent="0.2">
      <c r="A1328" s="76"/>
      <c r="C1328" s="76"/>
    </row>
    <row r="1329" spans="1:3" x14ac:dyDescent="0.2">
      <c r="A1329" s="76"/>
      <c r="C1329" s="76"/>
    </row>
    <row r="1330" spans="1:3" x14ac:dyDescent="0.2">
      <c r="A1330" s="76"/>
      <c r="C1330" s="76"/>
    </row>
    <row r="1331" spans="1:3" x14ac:dyDescent="0.2">
      <c r="A1331" s="76"/>
      <c r="C1331" s="76"/>
    </row>
    <row r="1332" spans="1:3" x14ac:dyDescent="0.2">
      <c r="A1332" s="76"/>
      <c r="C1332" s="76"/>
    </row>
    <row r="1333" spans="1:3" x14ac:dyDescent="0.2">
      <c r="A1333" s="76"/>
      <c r="C1333" s="76"/>
    </row>
    <row r="1334" spans="1:3" x14ac:dyDescent="0.2">
      <c r="A1334" s="76"/>
      <c r="C1334" s="76"/>
    </row>
    <row r="1335" spans="1:3" x14ac:dyDescent="0.2">
      <c r="A1335" s="76"/>
      <c r="C1335" s="76"/>
    </row>
    <row r="1336" spans="1:3" x14ac:dyDescent="0.2">
      <c r="A1336" s="76"/>
      <c r="C1336" s="76"/>
    </row>
    <row r="1337" spans="1:3" x14ac:dyDescent="0.2">
      <c r="A1337" s="76"/>
      <c r="C1337" s="76"/>
    </row>
    <row r="1338" spans="1:3" x14ac:dyDescent="0.2">
      <c r="A1338" s="76"/>
      <c r="C1338" s="76"/>
    </row>
    <row r="1339" spans="1:3" x14ac:dyDescent="0.2">
      <c r="A1339" s="76"/>
      <c r="C1339" s="76"/>
    </row>
    <row r="1340" spans="1:3" x14ac:dyDescent="0.2">
      <c r="A1340" s="76"/>
      <c r="C1340" s="76"/>
    </row>
    <row r="1341" spans="1:3" x14ac:dyDescent="0.2">
      <c r="A1341" s="76"/>
      <c r="C1341" s="76"/>
    </row>
    <row r="1342" spans="1:3" x14ac:dyDescent="0.2">
      <c r="A1342" s="76"/>
      <c r="C1342" s="76"/>
    </row>
    <row r="1343" spans="1:3" x14ac:dyDescent="0.2">
      <c r="A1343" s="76"/>
      <c r="C1343" s="76"/>
    </row>
    <row r="1344" spans="1:3" x14ac:dyDescent="0.2">
      <c r="A1344" s="76"/>
      <c r="C1344" s="76"/>
    </row>
    <row r="1345" spans="1:3" x14ac:dyDescent="0.2">
      <c r="A1345" s="76"/>
      <c r="C1345" s="76"/>
    </row>
    <row r="1346" spans="1:3" x14ac:dyDescent="0.2">
      <c r="A1346" s="76"/>
      <c r="C1346" s="76"/>
    </row>
    <row r="1347" spans="1:3" x14ac:dyDescent="0.2">
      <c r="A1347" s="76"/>
      <c r="C1347" s="76"/>
    </row>
    <row r="1348" spans="1:3" x14ac:dyDescent="0.2">
      <c r="A1348" s="76"/>
      <c r="C1348" s="76"/>
    </row>
    <row r="1349" spans="1:3" x14ac:dyDescent="0.2">
      <c r="A1349" s="76"/>
      <c r="C1349" s="76"/>
    </row>
    <row r="1350" spans="1:3" x14ac:dyDescent="0.2">
      <c r="A1350" s="76"/>
      <c r="C1350" s="76"/>
    </row>
    <row r="1351" spans="1:3" x14ac:dyDescent="0.2">
      <c r="A1351" s="76"/>
      <c r="C1351" s="76"/>
    </row>
    <row r="1352" spans="1:3" x14ac:dyDescent="0.2">
      <c r="A1352" s="76"/>
      <c r="C1352" s="76"/>
    </row>
    <row r="1353" spans="1:3" x14ac:dyDescent="0.2">
      <c r="A1353" s="76"/>
      <c r="C1353" s="76"/>
    </row>
    <row r="1354" spans="1:3" x14ac:dyDescent="0.2">
      <c r="A1354" s="76"/>
      <c r="C1354" s="76"/>
    </row>
    <row r="1355" spans="1:3" x14ac:dyDescent="0.2">
      <c r="A1355" s="76"/>
      <c r="C1355" s="76"/>
    </row>
    <row r="1356" spans="1:3" x14ac:dyDescent="0.2">
      <c r="A1356" s="76"/>
      <c r="C1356" s="76"/>
    </row>
    <row r="1357" spans="1:3" x14ac:dyDescent="0.2">
      <c r="A1357" s="76"/>
      <c r="C1357" s="76"/>
    </row>
    <row r="1358" spans="1:3" x14ac:dyDescent="0.2">
      <c r="A1358" s="76"/>
      <c r="C1358" s="76"/>
    </row>
    <row r="1359" spans="1:3" x14ac:dyDescent="0.2">
      <c r="A1359" s="76"/>
      <c r="C1359" s="76"/>
    </row>
    <row r="1360" spans="1:3" x14ac:dyDescent="0.2">
      <c r="A1360" s="76"/>
      <c r="C1360" s="76"/>
    </row>
    <row r="1361" spans="1:3" x14ac:dyDescent="0.2">
      <c r="A1361" s="76"/>
      <c r="C1361" s="76"/>
    </row>
    <row r="1362" spans="1:3" x14ac:dyDescent="0.2">
      <c r="A1362" s="76"/>
      <c r="C1362" s="76"/>
    </row>
    <row r="1363" spans="1:3" x14ac:dyDescent="0.2">
      <c r="A1363" s="76"/>
      <c r="C1363" s="76"/>
    </row>
    <row r="1364" spans="1:3" x14ac:dyDescent="0.2">
      <c r="A1364" s="76"/>
      <c r="C1364" s="76"/>
    </row>
    <row r="1365" spans="1:3" x14ac:dyDescent="0.2">
      <c r="A1365" s="76"/>
      <c r="C1365" s="76"/>
    </row>
    <row r="1366" spans="1:3" x14ac:dyDescent="0.2">
      <c r="A1366" s="76"/>
      <c r="C1366" s="76"/>
    </row>
    <row r="1367" spans="1:3" x14ac:dyDescent="0.2">
      <c r="A1367" s="76"/>
      <c r="C1367" s="76"/>
    </row>
    <row r="1368" spans="1:3" x14ac:dyDescent="0.2">
      <c r="A1368" s="76"/>
      <c r="C1368" s="76"/>
    </row>
    <row r="1369" spans="1:3" x14ac:dyDescent="0.2">
      <c r="A1369" s="76"/>
      <c r="C1369" s="76"/>
    </row>
    <row r="1370" spans="1:3" x14ac:dyDescent="0.2">
      <c r="A1370" s="76"/>
      <c r="C1370" s="76"/>
    </row>
    <row r="1371" spans="1:3" x14ac:dyDescent="0.2">
      <c r="A1371" s="76"/>
      <c r="C1371" s="76"/>
    </row>
    <row r="1372" spans="1:3" x14ac:dyDescent="0.2">
      <c r="A1372" s="76"/>
      <c r="C1372" s="76"/>
    </row>
    <row r="1373" spans="1:3" x14ac:dyDescent="0.2">
      <c r="A1373" s="76"/>
      <c r="C1373" s="76"/>
    </row>
    <row r="1374" spans="1:3" x14ac:dyDescent="0.2">
      <c r="A1374" s="76"/>
      <c r="C1374" s="76"/>
    </row>
    <row r="1375" spans="1:3" x14ac:dyDescent="0.2">
      <c r="A1375" s="76"/>
      <c r="C1375" s="76"/>
    </row>
    <row r="1376" spans="1:3" x14ac:dyDescent="0.2">
      <c r="A1376" s="76"/>
      <c r="C1376" s="76"/>
    </row>
    <row r="1377" spans="1:3" x14ac:dyDescent="0.2">
      <c r="A1377" s="76"/>
      <c r="C1377" s="76"/>
    </row>
    <row r="1378" spans="1:3" x14ac:dyDescent="0.2">
      <c r="A1378" s="76"/>
      <c r="C1378" s="76"/>
    </row>
    <row r="1379" spans="1:3" x14ac:dyDescent="0.2">
      <c r="A1379" s="76"/>
      <c r="C1379" s="76"/>
    </row>
    <row r="1380" spans="1:3" x14ac:dyDescent="0.2">
      <c r="A1380" s="76"/>
      <c r="C1380" s="76"/>
    </row>
    <row r="1381" spans="1:3" x14ac:dyDescent="0.2">
      <c r="A1381" s="76"/>
      <c r="C1381" s="76"/>
    </row>
    <row r="1382" spans="1:3" x14ac:dyDescent="0.2">
      <c r="A1382" s="76"/>
      <c r="C1382" s="76"/>
    </row>
    <row r="1383" spans="1:3" x14ac:dyDescent="0.2">
      <c r="A1383" s="76"/>
      <c r="C1383" s="76"/>
    </row>
    <row r="1384" spans="1:3" x14ac:dyDescent="0.2">
      <c r="A1384" s="76"/>
      <c r="C1384" s="76"/>
    </row>
    <row r="1385" spans="1:3" x14ac:dyDescent="0.2">
      <c r="A1385" s="76"/>
      <c r="C1385" s="76"/>
    </row>
    <row r="1386" spans="1:3" x14ac:dyDescent="0.2">
      <c r="A1386" s="76"/>
      <c r="C1386" s="76"/>
    </row>
    <row r="1387" spans="1:3" x14ac:dyDescent="0.2">
      <c r="A1387" s="76"/>
      <c r="C1387" s="76"/>
    </row>
    <row r="1388" spans="1:3" x14ac:dyDescent="0.2">
      <c r="A1388" s="76"/>
      <c r="C1388" s="76"/>
    </row>
    <row r="1389" spans="1:3" x14ac:dyDescent="0.2">
      <c r="A1389" s="76"/>
      <c r="C1389" s="76"/>
    </row>
    <row r="1390" spans="1:3" x14ac:dyDescent="0.2">
      <c r="A1390" s="76"/>
      <c r="C1390" s="76"/>
    </row>
    <row r="1391" spans="1:3" x14ac:dyDescent="0.2">
      <c r="A1391" s="76"/>
      <c r="C1391" s="76"/>
    </row>
    <row r="1392" spans="1:3" x14ac:dyDescent="0.2">
      <c r="A1392" s="76"/>
      <c r="C1392" s="76"/>
    </row>
    <row r="1393" spans="1:3" x14ac:dyDescent="0.2">
      <c r="A1393" s="76"/>
      <c r="C1393" s="76"/>
    </row>
    <row r="1394" spans="1:3" x14ac:dyDescent="0.2">
      <c r="A1394" s="76"/>
      <c r="C1394" s="76"/>
    </row>
    <row r="1395" spans="1:3" x14ac:dyDescent="0.2">
      <c r="A1395" s="76"/>
      <c r="C1395" s="76"/>
    </row>
    <row r="1396" spans="1:3" x14ac:dyDescent="0.2">
      <c r="A1396" s="76"/>
      <c r="C1396" s="76"/>
    </row>
    <row r="1397" spans="1:3" x14ac:dyDescent="0.2">
      <c r="A1397" s="76"/>
      <c r="C1397" s="76"/>
    </row>
    <row r="1398" spans="1:3" x14ac:dyDescent="0.2">
      <c r="A1398" s="76"/>
      <c r="C1398" s="76"/>
    </row>
    <row r="1399" spans="1:3" x14ac:dyDescent="0.2">
      <c r="A1399" s="76"/>
      <c r="C1399" s="76"/>
    </row>
    <row r="1400" spans="1:3" x14ac:dyDescent="0.2">
      <c r="A1400" s="76"/>
      <c r="C1400" s="76"/>
    </row>
    <row r="1401" spans="1:3" x14ac:dyDescent="0.2">
      <c r="A1401" s="76"/>
      <c r="C1401" s="76"/>
    </row>
    <row r="1402" spans="1:3" x14ac:dyDescent="0.2">
      <c r="A1402" s="76"/>
      <c r="C1402" s="76"/>
    </row>
    <row r="1403" spans="1:3" x14ac:dyDescent="0.2">
      <c r="A1403" s="76"/>
      <c r="C1403" s="76"/>
    </row>
    <row r="1404" spans="1:3" x14ac:dyDescent="0.2">
      <c r="A1404" s="76"/>
      <c r="C1404" s="76"/>
    </row>
    <row r="1405" spans="1:3" x14ac:dyDescent="0.2">
      <c r="A1405" s="76"/>
      <c r="C1405" s="76"/>
    </row>
    <row r="1406" spans="1:3" x14ac:dyDescent="0.2">
      <c r="A1406" s="76"/>
      <c r="C1406" s="76"/>
    </row>
    <row r="1407" spans="1:3" x14ac:dyDescent="0.2">
      <c r="A1407" s="76"/>
      <c r="C1407" s="76"/>
    </row>
    <row r="1408" spans="1:3" x14ac:dyDescent="0.2">
      <c r="A1408" s="76"/>
      <c r="C1408" s="76"/>
    </row>
    <row r="1409" spans="1:3" x14ac:dyDescent="0.2">
      <c r="A1409" s="76"/>
      <c r="C1409" s="76"/>
    </row>
    <row r="1410" spans="1:3" x14ac:dyDescent="0.2">
      <c r="A1410" s="76"/>
      <c r="C1410" s="76"/>
    </row>
    <row r="1411" spans="1:3" x14ac:dyDescent="0.2">
      <c r="A1411" s="76"/>
      <c r="C1411" s="76"/>
    </row>
    <row r="1412" spans="1:3" x14ac:dyDescent="0.2">
      <c r="A1412" s="76"/>
      <c r="C1412" s="76"/>
    </row>
    <row r="1413" spans="1:3" x14ac:dyDescent="0.2">
      <c r="A1413" s="76"/>
      <c r="C1413" s="76"/>
    </row>
    <row r="1414" spans="1:3" x14ac:dyDescent="0.2">
      <c r="A1414" s="76"/>
      <c r="C1414" s="76"/>
    </row>
    <row r="1415" spans="1:3" x14ac:dyDescent="0.2">
      <c r="A1415" s="76"/>
      <c r="C1415" s="76"/>
    </row>
    <row r="1416" spans="1:3" x14ac:dyDescent="0.2">
      <c r="A1416" s="76"/>
      <c r="C1416" s="76"/>
    </row>
    <row r="1417" spans="1:3" x14ac:dyDescent="0.2">
      <c r="A1417" s="76"/>
      <c r="C1417" s="76"/>
    </row>
    <row r="1418" spans="1:3" x14ac:dyDescent="0.2">
      <c r="A1418" s="76"/>
      <c r="C1418" s="76"/>
    </row>
    <row r="1419" spans="1:3" x14ac:dyDescent="0.2">
      <c r="A1419" s="76"/>
      <c r="C1419" s="76"/>
    </row>
    <row r="1420" spans="1:3" x14ac:dyDescent="0.2">
      <c r="A1420" s="76"/>
      <c r="C1420" s="76"/>
    </row>
    <row r="1421" spans="1:3" x14ac:dyDescent="0.2">
      <c r="A1421" s="76"/>
      <c r="C1421" s="76"/>
    </row>
    <row r="1422" spans="1:3" x14ac:dyDescent="0.2">
      <c r="A1422" s="76"/>
      <c r="C1422" s="76"/>
    </row>
    <row r="1423" spans="1:3" x14ac:dyDescent="0.2">
      <c r="A1423" s="76"/>
      <c r="C1423" s="76"/>
    </row>
    <row r="1424" spans="1:3" x14ac:dyDescent="0.2">
      <c r="A1424" s="76"/>
      <c r="C1424" s="76"/>
    </row>
    <row r="1425" spans="1:3" x14ac:dyDescent="0.2">
      <c r="A1425" s="76"/>
      <c r="C1425" s="76"/>
    </row>
    <row r="1426" spans="1:3" x14ac:dyDescent="0.2">
      <c r="A1426" s="76"/>
      <c r="C1426" s="76"/>
    </row>
    <row r="1427" spans="1:3" x14ac:dyDescent="0.2">
      <c r="A1427" s="76"/>
      <c r="C1427" s="76"/>
    </row>
    <row r="1428" spans="1:3" x14ac:dyDescent="0.2">
      <c r="A1428" s="76"/>
      <c r="C1428" s="76"/>
    </row>
    <row r="1429" spans="1:3" x14ac:dyDescent="0.2">
      <c r="A1429" s="76"/>
      <c r="C1429" s="76"/>
    </row>
    <row r="1430" spans="1:3" x14ac:dyDescent="0.2">
      <c r="A1430" s="76"/>
      <c r="C1430" s="76"/>
    </row>
    <row r="1431" spans="1:3" x14ac:dyDescent="0.2">
      <c r="A1431" s="76"/>
      <c r="C1431" s="76"/>
    </row>
    <row r="1432" spans="1:3" x14ac:dyDescent="0.2">
      <c r="A1432" s="76"/>
      <c r="C1432" s="76"/>
    </row>
    <row r="1433" spans="1:3" x14ac:dyDescent="0.2">
      <c r="A1433" s="76"/>
      <c r="C1433" s="76"/>
    </row>
    <row r="1434" spans="1:3" x14ac:dyDescent="0.2">
      <c r="A1434" s="76"/>
      <c r="C1434" s="76"/>
    </row>
    <row r="1435" spans="1:3" x14ac:dyDescent="0.2">
      <c r="A1435" s="76"/>
      <c r="C1435" s="76"/>
    </row>
    <row r="1436" spans="1:3" x14ac:dyDescent="0.2">
      <c r="A1436" s="76"/>
      <c r="C1436" s="76"/>
    </row>
    <row r="1437" spans="1:3" x14ac:dyDescent="0.2">
      <c r="A1437" s="76"/>
      <c r="C1437" s="76"/>
    </row>
    <row r="1438" spans="1:3" x14ac:dyDescent="0.2">
      <c r="A1438" s="76"/>
      <c r="C1438" s="76"/>
    </row>
    <row r="1439" spans="1:3" x14ac:dyDescent="0.2">
      <c r="A1439" s="76"/>
      <c r="C1439" s="76"/>
    </row>
    <row r="1440" spans="1:3" x14ac:dyDescent="0.2">
      <c r="A1440" s="76"/>
      <c r="C1440" s="76"/>
    </row>
    <row r="1441" spans="1:3" x14ac:dyDescent="0.2">
      <c r="A1441" s="76"/>
      <c r="C1441" s="76"/>
    </row>
    <row r="1442" spans="1:3" x14ac:dyDescent="0.2">
      <c r="A1442" s="76"/>
      <c r="C1442" s="76"/>
    </row>
    <row r="1443" spans="1:3" x14ac:dyDescent="0.2">
      <c r="A1443" s="76"/>
      <c r="C1443" s="76"/>
    </row>
    <row r="1444" spans="1:3" x14ac:dyDescent="0.2">
      <c r="A1444" s="76"/>
      <c r="C1444" s="76"/>
    </row>
    <row r="1445" spans="1:3" x14ac:dyDescent="0.2">
      <c r="A1445" s="76"/>
      <c r="C1445" s="76"/>
    </row>
    <row r="1446" spans="1:3" x14ac:dyDescent="0.2">
      <c r="A1446" s="76"/>
      <c r="C1446" s="76"/>
    </row>
    <row r="1447" spans="1:3" x14ac:dyDescent="0.2">
      <c r="A1447" s="76"/>
      <c r="C1447" s="76"/>
    </row>
    <row r="1448" spans="1:3" x14ac:dyDescent="0.2">
      <c r="A1448" s="76"/>
      <c r="C1448" s="76"/>
    </row>
    <row r="1449" spans="1:3" x14ac:dyDescent="0.2">
      <c r="A1449" s="76"/>
      <c r="C1449" s="76"/>
    </row>
    <row r="1450" spans="1:3" x14ac:dyDescent="0.2">
      <c r="A1450" s="76"/>
      <c r="C1450" s="76"/>
    </row>
    <row r="1451" spans="1:3" x14ac:dyDescent="0.2">
      <c r="A1451" s="76"/>
      <c r="C1451" s="76"/>
    </row>
    <row r="1452" spans="1:3" x14ac:dyDescent="0.2">
      <c r="A1452" s="76"/>
      <c r="C1452" s="76"/>
    </row>
    <row r="1453" spans="1:3" x14ac:dyDescent="0.2">
      <c r="A1453" s="76"/>
      <c r="C1453" s="76"/>
    </row>
    <row r="1454" spans="1:3" x14ac:dyDescent="0.2">
      <c r="A1454" s="76"/>
      <c r="C1454" s="76"/>
    </row>
    <row r="1455" spans="1:3" x14ac:dyDescent="0.2">
      <c r="A1455" s="76"/>
      <c r="C1455" s="76"/>
    </row>
    <row r="1456" spans="1:3" x14ac:dyDescent="0.2">
      <c r="A1456" s="76"/>
      <c r="C1456" s="76"/>
    </row>
    <row r="1457" spans="1:3" x14ac:dyDescent="0.2">
      <c r="A1457" s="76"/>
      <c r="C1457" s="76"/>
    </row>
    <row r="1458" spans="1:3" x14ac:dyDescent="0.2">
      <c r="A1458" s="76"/>
      <c r="C1458" s="76"/>
    </row>
    <row r="1459" spans="1:3" x14ac:dyDescent="0.2">
      <c r="A1459" s="76"/>
      <c r="C1459" s="76"/>
    </row>
    <row r="1460" spans="1:3" x14ac:dyDescent="0.2">
      <c r="A1460" s="76"/>
      <c r="C1460" s="76"/>
    </row>
    <row r="1461" spans="1:3" x14ac:dyDescent="0.2">
      <c r="A1461" s="76"/>
      <c r="C1461" s="76"/>
    </row>
    <row r="1462" spans="1:3" x14ac:dyDescent="0.2">
      <c r="A1462" s="76"/>
      <c r="C1462" s="76"/>
    </row>
    <row r="1463" spans="1:3" x14ac:dyDescent="0.2">
      <c r="A1463" s="76"/>
      <c r="C1463" s="76"/>
    </row>
    <row r="1464" spans="1:3" x14ac:dyDescent="0.2">
      <c r="A1464" s="76"/>
      <c r="C1464" s="76"/>
    </row>
    <row r="1465" spans="1:3" x14ac:dyDescent="0.2">
      <c r="A1465" s="76"/>
      <c r="C1465" s="76"/>
    </row>
    <row r="1466" spans="1:3" x14ac:dyDescent="0.2">
      <c r="A1466" s="76"/>
      <c r="C1466" s="76"/>
    </row>
    <row r="1467" spans="1:3" x14ac:dyDescent="0.2">
      <c r="A1467" s="76"/>
      <c r="C1467" s="76"/>
    </row>
    <row r="1468" spans="1:3" x14ac:dyDescent="0.2">
      <c r="A1468" s="76"/>
      <c r="C1468" s="76"/>
    </row>
    <row r="1469" spans="1:3" x14ac:dyDescent="0.2">
      <c r="A1469" s="76"/>
      <c r="C1469" s="76"/>
    </row>
    <row r="1470" spans="1:3" x14ac:dyDescent="0.2">
      <c r="A1470" s="76"/>
      <c r="C1470" s="76"/>
    </row>
    <row r="1471" spans="1:3" x14ac:dyDescent="0.2">
      <c r="A1471" s="76"/>
      <c r="C1471" s="76"/>
    </row>
    <row r="1472" spans="1:3" x14ac:dyDescent="0.2">
      <c r="A1472" s="76"/>
      <c r="C1472" s="76"/>
    </row>
    <row r="1473" spans="1:3" x14ac:dyDescent="0.2">
      <c r="A1473" s="76"/>
      <c r="C1473" s="76"/>
    </row>
    <row r="1474" spans="1:3" x14ac:dyDescent="0.2">
      <c r="A1474" s="76"/>
      <c r="C1474" s="76"/>
    </row>
    <row r="1475" spans="1:3" x14ac:dyDescent="0.2">
      <c r="A1475" s="76"/>
      <c r="C1475" s="76"/>
    </row>
    <row r="1476" spans="1:3" x14ac:dyDescent="0.2">
      <c r="A1476" s="76"/>
      <c r="C1476" s="76"/>
    </row>
    <row r="1477" spans="1:3" x14ac:dyDescent="0.2">
      <c r="A1477" s="76"/>
      <c r="C1477" s="76"/>
    </row>
    <row r="1478" spans="1:3" x14ac:dyDescent="0.2">
      <c r="A1478" s="76"/>
      <c r="C1478" s="76"/>
    </row>
    <row r="1479" spans="1:3" x14ac:dyDescent="0.2">
      <c r="A1479" s="76"/>
      <c r="C1479" s="76"/>
    </row>
    <row r="1480" spans="1:3" x14ac:dyDescent="0.2">
      <c r="A1480" s="76"/>
      <c r="C1480" s="76"/>
    </row>
    <row r="1481" spans="1:3" x14ac:dyDescent="0.2">
      <c r="A1481" s="76"/>
      <c r="C1481" s="76"/>
    </row>
    <row r="1482" spans="1:3" x14ac:dyDescent="0.2">
      <c r="A1482" s="76"/>
      <c r="C1482" s="76"/>
    </row>
    <row r="1483" spans="1:3" x14ac:dyDescent="0.2">
      <c r="A1483" s="76"/>
      <c r="C1483" s="76"/>
    </row>
    <row r="1484" spans="1:3" x14ac:dyDescent="0.2">
      <c r="A1484" s="76"/>
      <c r="C1484" s="76"/>
    </row>
    <row r="1485" spans="1:3" x14ac:dyDescent="0.2">
      <c r="A1485" s="76"/>
      <c r="C1485" s="76"/>
    </row>
    <row r="1486" spans="1:3" x14ac:dyDescent="0.2">
      <c r="A1486" s="76"/>
      <c r="C1486" s="76"/>
    </row>
    <row r="1487" spans="1:3" x14ac:dyDescent="0.2">
      <c r="A1487" s="76"/>
      <c r="C1487" s="76"/>
    </row>
    <row r="1488" spans="1:3" x14ac:dyDescent="0.2">
      <c r="A1488" s="76"/>
      <c r="C1488" s="76"/>
    </row>
    <row r="1489" spans="1:3" x14ac:dyDescent="0.2">
      <c r="A1489" s="76"/>
      <c r="C1489" s="76"/>
    </row>
    <row r="1490" spans="1:3" x14ac:dyDescent="0.2">
      <c r="A1490" s="76"/>
      <c r="C1490" s="76"/>
    </row>
    <row r="1491" spans="1:3" x14ac:dyDescent="0.2">
      <c r="A1491" s="76"/>
      <c r="C1491" s="76"/>
    </row>
    <row r="1492" spans="1:3" x14ac:dyDescent="0.2">
      <c r="A1492" s="76"/>
      <c r="C1492" s="76"/>
    </row>
    <row r="1493" spans="1:3" x14ac:dyDescent="0.2">
      <c r="A1493" s="76"/>
      <c r="C1493" s="76"/>
    </row>
    <row r="1494" spans="1:3" x14ac:dyDescent="0.2">
      <c r="A1494" s="76"/>
      <c r="C1494" s="76"/>
    </row>
    <row r="1495" spans="1:3" x14ac:dyDescent="0.2">
      <c r="A1495" s="76"/>
      <c r="C1495" s="76"/>
    </row>
    <row r="1496" spans="1:3" x14ac:dyDescent="0.2">
      <c r="A1496" s="76"/>
      <c r="C1496" s="76"/>
    </row>
    <row r="1497" spans="1:3" x14ac:dyDescent="0.2">
      <c r="A1497" s="76"/>
      <c r="C1497" s="76"/>
    </row>
    <row r="1498" spans="1:3" x14ac:dyDescent="0.2">
      <c r="A1498" s="76"/>
      <c r="C1498" s="76"/>
    </row>
    <row r="1499" spans="1:3" x14ac:dyDescent="0.2">
      <c r="A1499" s="76"/>
      <c r="C1499" s="76"/>
    </row>
    <row r="1500" spans="1:3" x14ac:dyDescent="0.2">
      <c r="A1500" s="76"/>
      <c r="C1500" s="76"/>
    </row>
    <row r="1501" spans="1:3" x14ac:dyDescent="0.2">
      <c r="A1501" s="76"/>
      <c r="C1501" s="76"/>
    </row>
    <row r="1502" spans="1:3" x14ac:dyDescent="0.2">
      <c r="A1502" s="76"/>
      <c r="C1502" s="76"/>
    </row>
    <row r="1503" spans="1:3" x14ac:dyDescent="0.2">
      <c r="A1503" s="76"/>
      <c r="C1503" s="76"/>
    </row>
    <row r="1504" spans="1:3" x14ac:dyDescent="0.2">
      <c r="A1504" s="76"/>
      <c r="C1504" s="76"/>
    </row>
    <row r="1505" spans="1:3" x14ac:dyDescent="0.2">
      <c r="A1505" s="76"/>
      <c r="C1505" s="76"/>
    </row>
    <row r="1506" spans="1:3" x14ac:dyDescent="0.2">
      <c r="A1506" s="76"/>
      <c r="C1506" s="76"/>
    </row>
    <row r="1507" spans="1:3" x14ac:dyDescent="0.2">
      <c r="A1507" s="76"/>
      <c r="C1507" s="76"/>
    </row>
    <row r="1508" spans="1:3" x14ac:dyDescent="0.2">
      <c r="A1508" s="76"/>
      <c r="C1508" s="76"/>
    </row>
    <row r="1509" spans="1:3" x14ac:dyDescent="0.2">
      <c r="A1509" s="76"/>
      <c r="C1509" s="76"/>
    </row>
    <row r="1510" spans="1:3" x14ac:dyDescent="0.2">
      <c r="A1510" s="76"/>
      <c r="C1510" s="76"/>
    </row>
    <row r="1511" spans="1:3" x14ac:dyDescent="0.2">
      <c r="A1511" s="76"/>
      <c r="C1511" s="76"/>
    </row>
    <row r="1512" spans="1:3" x14ac:dyDescent="0.2">
      <c r="A1512" s="76"/>
      <c r="C1512" s="76"/>
    </row>
    <row r="1513" spans="1:3" x14ac:dyDescent="0.2">
      <c r="A1513" s="76"/>
      <c r="C1513" s="76"/>
    </row>
    <row r="1514" spans="1:3" x14ac:dyDescent="0.2">
      <c r="A1514" s="76"/>
      <c r="C1514" s="76"/>
    </row>
    <row r="1515" spans="1:3" x14ac:dyDescent="0.2">
      <c r="A1515" s="76"/>
      <c r="C1515" s="76"/>
    </row>
    <row r="1516" spans="1:3" x14ac:dyDescent="0.2">
      <c r="A1516" s="76"/>
      <c r="C1516" s="76"/>
    </row>
    <row r="1517" spans="1:3" x14ac:dyDescent="0.2">
      <c r="A1517" s="76"/>
      <c r="C1517" s="76"/>
    </row>
    <row r="1518" spans="1:3" x14ac:dyDescent="0.2">
      <c r="A1518" s="76"/>
      <c r="C1518" s="76"/>
    </row>
    <row r="1519" spans="1:3" x14ac:dyDescent="0.2">
      <c r="A1519" s="76"/>
      <c r="C1519" s="76"/>
    </row>
    <row r="1520" spans="1:3" x14ac:dyDescent="0.2">
      <c r="A1520" s="76"/>
      <c r="C1520" s="76"/>
    </row>
    <row r="1521" spans="1:3" x14ac:dyDescent="0.2">
      <c r="A1521" s="76"/>
      <c r="C1521" s="76"/>
    </row>
    <row r="1522" spans="1:3" x14ac:dyDescent="0.2">
      <c r="A1522" s="76"/>
      <c r="C1522" s="76"/>
    </row>
    <row r="1523" spans="1:3" x14ac:dyDescent="0.2">
      <c r="A1523" s="76"/>
      <c r="C1523" s="76"/>
    </row>
    <row r="1524" spans="1:3" x14ac:dyDescent="0.2">
      <c r="A1524" s="76"/>
      <c r="C1524" s="76"/>
    </row>
    <row r="1525" spans="1:3" x14ac:dyDescent="0.2">
      <c r="A1525" s="76"/>
      <c r="C1525" s="76"/>
    </row>
    <row r="1526" spans="1:3" x14ac:dyDescent="0.2">
      <c r="A1526" s="76"/>
      <c r="C1526" s="76"/>
    </row>
    <row r="1527" spans="1:3" x14ac:dyDescent="0.2">
      <c r="A1527" s="76"/>
      <c r="C1527" s="76"/>
    </row>
    <row r="1528" spans="1:3" x14ac:dyDescent="0.2">
      <c r="A1528" s="76"/>
      <c r="C1528" s="76"/>
    </row>
    <row r="1529" spans="1:3" x14ac:dyDescent="0.2">
      <c r="A1529" s="76"/>
      <c r="C1529" s="76"/>
    </row>
    <row r="1530" spans="1:3" x14ac:dyDescent="0.2">
      <c r="A1530" s="76"/>
      <c r="C1530" s="76"/>
    </row>
    <row r="1531" spans="1:3" x14ac:dyDescent="0.2">
      <c r="A1531" s="76"/>
      <c r="C1531" s="76"/>
    </row>
    <row r="1532" spans="1:3" x14ac:dyDescent="0.2">
      <c r="A1532" s="76"/>
      <c r="C1532" s="76"/>
    </row>
    <row r="1533" spans="1:3" x14ac:dyDescent="0.2">
      <c r="A1533" s="76"/>
      <c r="C1533" s="76"/>
    </row>
    <row r="1534" spans="1:3" x14ac:dyDescent="0.2">
      <c r="A1534" s="76"/>
      <c r="C1534" s="76"/>
    </row>
    <row r="1535" spans="1:3" x14ac:dyDescent="0.2">
      <c r="A1535" s="76"/>
      <c r="C1535" s="76"/>
    </row>
    <row r="1536" spans="1:3" x14ac:dyDescent="0.2">
      <c r="A1536" s="76"/>
      <c r="C1536" s="76"/>
    </row>
    <row r="1537" spans="1:3" x14ac:dyDescent="0.2">
      <c r="A1537" s="76"/>
      <c r="C1537" s="76"/>
    </row>
    <row r="1538" spans="1:3" x14ac:dyDescent="0.2">
      <c r="A1538" s="76"/>
      <c r="C1538" s="76"/>
    </row>
    <row r="1539" spans="1:3" x14ac:dyDescent="0.2">
      <c r="A1539" s="76"/>
      <c r="C1539" s="76"/>
    </row>
    <row r="1540" spans="1:3" x14ac:dyDescent="0.2">
      <c r="A1540" s="76"/>
      <c r="C1540" s="76"/>
    </row>
    <row r="1541" spans="1:3" x14ac:dyDescent="0.2">
      <c r="A1541" s="76"/>
      <c r="C1541" s="76"/>
    </row>
    <row r="1542" spans="1:3" x14ac:dyDescent="0.2">
      <c r="A1542" s="76"/>
      <c r="C1542" s="76"/>
    </row>
    <row r="1543" spans="1:3" x14ac:dyDescent="0.2">
      <c r="A1543" s="76"/>
      <c r="C1543" s="76"/>
    </row>
    <row r="1544" spans="1:3" x14ac:dyDescent="0.2">
      <c r="A1544" s="76"/>
      <c r="C1544" s="76"/>
    </row>
    <row r="1545" spans="1:3" x14ac:dyDescent="0.2">
      <c r="A1545" s="76"/>
      <c r="C1545" s="76"/>
    </row>
    <row r="1546" spans="1:3" x14ac:dyDescent="0.2">
      <c r="A1546" s="76"/>
      <c r="C1546" s="76"/>
    </row>
    <row r="1547" spans="1:3" x14ac:dyDescent="0.2">
      <c r="A1547" s="76"/>
      <c r="C1547" s="76"/>
    </row>
    <row r="1548" spans="1:3" x14ac:dyDescent="0.2">
      <c r="A1548" s="76"/>
      <c r="C1548" s="76"/>
    </row>
    <row r="1549" spans="1:3" x14ac:dyDescent="0.2">
      <c r="A1549" s="76"/>
      <c r="C1549" s="76"/>
    </row>
    <row r="1550" spans="1:3" x14ac:dyDescent="0.2">
      <c r="A1550" s="76"/>
      <c r="C1550" s="76"/>
    </row>
    <row r="1551" spans="1:3" x14ac:dyDescent="0.2">
      <c r="A1551" s="76"/>
      <c r="C1551" s="76"/>
    </row>
    <row r="1552" spans="1:3" x14ac:dyDescent="0.2">
      <c r="A1552" s="76"/>
      <c r="C1552" s="76"/>
    </row>
    <row r="1553" spans="1:3" x14ac:dyDescent="0.2">
      <c r="A1553" s="76"/>
      <c r="C1553" s="76"/>
    </row>
    <row r="1554" spans="1:3" x14ac:dyDescent="0.2">
      <c r="A1554" s="76"/>
      <c r="C1554" s="76"/>
    </row>
    <row r="1555" spans="1:3" x14ac:dyDescent="0.2">
      <c r="A1555" s="76"/>
      <c r="C1555" s="76"/>
    </row>
    <row r="1556" spans="1:3" x14ac:dyDescent="0.2">
      <c r="A1556" s="76"/>
      <c r="C1556" s="76"/>
    </row>
    <row r="1557" spans="1:3" x14ac:dyDescent="0.2">
      <c r="A1557" s="76"/>
      <c r="C1557" s="76"/>
    </row>
    <row r="1558" spans="1:3" x14ac:dyDescent="0.2">
      <c r="A1558" s="76"/>
      <c r="C1558" s="76"/>
    </row>
    <row r="1559" spans="1:3" x14ac:dyDescent="0.2">
      <c r="A1559" s="76"/>
      <c r="C1559" s="76"/>
    </row>
    <row r="1560" spans="1:3" x14ac:dyDescent="0.2">
      <c r="A1560" s="76"/>
      <c r="C1560" s="76"/>
    </row>
    <row r="1561" spans="1:3" x14ac:dyDescent="0.2">
      <c r="A1561" s="76"/>
      <c r="C1561" s="76"/>
    </row>
    <row r="1562" spans="1:3" x14ac:dyDescent="0.2">
      <c r="A1562" s="76"/>
      <c r="C1562" s="76"/>
    </row>
    <row r="1563" spans="1:3" x14ac:dyDescent="0.2">
      <c r="A1563" s="76"/>
      <c r="C1563" s="76"/>
    </row>
    <row r="1564" spans="1:3" x14ac:dyDescent="0.2">
      <c r="A1564" s="76"/>
      <c r="C1564" s="76"/>
    </row>
    <row r="1565" spans="1:3" x14ac:dyDescent="0.2">
      <c r="A1565" s="76"/>
      <c r="C1565" s="76"/>
    </row>
    <row r="1566" spans="1:3" x14ac:dyDescent="0.2">
      <c r="A1566" s="76"/>
      <c r="C1566" s="76"/>
    </row>
    <row r="1567" spans="1:3" x14ac:dyDescent="0.2">
      <c r="A1567" s="76"/>
      <c r="C1567" s="76"/>
    </row>
    <row r="1568" spans="1:3" x14ac:dyDescent="0.2">
      <c r="A1568" s="76"/>
      <c r="C1568" s="76"/>
    </row>
    <row r="1569" spans="1:3" x14ac:dyDescent="0.2">
      <c r="A1569" s="76"/>
      <c r="C1569" s="76"/>
    </row>
    <row r="1570" spans="1:3" x14ac:dyDescent="0.2">
      <c r="A1570" s="76"/>
      <c r="C1570" s="76"/>
    </row>
    <row r="1571" spans="1:3" x14ac:dyDescent="0.2">
      <c r="A1571" s="76"/>
      <c r="C1571" s="76"/>
    </row>
    <row r="1572" spans="1:3" x14ac:dyDescent="0.2">
      <c r="A1572" s="76"/>
      <c r="C1572" s="76"/>
    </row>
    <row r="1573" spans="1:3" x14ac:dyDescent="0.2">
      <c r="A1573" s="76"/>
      <c r="C1573" s="76"/>
    </row>
    <row r="1574" spans="1:3" x14ac:dyDescent="0.2">
      <c r="A1574" s="76"/>
      <c r="C1574" s="76"/>
    </row>
    <row r="1575" spans="1:3" x14ac:dyDescent="0.2">
      <c r="A1575" s="76"/>
      <c r="C1575" s="76"/>
    </row>
    <row r="1576" spans="1:3" x14ac:dyDescent="0.2">
      <c r="A1576" s="76"/>
      <c r="C1576" s="76"/>
    </row>
    <row r="1577" spans="1:3" x14ac:dyDescent="0.2">
      <c r="A1577" s="76"/>
      <c r="C1577" s="76"/>
    </row>
    <row r="1578" spans="1:3" x14ac:dyDescent="0.2">
      <c r="A1578" s="76"/>
      <c r="C1578" s="76"/>
    </row>
    <row r="1579" spans="1:3" x14ac:dyDescent="0.2">
      <c r="A1579" s="76"/>
      <c r="C1579" s="76"/>
    </row>
    <row r="1580" spans="1:3" x14ac:dyDescent="0.2">
      <c r="A1580" s="76"/>
      <c r="C1580" s="76"/>
    </row>
    <row r="1581" spans="1:3" x14ac:dyDescent="0.2">
      <c r="A1581" s="76"/>
      <c r="C1581" s="76"/>
    </row>
    <row r="1582" spans="1:3" x14ac:dyDescent="0.2">
      <c r="A1582" s="76"/>
      <c r="C1582" s="76"/>
    </row>
    <row r="1583" spans="1:3" x14ac:dyDescent="0.2">
      <c r="A1583" s="76"/>
      <c r="C1583" s="76"/>
    </row>
    <row r="1584" spans="1:3" x14ac:dyDescent="0.2">
      <c r="A1584" s="76"/>
      <c r="C1584" s="76"/>
    </row>
    <row r="1585" spans="1:3" x14ac:dyDescent="0.2">
      <c r="A1585" s="76"/>
      <c r="C1585" s="76"/>
    </row>
    <row r="1586" spans="1:3" x14ac:dyDescent="0.2">
      <c r="A1586" s="76"/>
      <c r="C1586" s="76"/>
    </row>
    <row r="1587" spans="1:3" x14ac:dyDescent="0.2">
      <c r="A1587" s="76"/>
      <c r="C1587" s="76"/>
    </row>
    <row r="1588" spans="1:3" x14ac:dyDescent="0.2">
      <c r="A1588" s="76"/>
      <c r="C1588" s="76"/>
    </row>
    <row r="1589" spans="1:3" x14ac:dyDescent="0.2">
      <c r="A1589" s="76"/>
      <c r="C1589" s="76"/>
    </row>
    <row r="1590" spans="1:3" x14ac:dyDescent="0.2">
      <c r="A1590" s="76"/>
      <c r="C1590" s="76"/>
    </row>
    <row r="1591" spans="1:3" x14ac:dyDescent="0.2">
      <c r="A1591" s="76"/>
      <c r="C1591" s="76"/>
    </row>
    <row r="1592" spans="1:3" x14ac:dyDescent="0.2">
      <c r="A1592" s="76"/>
      <c r="C1592" s="76"/>
    </row>
    <row r="1593" spans="1:3" x14ac:dyDescent="0.2">
      <c r="A1593" s="76"/>
      <c r="C1593" s="76"/>
    </row>
    <row r="1594" spans="1:3" x14ac:dyDescent="0.2">
      <c r="A1594" s="76"/>
      <c r="C1594" s="76"/>
    </row>
    <row r="1595" spans="1:3" x14ac:dyDescent="0.2">
      <c r="A1595" s="76"/>
      <c r="C1595" s="76"/>
    </row>
    <row r="1596" spans="1:3" x14ac:dyDescent="0.2">
      <c r="A1596" s="76"/>
      <c r="C1596" s="76"/>
    </row>
    <row r="1597" spans="1:3" x14ac:dyDescent="0.2">
      <c r="A1597" s="76"/>
      <c r="C1597" s="76"/>
    </row>
    <row r="1598" spans="1:3" x14ac:dyDescent="0.2">
      <c r="A1598" s="76"/>
      <c r="C1598" s="76"/>
    </row>
    <row r="1599" spans="1:3" x14ac:dyDescent="0.2">
      <c r="A1599" s="76"/>
      <c r="C1599" s="76"/>
    </row>
    <row r="1600" spans="1:3" x14ac:dyDescent="0.2">
      <c r="A1600" s="76"/>
      <c r="C1600" s="76"/>
    </row>
    <row r="1601" spans="1:3" x14ac:dyDescent="0.2">
      <c r="A1601" s="76"/>
      <c r="C1601" s="76"/>
    </row>
    <row r="1602" spans="1:3" x14ac:dyDescent="0.2">
      <c r="A1602" s="76"/>
      <c r="C1602" s="76"/>
    </row>
    <row r="1603" spans="1:3" x14ac:dyDescent="0.2">
      <c r="A1603" s="76"/>
      <c r="C1603" s="76"/>
    </row>
    <row r="1604" spans="1:3" x14ac:dyDescent="0.2">
      <c r="A1604" s="76"/>
      <c r="C1604" s="76"/>
    </row>
    <row r="1605" spans="1:3" x14ac:dyDescent="0.2">
      <c r="A1605" s="76"/>
      <c r="C1605" s="76"/>
    </row>
    <row r="1606" spans="1:3" x14ac:dyDescent="0.2">
      <c r="A1606" s="76"/>
      <c r="C1606" s="76"/>
    </row>
    <row r="1607" spans="1:3" x14ac:dyDescent="0.2">
      <c r="A1607" s="76"/>
      <c r="C1607" s="76"/>
    </row>
    <row r="1608" spans="1:3" x14ac:dyDescent="0.2">
      <c r="A1608" s="76"/>
      <c r="C1608" s="76"/>
    </row>
    <row r="1609" spans="1:3" x14ac:dyDescent="0.2">
      <c r="A1609" s="76"/>
      <c r="C1609" s="76"/>
    </row>
    <row r="1610" spans="1:3" x14ac:dyDescent="0.2">
      <c r="A1610" s="76"/>
      <c r="C1610" s="76"/>
    </row>
    <row r="1611" spans="1:3" x14ac:dyDescent="0.2">
      <c r="A1611" s="76"/>
      <c r="C1611" s="76"/>
    </row>
    <row r="1612" spans="1:3" x14ac:dyDescent="0.2">
      <c r="A1612" s="76"/>
      <c r="C1612" s="76"/>
    </row>
    <row r="1613" spans="1:3" x14ac:dyDescent="0.2">
      <c r="A1613" s="76"/>
      <c r="C1613" s="76"/>
    </row>
    <row r="1614" spans="1:3" x14ac:dyDescent="0.2">
      <c r="A1614" s="76"/>
      <c r="C1614" s="76"/>
    </row>
    <row r="1615" spans="1:3" x14ac:dyDescent="0.2">
      <c r="A1615" s="76"/>
      <c r="C1615" s="76"/>
    </row>
    <row r="1616" spans="1:3" x14ac:dyDescent="0.2">
      <c r="A1616" s="76"/>
      <c r="C1616" s="76"/>
    </row>
    <row r="1617" spans="1:3" x14ac:dyDescent="0.2">
      <c r="A1617" s="76"/>
      <c r="C1617" s="76"/>
    </row>
    <row r="1618" spans="1:3" x14ac:dyDescent="0.2">
      <c r="A1618" s="76"/>
      <c r="C1618" s="76"/>
    </row>
    <row r="1619" spans="1:3" x14ac:dyDescent="0.2">
      <c r="A1619" s="76"/>
      <c r="C1619" s="76"/>
    </row>
    <row r="1620" spans="1:3" x14ac:dyDescent="0.2">
      <c r="A1620" s="76"/>
      <c r="C1620" s="76"/>
    </row>
    <row r="1621" spans="1:3" x14ac:dyDescent="0.2">
      <c r="A1621" s="76"/>
      <c r="C1621" s="76"/>
    </row>
    <row r="1622" spans="1:3" x14ac:dyDescent="0.2">
      <c r="A1622" s="76"/>
      <c r="C1622" s="76"/>
    </row>
    <row r="1623" spans="1:3" x14ac:dyDescent="0.2">
      <c r="A1623" s="76"/>
      <c r="C1623" s="76"/>
    </row>
    <row r="1624" spans="1:3" x14ac:dyDescent="0.2">
      <c r="A1624" s="76"/>
      <c r="C1624" s="76"/>
    </row>
    <row r="1625" spans="1:3" x14ac:dyDescent="0.2">
      <c r="A1625" s="76"/>
      <c r="C1625" s="76"/>
    </row>
    <row r="1626" spans="1:3" x14ac:dyDescent="0.2">
      <c r="A1626" s="76"/>
      <c r="C1626" s="76"/>
    </row>
    <row r="1627" spans="1:3" x14ac:dyDescent="0.2">
      <c r="A1627" s="76"/>
      <c r="C1627" s="76"/>
    </row>
    <row r="1628" spans="1:3" x14ac:dyDescent="0.2">
      <c r="A1628" s="76"/>
      <c r="C1628" s="76"/>
    </row>
    <row r="1629" spans="1:3" x14ac:dyDescent="0.2">
      <c r="A1629" s="76"/>
      <c r="C1629" s="76"/>
    </row>
    <row r="1630" spans="1:3" x14ac:dyDescent="0.2">
      <c r="A1630" s="76"/>
      <c r="C1630" s="76"/>
    </row>
    <row r="1631" spans="1:3" x14ac:dyDescent="0.2">
      <c r="A1631" s="76"/>
      <c r="C1631" s="76"/>
    </row>
    <row r="1632" spans="1:3" x14ac:dyDescent="0.2">
      <c r="A1632" s="76"/>
      <c r="C1632" s="76"/>
    </row>
    <row r="1633" spans="1:3" x14ac:dyDescent="0.2">
      <c r="A1633" s="76"/>
      <c r="C1633" s="76"/>
    </row>
    <row r="1634" spans="1:3" x14ac:dyDescent="0.2">
      <c r="A1634" s="76"/>
      <c r="C1634" s="76"/>
    </row>
    <row r="1635" spans="1:3" x14ac:dyDescent="0.2">
      <c r="A1635" s="76"/>
      <c r="C1635" s="76"/>
    </row>
    <row r="1636" spans="1:3" x14ac:dyDescent="0.2">
      <c r="A1636" s="76"/>
      <c r="C1636" s="76"/>
    </row>
    <row r="1637" spans="1:3" x14ac:dyDescent="0.2">
      <c r="A1637" s="76"/>
      <c r="C1637" s="76"/>
    </row>
    <row r="1638" spans="1:3" x14ac:dyDescent="0.2">
      <c r="A1638" s="76"/>
      <c r="C1638" s="76"/>
    </row>
    <row r="1639" spans="1:3" x14ac:dyDescent="0.2">
      <c r="A1639" s="76"/>
      <c r="C1639" s="76"/>
    </row>
    <row r="1640" spans="1:3" x14ac:dyDescent="0.2">
      <c r="A1640" s="76"/>
      <c r="C1640" s="76"/>
    </row>
    <row r="1641" spans="1:3" x14ac:dyDescent="0.2">
      <c r="A1641" s="76"/>
      <c r="C1641" s="76"/>
    </row>
    <row r="1642" spans="1:3" x14ac:dyDescent="0.2">
      <c r="A1642" s="76"/>
      <c r="C1642" s="76"/>
    </row>
    <row r="1643" spans="1:3" x14ac:dyDescent="0.2">
      <c r="A1643" s="76"/>
      <c r="C1643" s="76"/>
    </row>
    <row r="1644" spans="1:3" x14ac:dyDescent="0.2">
      <c r="A1644" s="76"/>
      <c r="C1644" s="76"/>
    </row>
    <row r="1645" spans="1:3" x14ac:dyDescent="0.2">
      <c r="A1645" s="76"/>
      <c r="C1645" s="76"/>
    </row>
    <row r="1646" spans="1:3" x14ac:dyDescent="0.2">
      <c r="A1646" s="76"/>
      <c r="C1646" s="76"/>
    </row>
    <row r="1647" spans="1:3" x14ac:dyDescent="0.2">
      <c r="A1647" s="76"/>
      <c r="C1647" s="76"/>
    </row>
    <row r="1648" spans="1:3" x14ac:dyDescent="0.2">
      <c r="A1648" s="76"/>
      <c r="C1648" s="76"/>
    </row>
    <row r="1649" spans="1:3" x14ac:dyDescent="0.2">
      <c r="A1649" s="76"/>
      <c r="C1649" s="76"/>
    </row>
    <row r="1650" spans="1:3" x14ac:dyDescent="0.2">
      <c r="A1650" s="76"/>
      <c r="C1650" s="76"/>
    </row>
    <row r="1651" spans="1:3" x14ac:dyDescent="0.2">
      <c r="A1651" s="76"/>
      <c r="C1651" s="76"/>
    </row>
    <row r="1652" spans="1:3" x14ac:dyDescent="0.2">
      <c r="A1652" s="76"/>
      <c r="C1652" s="76"/>
    </row>
    <row r="1653" spans="1:3" x14ac:dyDescent="0.2">
      <c r="A1653" s="76"/>
      <c r="C1653" s="76"/>
    </row>
    <row r="1654" spans="1:3" x14ac:dyDescent="0.2">
      <c r="A1654" s="76"/>
      <c r="C1654" s="76"/>
    </row>
    <row r="1655" spans="1:3" x14ac:dyDescent="0.2">
      <c r="A1655" s="76"/>
      <c r="C1655" s="76"/>
    </row>
    <row r="1656" spans="1:3" x14ac:dyDescent="0.2">
      <c r="A1656" s="76"/>
      <c r="C1656" s="76"/>
    </row>
    <row r="1657" spans="1:3" x14ac:dyDescent="0.2">
      <c r="A1657" s="76"/>
      <c r="C1657" s="76"/>
    </row>
    <row r="1658" spans="1:3" x14ac:dyDescent="0.2">
      <c r="A1658" s="76"/>
      <c r="C1658" s="76"/>
    </row>
    <row r="1659" spans="1:3" x14ac:dyDescent="0.2">
      <c r="A1659" s="76"/>
      <c r="C1659" s="76"/>
    </row>
    <row r="1660" spans="1:3" x14ac:dyDescent="0.2">
      <c r="A1660" s="76"/>
      <c r="C1660" s="76"/>
    </row>
    <row r="1661" spans="1:3" x14ac:dyDescent="0.2">
      <c r="A1661" s="76"/>
      <c r="C1661" s="76"/>
    </row>
    <row r="1662" spans="1:3" x14ac:dyDescent="0.2">
      <c r="A1662" s="76"/>
      <c r="C1662" s="76"/>
    </row>
    <row r="1663" spans="1:3" x14ac:dyDescent="0.2">
      <c r="A1663" s="76"/>
      <c r="C1663" s="76"/>
    </row>
    <row r="1664" spans="1:3" x14ac:dyDescent="0.2">
      <c r="A1664" s="76"/>
      <c r="C1664" s="76"/>
    </row>
    <row r="1665" spans="1:3" x14ac:dyDescent="0.2">
      <c r="A1665" s="76"/>
      <c r="C1665" s="76"/>
    </row>
    <row r="1666" spans="1:3" x14ac:dyDescent="0.2">
      <c r="A1666" s="76"/>
      <c r="C1666" s="76"/>
    </row>
    <row r="1667" spans="1:3" x14ac:dyDescent="0.2">
      <c r="A1667" s="76"/>
      <c r="C1667" s="76"/>
    </row>
    <row r="1668" spans="1:3" x14ac:dyDescent="0.2">
      <c r="A1668" s="76"/>
      <c r="C1668" s="76"/>
    </row>
    <row r="1669" spans="1:3" x14ac:dyDescent="0.2">
      <c r="A1669" s="76"/>
      <c r="C1669" s="76"/>
    </row>
    <row r="1670" spans="1:3" x14ac:dyDescent="0.2">
      <c r="A1670" s="76"/>
      <c r="C1670" s="76"/>
    </row>
    <row r="1671" spans="1:3" x14ac:dyDescent="0.2">
      <c r="A1671" s="76"/>
      <c r="C1671" s="76"/>
    </row>
    <row r="1672" spans="1:3" x14ac:dyDescent="0.2">
      <c r="A1672" s="76"/>
      <c r="C1672" s="76"/>
    </row>
    <row r="1673" spans="1:3" x14ac:dyDescent="0.2">
      <c r="A1673" s="76"/>
      <c r="C1673" s="76"/>
    </row>
    <row r="1674" spans="1:3" x14ac:dyDescent="0.2">
      <c r="A1674" s="76"/>
      <c r="C1674" s="76"/>
    </row>
    <row r="1675" spans="1:3" x14ac:dyDescent="0.2">
      <c r="A1675" s="76"/>
      <c r="C1675" s="76"/>
    </row>
    <row r="1676" spans="1:3" x14ac:dyDescent="0.2">
      <c r="A1676" s="76"/>
      <c r="C1676" s="76"/>
    </row>
    <row r="1677" spans="1:3" x14ac:dyDescent="0.2">
      <c r="A1677" s="76"/>
      <c r="C1677" s="76"/>
    </row>
    <row r="1678" spans="1:3" x14ac:dyDescent="0.2">
      <c r="A1678" s="76"/>
      <c r="C1678" s="76"/>
    </row>
    <row r="1679" spans="1:3" x14ac:dyDescent="0.2">
      <c r="A1679" s="76"/>
      <c r="C1679" s="76"/>
    </row>
    <row r="1680" spans="1:3" x14ac:dyDescent="0.2">
      <c r="A1680" s="76"/>
      <c r="C1680" s="76"/>
    </row>
    <row r="1681" spans="1:3" x14ac:dyDescent="0.2">
      <c r="A1681" s="76"/>
      <c r="C1681" s="76"/>
    </row>
    <row r="1682" spans="1:3" x14ac:dyDescent="0.2">
      <c r="A1682" s="76"/>
      <c r="C1682" s="76"/>
    </row>
    <row r="1683" spans="1:3" x14ac:dyDescent="0.2">
      <c r="A1683" s="76"/>
      <c r="C1683" s="76"/>
    </row>
    <row r="1684" spans="1:3" x14ac:dyDescent="0.2">
      <c r="A1684" s="76"/>
      <c r="C1684" s="76"/>
    </row>
    <row r="1685" spans="1:3" x14ac:dyDescent="0.2">
      <c r="A1685" s="76"/>
      <c r="C1685" s="76"/>
    </row>
    <row r="1686" spans="1:3" x14ac:dyDescent="0.2">
      <c r="A1686" s="76"/>
      <c r="C1686" s="76"/>
    </row>
    <row r="1687" spans="1:3" x14ac:dyDescent="0.2">
      <c r="A1687" s="76"/>
      <c r="C1687" s="76"/>
    </row>
    <row r="1688" spans="1:3" x14ac:dyDescent="0.2">
      <c r="A1688" s="76"/>
      <c r="C1688" s="76"/>
    </row>
    <row r="1689" spans="1:3" x14ac:dyDescent="0.2">
      <c r="A1689" s="76"/>
      <c r="C1689" s="76"/>
    </row>
    <row r="1690" spans="1:3" x14ac:dyDescent="0.2">
      <c r="A1690" s="76"/>
      <c r="C1690" s="76"/>
    </row>
    <row r="1691" spans="1:3" x14ac:dyDescent="0.2">
      <c r="A1691" s="76"/>
      <c r="C1691" s="76"/>
    </row>
    <row r="1692" spans="1:3" x14ac:dyDescent="0.2">
      <c r="A1692" s="76"/>
      <c r="C1692" s="76"/>
    </row>
    <row r="1693" spans="1:3" x14ac:dyDescent="0.2">
      <c r="A1693" s="76"/>
      <c r="C1693" s="76"/>
    </row>
    <row r="1694" spans="1:3" x14ac:dyDescent="0.2">
      <c r="A1694" s="76"/>
      <c r="C1694" s="76"/>
    </row>
    <row r="1695" spans="1:3" x14ac:dyDescent="0.2">
      <c r="A1695" s="76"/>
      <c r="C1695" s="76"/>
    </row>
    <row r="1696" spans="1:3" x14ac:dyDescent="0.2">
      <c r="A1696" s="76"/>
      <c r="C1696" s="76"/>
    </row>
    <row r="1697" spans="1:3" x14ac:dyDescent="0.2">
      <c r="A1697" s="76"/>
      <c r="C1697" s="76"/>
    </row>
    <row r="1698" spans="1:3" x14ac:dyDescent="0.2">
      <c r="A1698" s="76"/>
      <c r="C1698" s="76"/>
    </row>
    <row r="1699" spans="1:3" x14ac:dyDescent="0.2">
      <c r="A1699" s="76"/>
      <c r="C1699" s="76"/>
    </row>
    <row r="1700" spans="1:3" x14ac:dyDescent="0.2">
      <c r="A1700" s="76"/>
      <c r="C1700" s="76"/>
    </row>
    <row r="1701" spans="1:3" x14ac:dyDescent="0.2">
      <c r="A1701" s="76"/>
      <c r="C1701" s="76"/>
    </row>
    <row r="1702" spans="1:3" x14ac:dyDescent="0.2">
      <c r="A1702" s="76"/>
      <c r="C1702" s="76"/>
    </row>
    <row r="1703" spans="1:3" x14ac:dyDescent="0.2">
      <c r="A1703" s="76"/>
      <c r="C1703" s="76"/>
    </row>
    <row r="1704" spans="1:3" x14ac:dyDescent="0.2">
      <c r="A1704" s="76"/>
      <c r="C1704" s="76"/>
    </row>
    <row r="1705" spans="1:3" x14ac:dyDescent="0.2">
      <c r="A1705" s="76"/>
      <c r="C1705" s="76"/>
    </row>
    <row r="1706" spans="1:3" x14ac:dyDescent="0.2">
      <c r="A1706" s="76"/>
      <c r="C1706" s="76"/>
    </row>
    <row r="1707" spans="1:3" x14ac:dyDescent="0.2">
      <c r="A1707" s="76"/>
      <c r="C1707" s="76"/>
    </row>
    <row r="1708" spans="1:3" x14ac:dyDescent="0.2">
      <c r="A1708" s="76"/>
      <c r="C1708" s="76"/>
    </row>
    <row r="1709" spans="1:3" x14ac:dyDescent="0.2">
      <c r="A1709" s="76"/>
      <c r="C1709" s="76"/>
    </row>
    <row r="1710" spans="1:3" x14ac:dyDescent="0.2">
      <c r="A1710" s="76"/>
      <c r="C1710" s="76"/>
    </row>
    <row r="1711" spans="1:3" x14ac:dyDescent="0.2">
      <c r="A1711" s="76"/>
      <c r="C1711" s="76"/>
    </row>
    <row r="1712" spans="1:3" x14ac:dyDescent="0.2">
      <c r="A1712" s="76"/>
      <c r="C1712" s="76"/>
    </row>
    <row r="1713" spans="1:3" x14ac:dyDescent="0.2">
      <c r="A1713" s="76"/>
      <c r="C1713" s="76"/>
    </row>
    <row r="1714" spans="1:3" x14ac:dyDescent="0.2">
      <c r="A1714" s="76"/>
      <c r="C1714" s="76"/>
    </row>
    <row r="1715" spans="1:3" x14ac:dyDescent="0.2">
      <c r="A1715" s="76"/>
      <c r="C1715" s="76"/>
    </row>
    <row r="1716" spans="1:3" x14ac:dyDescent="0.2">
      <c r="A1716" s="76"/>
      <c r="C1716" s="76"/>
    </row>
    <row r="1717" spans="1:3" x14ac:dyDescent="0.2">
      <c r="A1717" s="76"/>
      <c r="C1717" s="76"/>
    </row>
    <row r="1718" spans="1:3" x14ac:dyDescent="0.2">
      <c r="A1718" s="76"/>
      <c r="C1718" s="76"/>
    </row>
    <row r="1719" spans="1:3" x14ac:dyDescent="0.2">
      <c r="A1719" s="76"/>
      <c r="C1719" s="76"/>
    </row>
    <row r="1720" spans="1:3" x14ac:dyDescent="0.2">
      <c r="A1720" s="76"/>
      <c r="C1720" s="76"/>
    </row>
    <row r="1721" spans="1:3" x14ac:dyDescent="0.2">
      <c r="A1721" s="76"/>
      <c r="C1721" s="76"/>
    </row>
    <row r="1722" spans="1:3" x14ac:dyDescent="0.2">
      <c r="A1722" s="76"/>
      <c r="C1722" s="76"/>
    </row>
    <row r="1723" spans="1:3" x14ac:dyDescent="0.2">
      <c r="A1723" s="76"/>
      <c r="C1723" s="76"/>
    </row>
    <row r="1724" spans="1:3" x14ac:dyDescent="0.2">
      <c r="A1724" s="76"/>
      <c r="C1724" s="76"/>
    </row>
    <row r="1725" spans="1:3" x14ac:dyDescent="0.2">
      <c r="A1725" s="76"/>
      <c r="C1725" s="76"/>
    </row>
    <row r="1726" spans="1:3" x14ac:dyDescent="0.2">
      <c r="A1726" s="76"/>
      <c r="C1726" s="76"/>
    </row>
    <row r="1727" spans="1:3" x14ac:dyDescent="0.2">
      <c r="A1727" s="76"/>
      <c r="C1727" s="76"/>
    </row>
    <row r="1728" spans="1:3" x14ac:dyDescent="0.2">
      <c r="A1728" s="76"/>
      <c r="C1728" s="76"/>
    </row>
    <row r="1729" spans="1:3" x14ac:dyDescent="0.2">
      <c r="A1729" s="76"/>
      <c r="C1729" s="76"/>
    </row>
    <row r="1730" spans="1:3" x14ac:dyDescent="0.2">
      <c r="A1730" s="76"/>
      <c r="C1730" s="76"/>
    </row>
    <row r="1731" spans="1:3" x14ac:dyDescent="0.2">
      <c r="A1731" s="76"/>
      <c r="C1731" s="76"/>
    </row>
    <row r="1732" spans="1:3" x14ac:dyDescent="0.2">
      <c r="A1732" s="76"/>
      <c r="C1732" s="76"/>
    </row>
    <row r="1733" spans="1:3" x14ac:dyDescent="0.2">
      <c r="A1733" s="76"/>
      <c r="C1733" s="76"/>
    </row>
    <row r="1734" spans="1:3" x14ac:dyDescent="0.2">
      <c r="A1734" s="76"/>
      <c r="C1734" s="76"/>
    </row>
    <row r="1735" spans="1:3" x14ac:dyDescent="0.2">
      <c r="A1735" s="76"/>
      <c r="C1735" s="76"/>
    </row>
    <row r="1736" spans="1:3" x14ac:dyDescent="0.2">
      <c r="A1736" s="76"/>
      <c r="C1736" s="76"/>
    </row>
    <row r="1737" spans="1:3" x14ac:dyDescent="0.2">
      <c r="A1737" s="76"/>
      <c r="C1737" s="76"/>
    </row>
    <row r="1738" spans="1:3" x14ac:dyDescent="0.2">
      <c r="A1738" s="76"/>
      <c r="C1738" s="76"/>
    </row>
    <row r="1739" spans="1:3" x14ac:dyDescent="0.2">
      <c r="A1739" s="76"/>
      <c r="C1739" s="76"/>
    </row>
    <row r="1740" spans="1:3" x14ac:dyDescent="0.2">
      <c r="A1740" s="76"/>
      <c r="C1740" s="76"/>
    </row>
    <row r="1741" spans="1:3" x14ac:dyDescent="0.2">
      <c r="A1741" s="76"/>
      <c r="C1741" s="76"/>
    </row>
    <row r="1742" spans="1:3" x14ac:dyDescent="0.2">
      <c r="A1742" s="76"/>
      <c r="C1742" s="76"/>
    </row>
    <row r="1743" spans="1:3" x14ac:dyDescent="0.2">
      <c r="A1743" s="76"/>
      <c r="C1743" s="76"/>
    </row>
    <row r="1744" spans="1:3" x14ac:dyDescent="0.2">
      <c r="A1744" s="76"/>
      <c r="C1744" s="76"/>
    </row>
    <row r="1745" spans="1:3" x14ac:dyDescent="0.2">
      <c r="A1745" s="76"/>
      <c r="C1745" s="76"/>
    </row>
    <row r="1746" spans="1:3" x14ac:dyDescent="0.2">
      <c r="A1746" s="76"/>
      <c r="C1746" s="76"/>
    </row>
    <row r="1747" spans="1:3" x14ac:dyDescent="0.2">
      <c r="A1747" s="76"/>
      <c r="C1747" s="76"/>
    </row>
    <row r="1748" spans="1:3" x14ac:dyDescent="0.2">
      <c r="A1748" s="76"/>
      <c r="C1748" s="76"/>
    </row>
    <row r="1749" spans="1:3" x14ac:dyDescent="0.2">
      <c r="A1749" s="76"/>
      <c r="C1749" s="76"/>
    </row>
    <row r="1750" spans="1:3" x14ac:dyDescent="0.2">
      <c r="A1750" s="76"/>
      <c r="C1750" s="76"/>
    </row>
    <row r="1751" spans="1:3" x14ac:dyDescent="0.2">
      <c r="A1751" s="76"/>
      <c r="C1751" s="76"/>
    </row>
    <row r="1752" spans="1:3" x14ac:dyDescent="0.2">
      <c r="A1752" s="76"/>
      <c r="C1752" s="76"/>
    </row>
    <row r="1753" spans="1:3" x14ac:dyDescent="0.2">
      <c r="A1753" s="76"/>
      <c r="C1753" s="76"/>
    </row>
    <row r="1754" spans="1:3" x14ac:dyDescent="0.2">
      <c r="A1754" s="76"/>
      <c r="C1754" s="76"/>
    </row>
    <row r="1755" spans="1:3" x14ac:dyDescent="0.2">
      <c r="A1755" s="76"/>
      <c r="C1755" s="76"/>
    </row>
    <row r="1756" spans="1:3" x14ac:dyDescent="0.2">
      <c r="A1756" s="76"/>
      <c r="C1756" s="76"/>
    </row>
    <row r="1757" spans="1:3" x14ac:dyDescent="0.2">
      <c r="A1757" s="76"/>
      <c r="C1757" s="76"/>
    </row>
    <row r="1758" spans="1:3" x14ac:dyDescent="0.2">
      <c r="A1758" s="76"/>
      <c r="C1758" s="76"/>
    </row>
    <row r="1759" spans="1:3" x14ac:dyDescent="0.2">
      <c r="A1759" s="76"/>
      <c r="C1759" s="76"/>
    </row>
    <row r="1760" spans="1:3" x14ac:dyDescent="0.2">
      <c r="A1760" s="76"/>
      <c r="C1760" s="76"/>
    </row>
    <row r="1761" spans="1:3" x14ac:dyDescent="0.2">
      <c r="A1761" s="76"/>
      <c r="C1761" s="76"/>
    </row>
    <row r="1762" spans="1:3" x14ac:dyDescent="0.2">
      <c r="A1762" s="76"/>
      <c r="C1762" s="76"/>
    </row>
    <row r="1763" spans="1:3" x14ac:dyDescent="0.2">
      <c r="A1763" s="76"/>
      <c r="C1763" s="76"/>
    </row>
    <row r="1764" spans="1:3" x14ac:dyDescent="0.2">
      <c r="A1764" s="76"/>
      <c r="C1764" s="76"/>
    </row>
    <row r="1765" spans="1:3" x14ac:dyDescent="0.2">
      <c r="A1765" s="76"/>
      <c r="C1765" s="76"/>
    </row>
    <row r="1766" spans="1:3" x14ac:dyDescent="0.2">
      <c r="A1766" s="76"/>
      <c r="C1766" s="76"/>
    </row>
    <row r="1767" spans="1:3" x14ac:dyDescent="0.2">
      <c r="A1767" s="76"/>
      <c r="C1767" s="76"/>
    </row>
    <row r="1768" spans="1:3" x14ac:dyDescent="0.2">
      <c r="A1768" s="76"/>
      <c r="C1768" s="76"/>
    </row>
    <row r="1769" spans="1:3" x14ac:dyDescent="0.2">
      <c r="A1769" s="76"/>
      <c r="C1769" s="76"/>
    </row>
    <row r="1770" spans="1:3" x14ac:dyDescent="0.2">
      <c r="A1770" s="76"/>
      <c r="C1770" s="76"/>
    </row>
    <row r="1771" spans="1:3" x14ac:dyDescent="0.2">
      <c r="A1771" s="76"/>
      <c r="C1771" s="76"/>
    </row>
    <row r="1772" spans="1:3" x14ac:dyDescent="0.2">
      <c r="A1772" s="76"/>
      <c r="C1772" s="76"/>
    </row>
    <row r="1773" spans="1:3" x14ac:dyDescent="0.2">
      <c r="A1773" s="76"/>
      <c r="C1773" s="76"/>
    </row>
    <row r="1774" spans="1:3" x14ac:dyDescent="0.2">
      <c r="A1774" s="76"/>
      <c r="C1774" s="76"/>
    </row>
    <row r="1775" spans="1:3" x14ac:dyDescent="0.2">
      <c r="A1775" s="76"/>
      <c r="C1775" s="76"/>
    </row>
    <row r="1776" spans="1:3" x14ac:dyDescent="0.2">
      <c r="A1776" s="76"/>
      <c r="C1776" s="76"/>
    </row>
    <row r="1777" spans="1:3" x14ac:dyDescent="0.2">
      <c r="A1777" s="76"/>
      <c r="C1777" s="76"/>
    </row>
    <row r="1778" spans="1:3" x14ac:dyDescent="0.2">
      <c r="A1778" s="76"/>
      <c r="C1778" s="76"/>
    </row>
    <row r="1779" spans="1:3" x14ac:dyDescent="0.2">
      <c r="A1779" s="76"/>
      <c r="C1779" s="76"/>
    </row>
    <row r="1780" spans="1:3" x14ac:dyDescent="0.2">
      <c r="A1780" s="76"/>
      <c r="C1780" s="76"/>
    </row>
    <row r="1781" spans="1:3" x14ac:dyDescent="0.2">
      <c r="A1781" s="76"/>
      <c r="C1781" s="76"/>
    </row>
    <row r="1782" spans="1:3" x14ac:dyDescent="0.2">
      <c r="A1782" s="76"/>
      <c r="C1782" s="76"/>
    </row>
    <row r="1783" spans="1:3" x14ac:dyDescent="0.2">
      <c r="A1783" s="76"/>
      <c r="C1783" s="76"/>
    </row>
    <row r="1784" spans="1:3" x14ac:dyDescent="0.2">
      <c r="A1784" s="76"/>
      <c r="C1784" s="76"/>
    </row>
    <row r="1785" spans="1:3" x14ac:dyDescent="0.2">
      <c r="A1785" s="76"/>
      <c r="C1785" s="76"/>
    </row>
    <row r="1786" spans="1:3" x14ac:dyDescent="0.2">
      <c r="A1786" s="76"/>
      <c r="C1786" s="76"/>
    </row>
    <row r="1787" spans="1:3" x14ac:dyDescent="0.2">
      <c r="A1787" s="76"/>
      <c r="C1787" s="76"/>
    </row>
    <row r="1788" spans="1:3" x14ac:dyDescent="0.2">
      <c r="A1788" s="76"/>
      <c r="C1788" s="76"/>
    </row>
    <row r="1789" spans="1:3" x14ac:dyDescent="0.2">
      <c r="A1789" s="76"/>
      <c r="C1789" s="76"/>
    </row>
    <row r="1790" spans="1:3" x14ac:dyDescent="0.2">
      <c r="A1790" s="76"/>
      <c r="C1790" s="76"/>
    </row>
    <row r="1791" spans="1:3" x14ac:dyDescent="0.2">
      <c r="A1791" s="76"/>
      <c r="C1791" s="76"/>
    </row>
    <row r="1792" spans="1:3" x14ac:dyDescent="0.2">
      <c r="A1792" s="76"/>
      <c r="C1792" s="76"/>
    </row>
    <row r="1793" spans="1:3" x14ac:dyDescent="0.2">
      <c r="A1793" s="76"/>
      <c r="C1793" s="76"/>
    </row>
    <row r="1794" spans="1:3" x14ac:dyDescent="0.2">
      <c r="A1794" s="76"/>
      <c r="C1794" s="76"/>
    </row>
    <row r="1795" spans="1:3" x14ac:dyDescent="0.2">
      <c r="A1795" s="76"/>
      <c r="C1795" s="76"/>
    </row>
    <row r="1796" spans="1:3" x14ac:dyDescent="0.2">
      <c r="A1796" s="76"/>
      <c r="C1796" s="76"/>
    </row>
    <row r="1797" spans="1:3" x14ac:dyDescent="0.2">
      <c r="A1797" s="76"/>
      <c r="C1797" s="76"/>
    </row>
    <row r="1798" spans="1:3" x14ac:dyDescent="0.2">
      <c r="A1798" s="76"/>
      <c r="C1798" s="76"/>
    </row>
    <row r="1799" spans="1:3" x14ac:dyDescent="0.2">
      <c r="A1799" s="76"/>
      <c r="C1799" s="76"/>
    </row>
    <row r="1800" spans="1:3" x14ac:dyDescent="0.2">
      <c r="A1800" s="76"/>
      <c r="C1800" s="76"/>
    </row>
    <row r="1801" spans="1:3" x14ac:dyDescent="0.2">
      <c r="A1801" s="76"/>
      <c r="C1801" s="76"/>
    </row>
    <row r="1802" spans="1:3" x14ac:dyDescent="0.2">
      <c r="A1802" s="76"/>
      <c r="C1802" s="76"/>
    </row>
    <row r="1803" spans="1:3" x14ac:dyDescent="0.2">
      <c r="A1803" s="76"/>
      <c r="C1803" s="76"/>
    </row>
    <row r="1804" spans="1:3" x14ac:dyDescent="0.2">
      <c r="A1804" s="76"/>
      <c r="C1804" s="76"/>
    </row>
    <row r="1805" spans="1:3" x14ac:dyDescent="0.2">
      <c r="A1805" s="76"/>
      <c r="C1805" s="76"/>
    </row>
    <row r="1806" spans="1:3" x14ac:dyDescent="0.2">
      <c r="A1806" s="76"/>
      <c r="C1806" s="76"/>
    </row>
    <row r="1807" spans="1:3" x14ac:dyDescent="0.2">
      <c r="A1807" s="76"/>
      <c r="C1807" s="76"/>
    </row>
    <row r="1808" spans="1:3" x14ac:dyDescent="0.2">
      <c r="A1808" s="76"/>
      <c r="C1808" s="76"/>
    </row>
    <row r="1809" spans="1:3" x14ac:dyDescent="0.2">
      <c r="A1809" s="76"/>
      <c r="C1809" s="76"/>
    </row>
    <row r="1810" spans="1:3" x14ac:dyDescent="0.2">
      <c r="A1810" s="76"/>
      <c r="C1810" s="76"/>
    </row>
    <row r="1811" spans="1:3" x14ac:dyDescent="0.2">
      <c r="A1811" s="76"/>
      <c r="C1811" s="76"/>
    </row>
    <row r="1812" spans="1:3" x14ac:dyDescent="0.2">
      <c r="A1812" s="76"/>
      <c r="C1812" s="76"/>
    </row>
    <row r="1813" spans="1:3" x14ac:dyDescent="0.2">
      <c r="A1813" s="76"/>
      <c r="C1813" s="76"/>
    </row>
    <row r="1814" spans="1:3" x14ac:dyDescent="0.2">
      <c r="A1814" s="76"/>
      <c r="C1814" s="76"/>
    </row>
    <row r="1815" spans="1:3" x14ac:dyDescent="0.2">
      <c r="A1815" s="76"/>
      <c r="C1815" s="76"/>
    </row>
    <row r="1816" spans="1:3" x14ac:dyDescent="0.2">
      <c r="A1816" s="76"/>
      <c r="C1816" s="76"/>
    </row>
    <row r="1817" spans="1:3" x14ac:dyDescent="0.2">
      <c r="A1817" s="76"/>
      <c r="C1817" s="76"/>
    </row>
    <row r="1818" spans="1:3" x14ac:dyDescent="0.2">
      <c r="A1818" s="76"/>
      <c r="C1818" s="76"/>
    </row>
    <row r="1819" spans="1:3" x14ac:dyDescent="0.2">
      <c r="A1819" s="76"/>
      <c r="C1819" s="76"/>
    </row>
    <row r="1820" spans="1:3" x14ac:dyDescent="0.2">
      <c r="A1820" s="76"/>
      <c r="C1820" s="76"/>
    </row>
    <row r="1821" spans="1:3" x14ac:dyDescent="0.2">
      <c r="A1821" s="76"/>
      <c r="C1821" s="76"/>
    </row>
    <row r="1822" spans="1:3" x14ac:dyDescent="0.2">
      <c r="A1822" s="76"/>
      <c r="C1822" s="76"/>
    </row>
    <row r="1823" spans="1:3" x14ac:dyDescent="0.2">
      <c r="A1823" s="76"/>
      <c r="C1823" s="76"/>
    </row>
    <row r="1824" spans="1:3" x14ac:dyDescent="0.2">
      <c r="A1824" s="76"/>
      <c r="C1824" s="76"/>
    </row>
    <row r="1825" spans="1:3" x14ac:dyDescent="0.2">
      <c r="A1825" s="76"/>
      <c r="C1825" s="76"/>
    </row>
    <row r="1826" spans="1:3" x14ac:dyDescent="0.2">
      <c r="A1826" s="76"/>
      <c r="C1826" s="76"/>
    </row>
    <row r="1827" spans="1:3" x14ac:dyDescent="0.2">
      <c r="A1827" s="76"/>
      <c r="C1827" s="76"/>
    </row>
    <row r="1828" spans="1:3" x14ac:dyDescent="0.2">
      <c r="A1828" s="76"/>
      <c r="C1828" s="76"/>
    </row>
    <row r="1829" spans="1:3" x14ac:dyDescent="0.2">
      <c r="A1829" s="76"/>
      <c r="C1829" s="76"/>
    </row>
    <row r="1830" spans="1:3" x14ac:dyDescent="0.2">
      <c r="A1830" s="76"/>
      <c r="C1830" s="76"/>
    </row>
    <row r="1831" spans="1:3" x14ac:dyDescent="0.2">
      <c r="A1831" s="76"/>
      <c r="C1831" s="76"/>
    </row>
    <row r="1832" spans="1:3" x14ac:dyDescent="0.2">
      <c r="A1832" s="76"/>
      <c r="C1832" s="76"/>
    </row>
    <row r="1833" spans="1:3" x14ac:dyDescent="0.2">
      <c r="A1833" s="76"/>
      <c r="C1833" s="76"/>
    </row>
    <row r="1834" spans="1:3" x14ac:dyDescent="0.2">
      <c r="A1834" s="76"/>
      <c r="C1834" s="76"/>
    </row>
    <row r="1835" spans="1:3" x14ac:dyDescent="0.2">
      <c r="A1835" s="76"/>
      <c r="C1835" s="76"/>
    </row>
    <row r="1836" spans="1:3" x14ac:dyDescent="0.2">
      <c r="A1836" s="76"/>
      <c r="C1836" s="76"/>
    </row>
    <row r="1837" spans="1:3" x14ac:dyDescent="0.2">
      <c r="A1837" s="76"/>
      <c r="C1837" s="76"/>
    </row>
    <row r="1838" spans="1:3" x14ac:dyDescent="0.2">
      <c r="A1838" s="76"/>
      <c r="C1838" s="76"/>
    </row>
    <row r="1839" spans="1:3" x14ac:dyDescent="0.2">
      <c r="A1839" s="76"/>
      <c r="C1839" s="76"/>
    </row>
    <row r="1840" spans="1:3" x14ac:dyDescent="0.2">
      <c r="A1840" s="76"/>
      <c r="C1840" s="76"/>
    </row>
    <row r="1841" spans="1:3" x14ac:dyDescent="0.2">
      <c r="A1841" s="76"/>
      <c r="C1841" s="76"/>
    </row>
    <row r="1842" spans="1:3" x14ac:dyDescent="0.2">
      <c r="A1842" s="76"/>
      <c r="C1842" s="76"/>
    </row>
    <row r="1843" spans="1:3" x14ac:dyDescent="0.2">
      <c r="A1843" s="76"/>
      <c r="C1843" s="76"/>
    </row>
    <row r="1844" spans="1:3" x14ac:dyDescent="0.2">
      <c r="A1844" s="76"/>
      <c r="C1844" s="76"/>
    </row>
    <row r="1845" spans="1:3" x14ac:dyDescent="0.2">
      <c r="A1845" s="76"/>
      <c r="C1845" s="76"/>
    </row>
    <row r="1846" spans="1:3" x14ac:dyDescent="0.2">
      <c r="A1846" s="76"/>
      <c r="C1846" s="76"/>
    </row>
    <row r="1847" spans="1:3" x14ac:dyDescent="0.2">
      <c r="A1847" s="76"/>
      <c r="C1847" s="76"/>
    </row>
    <row r="1848" spans="1:3" x14ac:dyDescent="0.2">
      <c r="A1848" s="76"/>
      <c r="C1848" s="76"/>
    </row>
    <row r="1849" spans="1:3" x14ac:dyDescent="0.2">
      <c r="A1849" s="76"/>
      <c r="C1849" s="76"/>
    </row>
    <row r="1850" spans="1:3" x14ac:dyDescent="0.2">
      <c r="A1850" s="76"/>
      <c r="C1850" s="76"/>
    </row>
    <row r="1851" spans="1:3" x14ac:dyDescent="0.2">
      <c r="A1851" s="76"/>
      <c r="C1851" s="76"/>
    </row>
    <row r="1852" spans="1:3" x14ac:dyDescent="0.2">
      <c r="A1852" s="76"/>
      <c r="C1852" s="76"/>
    </row>
    <row r="1853" spans="1:3" x14ac:dyDescent="0.2">
      <c r="A1853" s="76"/>
      <c r="C1853" s="76"/>
    </row>
    <row r="1854" spans="1:3" x14ac:dyDescent="0.2">
      <c r="A1854" s="76"/>
      <c r="C1854" s="76"/>
    </row>
    <row r="1855" spans="1:3" x14ac:dyDescent="0.2">
      <c r="A1855" s="76"/>
      <c r="C1855" s="76"/>
    </row>
    <row r="1856" spans="1:3" x14ac:dyDescent="0.2">
      <c r="A1856" s="76"/>
      <c r="C1856" s="76"/>
    </row>
    <row r="1857" spans="1:3" x14ac:dyDescent="0.2">
      <c r="A1857" s="76"/>
      <c r="C1857" s="76"/>
    </row>
    <row r="1858" spans="1:3" x14ac:dyDescent="0.2">
      <c r="A1858" s="76"/>
      <c r="C1858" s="76"/>
    </row>
    <row r="1859" spans="1:3" x14ac:dyDescent="0.2">
      <c r="A1859" s="76"/>
      <c r="C1859" s="76"/>
    </row>
    <row r="1860" spans="1:3" x14ac:dyDescent="0.2">
      <c r="A1860" s="76"/>
      <c r="C1860" s="76"/>
    </row>
    <row r="1861" spans="1:3" x14ac:dyDescent="0.2">
      <c r="A1861" s="76"/>
      <c r="C1861" s="76"/>
    </row>
    <row r="1862" spans="1:3" x14ac:dyDescent="0.2">
      <c r="A1862" s="76"/>
      <c r="C1862" s="76"/>
    </row>
    <row r="1863" spans="1:3" x14ac:dyDescent="0.2">
      <c r="A1863" s="76"/>
      <c r="C1863" s="76"/>
    </row>
    <row r="1864" spans="1:3" x14ac:dyDescent="0.2">
      <c r="A1864" s="76"/>
      <c r="C1864" s="76"/>
    </row>
    <row r="1865" spans="1:3" x14ac:dyDescent="0.2">
      <c r="A1865" s="76"/>
      <c r="C1865" s="76"/>
    </row>
    <row r="1866" spans="1:3" x14ac:dyDescent="0.2">
      <c r="A1866" s="76"/>
      <c r="C1866" s="76"/>
    </row>
    <row r="1867" spans="1:3" x14ac:dyDescent="0.2">
      <c r="A1867" s="76"/>
      <c r="C1867" s="76"/>
    </row>
    <row r="1868" spans="1:3" x14ac:dyDescent="0.2">
      <c r="A1868" s="76"/>
      <c r="C1868" s="76"/>
    </row>
    <row r="1869" spans="1:3" x14ac:dyDescent="0.2">
      <c r="A1869" s="76"/>
      <c r="C1869" s="76"/>
    </row>
    <row r="1870" spans="1:3" x14ac:dyDescent="0.2">
      <c r="A1870" s="76"/>
      <c r="C1870" s="76"/>
    </row>
    <row r="1871" spans="1:3" x14ac:dyDescent="0.2">
      <c r="A1871" s="76"/>
      <c r="C1871" s="76"/>
    </row>
    <row r="1872" spans="1:3" x14ac:dyDescent="0.2">
      <c r="A1872" s="76"/>
      <c r="C1872" s="76"/>
    </row>
    <row r="1873" spans="1:3" x14ac:dyDescent="0.2">
      <c r="A1873" s="76"/>
      <c r="C1873" s="76"/>
    </row>
    <row r="1874" spans="1:3" x14ac:dyDescent="0.2">
      <c r="A1874" s="76"/>
      <c r="C1874" s="76"/>
    </row>
    <row r="1875" spans="1:3" x14ac:dyDescent="0.2">
      <c r="A1875" s="76"/>
      <c r="C1875" s="76"/>
    </row>
    <row r="1876" spans="1:3" x14ac:dyDescent="0.2">
      <c r="A1876" s="76"/>
      <c r="C1876" s="76"/>
    </row>
    <row r="1877" spans="1:3" x14ac:dyDescent="0.2">
      <c r="A1877" s="76"/>
      <c r="C1877" s="76"/>
    </row>
    <row r="1878" spans="1:3" x14ac:dyDescent="0.2">
      <c r="A1878" s="76"/>
      <c r="C1878" s="76"/>
    </row>
    <row r="1879" spans="1:3" x14ac:dyDescent="0.2">
      <c r="A1879" s="76"/>
      <c r="C1879" s="76"/>
    </row>
    <row r="1880" spans="1:3" x14ac:dyDescent="0.2">
      <c r="A1880" s="76"/>
      <c r="C1880" s="76"/>
    </row>
    <row r="1881" spans="1:3" x14ac:dyDescent="0.2">
      <c r="A1881" s="76"/>
      <c r="C1881" s="76"/>
    </row>
    <row r="1882" spans="1:3" x14ac:dyDescent="0.2">
      <c r="A1882" s="76"/>
      <c r="C1882" s="76"/>
    </row>
    <row r="1883" spans="1:3" x14ac:dyDescent="0.2">
      <c r="A1883" s="76"/>
      <c r="C1883" s="76"/>
    </row>
    <row r="1884" spans="1:3" x14ac:dyDescent="0.2">
      <c r="A1884" s="76"/>
      <c r="C1884" s="76"/>
    </row>
    <row r="1885" spans="1:3" x14ac:dyDescent="0.2">
      <c r="A1885" s="76"/>
      <c r="C1885" s="76"/>
    </row>
    <row r="1886" spans="1:3" x14ac:dyDescent="0.2">
      <c r="A1886" s="76"/>
      <c r="C1886" s="76"/>
    </row>
    <row r="1887" spans="1:3" x14ac:dyDescent="0.2">
      <c r="A1887" s="76"/>
      <c r="C1887" s="76"/>
    </row>
    <row r="1888" spans="1:3" x14ac:dyDescent="0.2">
      <c r="A1888" s="76"/>
      <c r="C1888" s="76"/>
    </row>
    <row r="1889" spans="1:3" x14ac:dyDescent="0.2">
      <c r="A1889" s="76"/>
      <c r="C1889" s="76"/>
    </row>
    <row r="1890" spans="1:3" x14ac:dyDescent="0.2">
      <c r="A1890" s="76"/>
      <c r="C1890" s="76"/>
    </row>
    <row r="1891" spans="1:3" x14ac:dyDescent="0.2">
      <c r="A1891" s="76"/>
      <c r="C1891" s="76"/>
    </row>
    <row r="1892" spans="1:3" x14ac:dyDescent="0.2">
      <c r="A1892" s="76"/>
      <c r="C1892" s="76"/>
    </row>
    <row r="1893" spans="1:3" x14ac:dyDescent="0.2">
      <c r="A1893" s="76"/>
      <c r="C1893" s="76"/>
    </row>
    <row r="1894" spans="1:3" x14ac:dyDescent="0.2">
      <c r="A1894" s="76"/>
      <c r="C1894" s="76"/>
    </row>
    <row r="1895" spans="1:3" x14ac:dyDescent="0.2">
      <c r="A1895" s="76"/>
      <c r="C1895" s="76"/>
    </row>
    <row r="1896" spans="1:3" x14ac:dyDescent="0.2">
      <c r="A1896" s="76"/>
      <c r="C1896" s="76"/>
    </row>
    <row r="1897" spans="1:3" x14ac:dyDescent="0.2">
      <c r="A1897" s="76"/>
      <c r="C1897" s="76"/>
    </row>
    <row r="1898" spans="1:3" x14ac:dyDescent="0.2">
      <c r="A1898" s="76"/>
      <c r="C1898" s="76"/>
    </row>
    <row r="1899" spans="1:3" x14ac:dyDescent="0.2">
      <c r="A1899" s="76"/>
      <c r="C1899" s="76"/>
    </row>
    <row r="1900" spans="1:3" x14ac:dyDescent="0.2">
      <c r="A1900" s="76"/>
      <c r="C1900" s="76"/>
    </row>
    <row r="1901" spans="1:3" x14ac:dyDescent="0.2">
      <c r="A1901" s="76"/>
      <c r="C1901" s="76"/>
    </row>
    <row r="1902" spans="1:3" x14ac:dyDescent="0.2">
      <c r="A1902" s="76"/>
      <c r="C1902" s="76"/>
    </row>
    <row r="1903" spans="1:3" x14ac:dyDescent="0.2">
      <c r="A1903" s="76"/>
      <c r="C1903" s="76"/>
    </row>
    <row r="1904" spans="1:3" x14ac:dyDescent="0.2">
      <c r="A1904" s="76"/>
      <c r="C1904" s="76"/>
    </row>
    <row r="1905" spans="1:3" x14ac:dyDescent="0.2">
      <c r="A1905" s="76"/>
      <c r="C1905" s="76"/>
    </row>
    <row r="1906" spans="1:3" x14ac:dyDescent="0.2">
      <c r="A1906" s="76"/>
      <c r="C1906" s="76"/>
    </row>
    <row r="1907" spans="1:3" x14ac:dyDescent="0.2">
      <c r="A1907" s="76"/>
      <c r="C1907" s="76"/>
    </row>
    <row r="1908" spans="1:3" x14ac:dyDescent="0.2">
      <c r="A1908" s="76"/>
      <c r="C1908" s="76"/>
    </row>
    <row r="1909" spans="1:3" x14ac:dyDescent="0.2">
      <c r="A1909" s="76"/>
      <c r="C1909" s="76"/>
    </row>
    <row r="1910" spans="1:3" x14ac:dyDescent="0.2">
      <c r="A1910" s="76"/>
      <c r="C1910" s="76"/>
    </row>
    <row r="1911" spans="1:3" x14ac:dyDescent="0.2">
      <c r="A1911" s="76"/>
      <c r="C1911" s="76"/>
    </row>
    <row r="1912" spans="1:3" x14ac:dyDescent="0.2">
      <c r="A1912" s="76"/>
      <c r="C1912" s="76"/>
    </row>
    <row r="1913" spans="1:3" x14ac:dyDescent="0.2">
      <c r="A1913" s="76"/>
      <c r="C1913" s="76"/>
    </row>
    <row r="1914" spans="1:3" x14ac:dyDescent="0.2">
      <c r="A1914" s="76"/>
      <c r="C1914" s="76"/>
    </row>
    <row r="1915" spans="1:3" x14ac:dyDescent="0.2">
      <c r="A1915" s="76"/>
      <c r="C1915" s="76"/>
    </row>
    <row r="1916" spans="1:3" x14ac:dyDescent="0.2">
      <c r="A1916" s="76"/>
      <c r="C1916" s="76"/>
    </row>
    <row r="1917" spans="1:3" x14ac:dyDescent="0.2">
      <c r="A1917" s="76"/>
      <c r="C1917" s="76"/>
    </row>
    <row r="1918" spans="1:3" x14ac:dyDescent="0.2">
      <c r="A1918" s="76"/>
      <c r="C1918" s="76"/>
    </row>
    <row r="1919" spans="1:3" x14ac:dyDescent="0.2">
      <c r="A1919" s="76"/>
      <c r="C1919" s="76"/>
    </row>
    <row r="1920" spans="1:3" x14ac:dyDescent="0.2">
      <c r="A1920" s="76"/>
      <c r="C1920" s="76"/>
    </row>
    <row r="1921" spans="1:3" x14ac:dyDescent="0.2">
      <c r="A1921" s="76"/>
      <c r="C1921" s="76"/>
    </row>
    <row r="1922" spans="1:3" x14ac:dyDescent="0.2">
      <c r="A1922" s="76"/>
      <c r="C1922" s="76"/>
    </row>
    <row r="1923" spans="1:3" x14ac:dyDescent="0.2">
      <c r="A1923" s="76"/>
      <c r="C1923" s="76"/>
    </row>
    <row r="1924" spans="1:3" x14ac:dyDescent="0.2">
      <c r="A1924" s="76"/>
      <c r="C1924" s="76"/>
    </row>
    <row r="1925" spans="1:3" x14ac:dyDescent="0.2">
      <c r="A1925" s="76"/>
      <c r="C1925" s="76"/>
    </row>
    <row r="1926" spans="1:3" x14ac:dyDescent="0.2">
      <c r="A1926" s="76"/>
      <c r="C1926" s="76"/>
    </row>
    <row r="1927" spans="1:3" x14ac:dyDescent="0.2">
      <c r="A1927" s="76"/>
      <c r="C1927" s="76"/>
    </row>
    <row r="1928" spans="1:3" x14ac:dyDescent="0.2">
      <c r="A1928" s="76"/>
      <c r="C1928" s="76"/>
    </row>
    <row r="1929" spans="1:3" x14ac:dyDescent="0.2">
      <c r="A1929" s="76"/>
      <c r="C1929" s="76"/>
    </row>
    <row r="1930" spans="1:3" x14ac:dyDescent="0.2">
      <c r="A1930" s="76"/>
      <c r="C1930" s="76"/>
    </row>
    <row r="1931" spans="1:3" x14ac:dyDescent="0.2">
      <c r="A1931" s="76"/>
      <c r="C1931" s="76"/>
    </row>
    <row r="1932" spans="1:3" x14ac:dyDescent="0.2">
      <c r="A1932" s="76"/>
      <c r="C1932" s="76"/>
    </row>
    <row r="1933" spans="1:3" x14ac:dyDescent="0.2">
      <c r="A1933" s="76"/>
      <c r="C1933" s="76"/>
    </row>
    <row r="1934" spans="1:3" x14ac:dyDescent="0.2">
      <c r="A1934" s="76"/>
      <c r="C1934" s="76"/>
    </row>
    <row r="1935" spans="1:3" x14ac:dyDescent="0.2">
      <c r="A1935" s="76"/>
      <c r="C1935" s="76"/>
    </row>
    <row r="1936" spans="1:3" x14ac:dyDescent="0.2">
      <c r="A1936" s="76"/>
      <c r="C1936" s="76"/>
    </row>
    <row r="1937" spans="1:3" x14ac:dyDescent="0.2">
      <c r="A1937" s="76"/>
      <c r="C1937" s="76"/>
    </row>
    <row r="1938" spans="1:3" x14ac:dyDescent="0.2">
      <c r="A1938" s="76"/>
      <c r="C1938" s="76"/>
    </row>
    <row r="1939" spans="1:3" x14ac:dyDescent="0.2">
      <c r="A1939" s="76"/>
      <c r="C1939" s="76"/>
    </row>
    <row r="1940" spans="1:3" x14ac:dyDescent="0.2">
      <c r="A1940" s="76"/>
      <c r="C1940" s="76"/>
    </row>
    <row r="1941" spans="1:3" x14ac:dyDescent="0.2">
      <c r="A1941" s="76"/>
      <c r="C1941" s="76"/>
    </row>
    <row r="1942" spans="1:3" x14ac:dyDescent="0.2">
      <c r="A1942" s="76"/>
      <c r="C1942" s="76"/>
    </row>
    <row r="1943" spans="1:3" x14ac:dyDescent="0.2">
      <c r="A1943" s="76"/>
      <c r="C1943" s="76"/>
    </row>
    <row r="1944" spans="1:3" x14ac:dyDescent="0.2">
      <c r="A1944" s="76"/>
      <c r="C1944" s="76"/>
    </row>
    <row r="1945" spans="1:3" x14ac:dyDescent="0.2">
      <c r="A1945" s="76"/>
      <c r="C1945" s="76"/>
    </row>
    <row r="1946" spans="1:3" x14ac:dyDescent="0.2">
      <c r="A1946" s="76"/>
      <c r="C1946" s="76"/>
    </row>
    <row r="1947" spans="1:3" x14ac:dyDescent="0.2">
      <c r="A1947" s="76"/>
      <c r="C1947" s="76"/>
    </row>
    <row r="1948" spans="1:3" x14ac:dyDescent="0.2">
      <c r="A1948" s="76"/>
      <c r="C1948" s="76"/>
    </row>
    <row r="1949" spans="1:3" x14ac:dyDescent="0.2">
      <c r="A1949" s="76"/>
      <c r="C1949" s="76"/>
    </row>
    <row r="1950" spans="1:3" x14ac:dyDescent="0.2">
      <c r="A1950" s="76"/>
      <c r="C1950" s="76"/>
    </row>
    <row r="1951" spans="1:3" x14ac:dyDescent="0.2">
      <c r="A1951" s="76"/>
      <c r="C1951" s="76"/>
    </row>
    <row r="1952" spans="1:3" x14ac:dyDescent="0.2">
      <c r="A1952" s="76"/>
      <c r="C1952" s="76"/>
    </row>
    <row r="1953" spans="1:3" x14ac:dyDescent="0.2">
      <c r="A1953" s="76"/>
      <c r="C1953" s="76"/>
    </row>
    <row r="1954" spans="1:3" x14ac:dyDescent="0.2">
      <c r="A1954" s="76"/>
      <c r="C1954" s="76"/>
    </row>
    <row r="1955" spans="1:3" x14ac:dyDescent="0.2">
      <c r="A1955" s="76"/>
      <c r="C1955" s="76"/>
    </row>
    <row r="1956" spans="1:3" x14ac:dyDescent="0.2">
      <c r="A1956" s="76"/>
      <c r="C1956" s="76"/>
    </row>
    <row r="1957" spans="1:3" x14ac:dyDescent="0.2">
      <c r="A1957" s="76"/>
      <c r="C1957" s="76"/>
    </row>
    <row r="1958" spans="1:3" x14ac:dyDescent="0.2">
      <c r="A1958" s="76"/>
      <c r="C1958" s="76"/>
    </row>
    <row r="1959" spans="1:3" x14ac:dyDescent="0.2">
      <c r="A1959" s="76"/>
      <c r="C1959" s="76"/>
    </row>
    <row r="1960" spans="1:3" x14ac:dyDescent="0.2">
      <c r="A1960" s="76"/>
      <c r="C1960" s="76"/>
    </row>
    <row r="1961" spans="1:3" x14ac:dyDescent="0.2">
      <c r="A1961" s="76"/>
      <c r="C1961" s="76"/>
    </row>
    <row r="1962" spans="1:3" x14ac:dyDescent="0.2">
      <c r="A1962" s="76"/>
      <c r="C1962" s="76"/>
    </row>
    <row r="1963" spans="1:3" x14ac:dyDescent="0.2">
      <c r="A1963" s="76"/>
      <c r="C1963" s="76"/>
    </row>
    <row r="1964" spans="1:3" x14ac:dyDescent="0.2">
      <c r="A1964" s="76"/>
      <c r="C1964" s="76"/>
    </row>
    <row r="1965" spans="1:3" x14ac:dyDescent="0.2">
      <c r="A1965" s="76"/>
      <c r="C1965" s="76"/>
    </row>
    <row r="1966" spans="1:3" x14ac:dyDescent="0.2">
      <c r="A1966" s="76"/>
      <c r="C1966" s="76"/>
    </row>
    <row r="1967" spans="1:3" x14ac:dyDescent="0.2">
      <c r="A1967" s="76"/>
      <c r="C1967" s="76"/>
    </row>
    <row r="1968" spans="1:3" x14ac:dyDescent="0.2">
      <c r="A1968" s="76"/>
      <c r="C1968" s="76"/>
    </row>
    <row r="1969" spans="1:3" x14ac:dyDescent="0.2">
      <c r="A1969" s="76"/>
      <c r="C1969" s="76"/>
    </row>
    <row r="1970" spans="1:3" x14ac:dyDescent="0.2">
      <c r="A1970" s="76"/>
      <c r="C1970" s="76"/>
    </row>
    <row r="1971" spans="1:3" x14ac:dyDescent="0.2">
      <c r="A1971" s="76"/>
      <c r="C1971" s="76"/>
    </row>
    <row r="1972" spans="1:3" x14ac:dyDescent="0.2">
      <c r="A1972" s="76"/>
      <c r="C1972" s="76"/>
    </row>
    <row r="1973" spans="1:3" x14ac:dyDescent="0.2">
      <c r="A1973" s="76"/>
      <c r="C1973" s="76"/>
    </row>
    <row r="1974" spans="1:3" x14ac:dyDescent="0.2">
      <c r="A1974" s="76"/>
      <c r="C1974" s="76"/>
    </row>
    <row r="1975" spans="1:3" x14ac:dyDescent="0.2">
      <c r="A1975" s="76"/>
      <c r="C1975" s="76"/>
    </row>
    <row r="1976" spans="1:3" x14ac:dyDescent="0.2">
      <c r="A1976" s="76"/>
      <c r="C1976" s="76"/>
    </row>
    <row r="1977" spans="1:3" x14ac:dyDescent="0.2">
      <c r="A1977" s="76"/>
      <c r="C1977" s="76"/>
    </row>
    <row r="1978" spans="1:3" x14ac:dyDescent="0.2">
      <c r="A1978" s="76"/>
      <c r="C1978" s="76"/>
    </row>
    <row r="1979" spans="1:3" x14ac:dyDescent="0.2">
      <c r="A1979" s="76"/>
      <c r="C1979" s="76"/>
    </row>
    <row r="1980" spans="1:3" x14ac:dyDescent="0.2">
      <c r="A1980" s="76"/>
      <c r="C1980" s="76"/>
    </row>
    <row r="1981" spans="1:3" x14ac:dyDescent="0.2">
      <c r="A1981" s="76"/>
      <c r="C1981" s="76"/>
    </row>
    <row r="1982" spans="1:3" x14ac:dyDescent="0.2">
      <c r="A1982" s="76"/>
      <c r="C1982" s="76"/>
    </row>
    <row r="1983" spans="1:3" x14ac:dyDescent="0.2">
      <c r="A1983" s="76"/>
      <c r="C1983" s="76"/>
    </row>
    <row r="1984" spans="1:3" x14ac:dyDescent="0.2">
      <c r="A1984" s="76"/>
      <c r="C1984" s="76"/>
    </row>
    <row r="1985" spans="1:3" x14ac:dyDescent="0.2">
      <c r="A1985" s="76"/>
      <c r="C1985" s="76"/>
    </row>
    <row r="1986" spans="1:3" x14ac:dyDescent="0.2">
      <c r="A1986" s="76"/>
      <c r="C1986" s="76"/>
    </row>
    <row r="1987" spans="1:3" x14ac:dyDescent="0.2">
      <c r="A1987" s="76"/>
      <c r="C1987" s="76"/>
    </row>
    <row r="1988" spans="1:3" x14ac:dyDescent="0.2">
      <c r="A1988" s="76"/>
      <c r="C1988" s="76"/>
    </row>
    <row r="1989" spans="1:3" x14ac:dyDescent="0.2">
      <c r="A1989" s="76"/>
      <c r="C1989" s="76"/>
    </row>
    <row r="1990" spans="1:3" x14ac:dyDescent="0.2">
      <c r="A1990" s="76"/>
      <c r="C1990" s="76"/>
    </row>
    <row r="1991" spans="1:3" x14ac:dyDescent="0.2">
      <c r="A1991" s="76"/>
      <c r="C1991" s="76"/>
    </row>
    <row r="1992" spans="1:3" x14ac:dyDescent="0.2">
      <c r="A1992" s="76"/>
      <c r="C1992" s="76"/>
    </row>
    <row r="1993" spans="1:3" x14ac:dyDescent="0.2">
      <c r="A1993" s="76"/>
      <c r="C1993" s="76"/>
    </row>
    <row r="1994" spans="1:3" x14ac:dyDescent="0.2">
      <c r="A1994" s="76"/>
      <c r="C1994" s="76"/>
    </row>
    <row r="1995" spans="1:3" x14ac:dyDescent="0.2">
      <c r="A1995" s="76"/>
      <c r="C1995" s="76"/>
    </row>
    <row r="1996" spans="1:3" x14ac:dyDescent="0.2">
      <c r="A1996" s="76"/>
      <c r="C1996" s="76"/>
    </row>
    <row r="1997" spans="1:3" x14ac:dyDescent="0.2">
      <c r="A1997" s="76"/>
      <c r="C1997" s="76"/>
    </row>
    <row r="1998" spans="1:3" x14ac:dyDescent="0.2">
      <c r="A1998" s="76"/>
      <c r="C1998" s="76"/>
    </row>
    <row r="1999" spans="1:3" x14ac:dyDescent="0.2">
      <c r="A1999" s="76"/>
      <c r="C1999" s="76"/>
    </row>
    <row r="2000" spans="1:3" x14ac:dyDescent="0.2">
      <c r="A2000" s="76"/>
      <c r="C2000" s="76"/>
    </row>
    <row r="2001" spans="1:3" x14ac:dyDescent="0.2">
      <c r="A2001" s="76"/>
      <c r="C2001" s="76"/>
    </row>
    <row r="2002" spans="1:3" x14ac:dyDescent="0.2">
      <c r="A2002" s="76"/>
      <c r="C2002" s="76"/>
    </row>
    <row r="2003" spans="1:3" x14ac:dyDescent="0.2">
      <c r="A2003" s="76"/>
      <c r="C2003" s="76"/>
    </row>
    <row r="2004" spans="1:3" x14ac:dyDescent="0.2">
      <c r="A2004" s="76"/>
      <c r="C2004" s="76"/>
    </row>
    <row r="2005" spans="1:3" x14ac:dyDescent="0.2">
      <c r="A2005" s="76"/>
      <c r="C2005" s="76"/>
    </row>
    <row r="2006" spans="1:3" x14ac:dyDescent="0.2">
      <c r="A2006" s="76"/>
      <c r="C2006" s="76"/>
    </row>
    <row r="2007" spans="1:3" x14ac:dyDescent="0.2">
      <c r="A2007" s="76"/>
      <c r="C2007" s="76"/>
    </row>
    <row r="2008" spans="1:3" x14ac:dyDescent="0.2">
      <c r="A2008" s="76"/>
      <c r="C2008" s="76"/>
    </row>
    <row r="2009" spans="1:3" x14ac:dyDescent="0.2">
      <c r="A2009" s="76"/>
      <c r="C2009" s="76"/>
    </row>
    <row r="2010" spans="1:3" x14ac:dyDescent="0.2">
      <c r="A2010" s="76"/>
      <c r="C2010" s="76"/>
    </row>
    <row r="2011" spans="1:3" x14ac:dyDescent="0.2">
      <c r="A2011" s="76"/>
      <c r="C2011" s="76"/>
    </row>
    <row r="2012" spans="1:3" x14ac:dyDescent="0.2">
      <c r="A2012" s="76"/>
      <c r="C2012" s="76"/>
    </row>
    <row r="2013" spans="1:3" x14ac:dyDescent="0.2">
      <c r="A2013" s="76"/>
      <c r="C2013" s="76"/>
    </row>
    <row r="2014" spans="1:3" x14ac:dyDescent="0.2">
      <c r="A2014" s="76"/>
      <c r="C2014" s="76"/>
    </row>
    <row r="2015" spans="1:3" x14ac:dyDescent="0.2">
      <c r="A2015" s="76"/>
      <c r="C2015" s="76"/>
    </row>
    <row r="2016" spans="1:3" x14ac:dyDescent="0.2">
      <c r="A2016" s="76"/>
      <c r="C2016" s="76"/>
    </row>
    <row r="2017" spans="1:3" x14ac:dyDescent="0.2">
      <c r="A2017" s="76"/>
      <c r="C2017" s="76"/>
    </row>
    <row r="2018" spans="1:3" x14ac:dyDescent="0.2">
      <c r="A2018" s="76"/>
      <c r="C2018" s="76"/>
    </row>
    <row r="2019" spans="1:3" x14ac:dyDescent="0.2">
      <c r="A2019" s="76"/>
      <c r="C2019" s="76"/>
    </row>
    <row r="2020" spans="1:3" x14ac:dyDescent="0.2">
      <c r="A2020" s="76"/>
      <c r="C2020" s="76"/>
    </row>
    <row r="2021" spans="1:3" x14ac:dyDescent="0.2">
      <c r="A2021" s="76"/>
      <c r="C2021" s="76"/>
    </row>
    <row r="2022" spans="1:3" x14ac:dyDescent="0.2">
      <c r="A2022" s="76"/>
      <c r="C2022" s="76"/>
    </row>
    <row r="2023" spans="1:3" x14ac:dyDescent="0.2">
      <c r="A2023" s="76"/>
      <c r="C2023" s="76"/>
    </row>
    <row r="2024" spans="1:3" x14ac:dyDescent="0.2">
      <c r="A2024" s="76"/>
      <c r="C2024" s="76"/>
    </row>
    <row r="2025" spans="1:3" x14ac:dyDescent="0.2">
      <c r="A2025" s="76"/>
      <c r="C2025" s="76"/>
    </row>
    <row r="2026" spans="1:3" x14ac:dyDescent="0.2">
      <c r="A2026" s="76"/>
      <c r="C2026" s="76"/>
    </row>
    <row r="2027" spans="1:3" x14ac:dyDescent="0.2">
      <c r="A2027" s="76"/>
      <c r="C2027" s="76"/>
    </row>
    <row r="2028" spans="1:3" x14ac:dyDescent="0.2">
      <c r="A2028" s="76"/>
      <c r="C2028" s="76"/>
    </row>
    <row r="2029" spans="1:3" x14ac:dyDescent="0.2">
      <c r="A2029" s="76"/>
      <c r="C2029" s="76"/>
    </row>
    <row r="2030" spans="1:3" x14ac:dyDescent="0.2">
      <c r="A2030" s="76"/>
      <c r="C2030" s="76"/>
    </row>
    <row r="2031" spans="1:3" x14ac:dyDescent="0.2">
      <c r="A2031" s="76"/>
      <c r="C2031" s="76"/>
    </row>
    <row r="2032" spans="1:3" x14ac:dyDescent="0.2">
      <c r="A2032" s="76"/>
      <c r="C2032" s="76"/>
    </row>
    <row r="2033" spans="1:3" x14ac:dyDescent="0.2">
      <c r="A2033" s="76"/>
      <c r="C2033" s="76"/>
    </row>
    <row r="2034" spans="1:3" x14ac:dyDescent="0.2">
      <c r="A2034" s="76"/>
      <c r="C2034" s="76"/>
    </row>
    <row r="2035" spans="1:3" x14ac:dyDescent="0.2">
      <c r="A2035" s="76"/>
      <c r="C2035" s="76"/>
    </row>
    <row r="2036" spans="1:3" x14ac:dyDescent="0.2">
      <c r="A2036" s="76"/>
      <c r="C2036" s="76"/>
    </row>
    <row r="2037" spans="1:3" x14ac:dyDescent="0.2">
      <c r="A2037" s="76"/>
      <c r="C2037" s="76"/>
    </row>
    <row r="2038" spans="1:3" x14ac:dyDescent="0.2">
      <c r="A2038" s="76"/>
      <c r="C2038" s="76"/>
    </row>
    <row r="2039" spans="1:3" x14ac:dyDescent="0.2">
      <c r="A2039" s="76"/>
      <c r="C2039" s="76"/>
    </row>
    <row r="2040" spans="1:3" x14ac:dyDescent="0.2">
      <c r="A2040" s="76"/>
      <c r="C2040" s="76"/>
    </row>
    <row r="2041" spans="1:3" x14ac:dyDescent="0.2">
      <c r="A2041" s="76"/>
      <c r="C2041" s="76"/>
    </row>
    <row r="2042" spans="1:3" x14ac:dyDescent="0.2">
      <c r="A2042" s="76"/>
      <c r="C2042" s="76"/>
    </row>
    <row r="2043" spans="1:3" x14ac:dyDescent="0.2">
      <c r="A2043" s="76"/>
      <c r="C2043" s="76"/>
    </row>
    <row r="2044" spans="1:3" x14ac:dyDescent="0.2">
      <c r="A2044" s="76"/>
      <c r="C2044" s="76"/>
    </row>
    <row r="2045" spans="1:3" x14ac:dyDescent="0.2">
      <c r="A2045" s="76"/>
      <c r="C2045" s="76"/>
    </row>
    <row r="2046" spans="1:3" x14ac:dyDescent="0.2">
      <c r="A2046" s="76"/>
      <c r="C2046" s="76"/>
    </row>
    <row r="2047" spans="1:3" x14ac:dyDescent="0.2">
      <c r="A2047" s="76"/>
      <c r="C2047" s="76"/>
    </row>
    <row r="2048" spans="1:3" x14ac:dyDescent="0.2">
      <c r="A2048" s="76"/>
      <c r="C2048" s="76"/>
    </row>
    <row r="2049" spans="1:3" x14ac:dyDescent="0.2">
      <c r="A2049" s="76"/>
      <c r="C2049" s="76"/>
    </row>
    <row r="2050" spans="1:3" x14ac:dyDescent="0.2">
      <c r="A2050" s="76"/>
      <c r="C2050" s="76"/>
    </row>
    <row r="2051" spans="1:3" x14ac:dyDescent="0.2">
      <c r="A2051" s="76"/>
      <c r="C2051" s="76"/>
    </row>
    <row r="2052" spans="1:3" x14ac:dyDescent="0.2">
      <c r="A2052" s="76"/>
      <c r="C2052" s="76"/>
    </row>
    <row r="2053" spans="1:3" x14ac:dyDescent="0.2">
      <c r="A2053" s="76"/>
      <c r="C2053" s="76"/>
    </row>
    <row r="2054" spans="1:3" x14ac:dyDescent="0.2">
      <c r="A2054" s="76"/>
      <c r="C2054" s="76"/>
    </row>
    <row r="2055" spans="1:3" x14ac:dyDescent="0.2">
      <c r="A2055" s="76"/>
      <c r="C2055" s="76"/>
    </row>
    <row r="2056" spans="1:3" x14ac:dyDescent="0.2">
      <c r="A2056" s="76"/>
      <c r="C2056" s="76"/>
    </row>
    <row r="2057" spans="1:3" x14ac:dyDescent="0.2">
      <c r="A2057" s="76"/>
      <c r="C2057" s="76"/>
    </row>
    <row r="2058" spans="1:3" x14ac:dyDescent="0.2">
      <c r="A2058" s="76"/>
      <c r="C2058" s="76"/>
    </row>
    <row r="2059" spans="1:3" x14ac:dyDescent="0.2">
      <c r="A2059" s="76"/>
      <c r="C2059" s="76"/>
    </row>
    <row r="2060" spans="1:3" x14ac:dyDescent="0.2">
      <c r="A2060" s="76"/>
      <c r="C2060" s="76"/>
    </row>
    <row r="2061" spans="1:3" x14ac:dyDescent="0.2">
      <c r="A2061" s="76"/>
      <c r="C2061" s="76"/>
    </row>
    <row r="2062" spans="1:3" x14ac:dyDescent="0.2">
      <c r="A2062" s="76"/>
      <c r="C2062" s="76"/>
    </row>
    <row r="2063" spans="1:3" x14ac:dyDescent="0.2">
      <c r="A2063" s="76"/>
      <c r="C2063" s="76"/>
    </row>
    <row r="2064" spans="1:3" x14ac:dyDescent="0.2">
      <c r="A2064" s="76"/>
      <c r="C2064" s="76"/>
    </row>
    <row r="2065" spans="1:3" x14ac:dyDescent="0.2">
      <c r="A2065" s="76"/>
      <c r="C2065" s="76"/>
    </row>
    <row r="2066" spans="1:3" x14ac:dyDescent="0.2">
      <c r="A2066" s="76"/>
      <c r="C2066" s="76"/>
    </row>
    <row r="2067" spans="1:3" x14ac:dyDescent="0.2">
      <c r="A2067" s="76"/>
      <c r="C2067" s="76"/>
    </row>
    <row r="2068" spans="1:3" x14ac:dyDescent="0.2">
      <c r="A2068" s="76"/>
      <c r="C2068" s="76"/>
    </row>
    <row r="2069" spans="1:3" x14ac:dyDescent="0.2">
      <c r="A2069" s="76"/>
      <c r="C2069" s="76"/>
    </row>
    <row r="2070" spans="1:3" x14ac:dyDescent="0.2">
      <c r="A2070" s="76"/>
      <c r="C2070" s="76"/>
    </row>
    <row r="2071" spans="1:3" x14ac:dyDescent="0.2">
      <c r="A2071" s="76"/>
      <c r="C2071" s="76"/>
    </row>
    <row r="2072" spans="1:3" x14ac:dyDescent="0.2">
      <c r="A2072" s="76"/>
      <c r="C2072" s="76"/>
    </row>
    <row r="2073" spans="1:3" x14ac:dyDescent="0.2">
      <c r="A2073" s="76"/>
      <c r="C2073" s="76"/>
    </row>
    <row r="2074" spans="1:3" x14ac:dyDescent="0.2">
      <c r="A2074" s="76"/>
      <c r="C2074" s="76"/>
    </row>
    <row r="2075" spans="1:3" x14ac:dyDescent="0.2">
      <c r="A2075" s="76"/>
      <c r="C2075" s="76"/>
    </row>
    <row r="2076" spans="1:3" x14ac:dyDescent="0.2">
      <c r="A2076" s="76"/>
      <c r="C2076" s="76"/>
    </row>
    <row r="2077" spans="1:3" x14ac:dyDescent="0.2">
      <c r="A2077" s="76"/>
      <c r="C2077" s="76"/>
    </row>
    <row r="2078" spans="1:3" x14ac:dyDescent="0.2">
      <c r="A2078" s="76"/>
      <c r="C2078" s="76"/>
    </row>
    <row r="2079" spans="1:3" x14ac:dyDescent="0.2">
      <c r="A2079" s="76"/>
      <c r="C2079" s="76"/>
    </row>
    <row r="2080" spans="1:3" x14ac:dyDescent="0.2">
      <c r="A2080" s="76"/>
      <c r="C2080" s="76"/>
    </row>
    <row r="2081" spans="1:3" x14ac:dyDescent="0.2">
      <c r="A2081" s="76"/>
      <c r="C2081" s="76"/>
    </row>
    <row r="2082" spans="1:3" x14ac:dyDescent="0.2">
      <c r="A2082" s="76"/>
      <c r="C2082" s="76"/>
    </row>
    <row r="2083" spans="1:3" x14ac:dyDescent="0.2">
      <c r="A2083" s="76"/>
      <c r="C2083" s="76"/>
    </row>
    <row r="2084" spans="1:3" x14ac:dyDescent="0.2">
      <c r="A2084" s="76"/>
      <c r="C2084" s="76"/>
    </row>
    <row r="2085" spans="1:3" x14ac:dyDescent="0.2">
      <c r="A2085" s="76"/>
      <c r="C2085" s="76"/>
    </row>
    <row r="2086" spans="1:3" x14ac:dyDescent="0.2">
      <c r="A2086" s="76"/>
      <c r="C2086" s="76"/>
    </row>
    <row r="2087" spans="1:3" x14ac:dyDescent="0.2">
      <c r="A2087" s="76"/>
      <c r="C2087" s="76"/>
    </row>
    <row r="2088" spans="1:3" x14ac:dyDescent="0.2">
      <c r="A2088" s="76"/>
      <c r="C2088" s="76"/>
    </row>
    <row r="2089" spans="1:3" x14ac:dyDescent="0.2">
      <c r="A2089" s="76"/>
      <c r="C2089" s="76"/>
    </row>
    <row r="2090" spans="1:3" x14ac:dyDescent="0.2">
      <c r="A2090" s="76"/>
      <c r="C2090" s="76"/>
    </row>
    <row r="2091" spans="1:3" x14ac:dyDescent="0.2">
      <c r="A2091" s="76"/>
      <c r="C2091" s="76"/>
    </row>
    <row r="2092" spans="1:3" x14ac:dyDescent="0.2">
      <c r="A2092" s="76"/>
      <c r="C2092" s="76"/>
    </row>
    <row r="2093" spans="1:3" x14ac:dyDescent="0.2">
      <c r="A2093" s="76"/>
      <c r="C2093" s="76"/>
    </row>
    <row r="2094" spans="1:3" x14ac:dyDescent="0.2">
      <c r="A2094" s="76"/>
      <c r="C2094" s="76"/>
    </row>
    <row r="2095" spans="1:3" x14ac:dyDescent="0.2">
      <c r="A2095" s="76"/>
      <c r="C2095" s="76"/>
    </row>
    <row r="2096" spans="1:3" x14ac:dyDescent="0.2">
      <c r="A2096" s="76"/>
      <c r="C2096" s="76"/>
    </row>
    <row r="2097" spans="1:3" x14ac:dyDescent="0.2">
      <c r="A2097" s="76"/>
      <c r="C2097" s="76"/>
    </row>
    <row r="2098" spans="1:3" x14ac:dyDescent="0.2">
      <c r="A2098" s="76"/>
      <c r="C2098" s="76"/>
    </row>
    <row r="2099" spans="1:3" x14ac:dyDescent="0.2">
      <c r="A2099" s="76"/>
      <c r="C2099" s="76"/>
    </row>
    <row r="2100" spans="1:3" x14ac:dyDescent="0.2">
      <c r="A2100" s="76"/>
      <c r="C2100" s="76"/>
    </row>
    <row r="2101" spans="1:3" x14ac:dyDescent="0.2">
      <c r="A2101" s="76"/>
      <c r="C2101" s="76"/>
    </row>
    <row r="2102" spans="1:3" x14ac:dyDescent="0.2">
      <c r="A2102" s="76"/>
      <c r="C2102" s="76"/>
    </row>
    <row r="2103" spans="1:3" x14ac:dyDescent="0.2">
      <c r="A2103" s="76"/>
      <c r="C2103" s="76"/>
    </row>
    <row r="2104" spans="1:3" x14ac:dyDescent="0.2">
      <c r="A2104" s="76"/>
      <c r="C2104" s="76"/>
    </row>
    <row r="2105" spans="1:3" x14ac:dyDescent="0.2">
      <c r="A2105" s="76"/>
      <c r="C2105" s="76"/>
    </row>
    <row r="2106" spans="1:3" x14ac:dyDescent="0.2">
      <c r="A2106" s="76"/>
      <c r="C2106" s="76"/>
    </row>
    <row r="2107" spans="1:3" x14ac:dyDescent="0.2">
      <c r="A2107" s="76"/>
      <c r="C2107" s="76"/>
    </row>
    <row r="2108" spans="1:3" x14ac:dyDescent="0.2">
      <c r="A2108" s="76"/>
      <c r="C2108" s="76"/>
    </row>
    <row r="2109" spans="1:3" x14ac:dyDescent="0.2">
      <c r="A2109" s="76"/>
      <c r="C2109" s="76"/>
    </row>
    <row r="2110" spans="1:3" x14ac:dyDescent="0.2">
      <c r="A2110" s="76"/>
      <c r="C2110" s="76"/>
    </row>
    <row r="2111" spans="1:3" x14ac:dyDescent="0.2">
      <c r="A2111" s="76"/>
      <c r="C2111" s="76"/>
    </row>
    <row r="2112" spans="1:3" x14ac:dyDescent="0.2">
      <c r="A2112" s="76"/>
      <c r="C2112" s="76"/>
    </row>
    <row r="2113" spans="1:3" x14ac:dyDescent="0.2">
      <c r="A2113" s="76"/>
      <c r="C2113" s="76"/>
    </row>
    <row r="2114" spans="1:3" x14ac:dyDescent="0.2">
      <c r="A2114" s="76"/>
      <c r="C2114" s="76"/>
    </row>
    <row r="2115" spans="1:3" x14ac:dyDescent="0.2">
      <c r="A2115" s="76"/>
      <c r="C2115" s="76"/>
    </row>
    <row r="2116" spans="1:3" x14ac:dyDescent="0.2">
      <c r="A2116" s="76"/>
      <c r="C2116" s="76"/>
    </row>
    <row r="2117" spans="1:3" x14ac:dyDescent="0.2">
      <c r="A2117" s="76"/>
      <c r="C2117" s="76"/>
    </row>
    <row r="2118" spans="1:3" x14ac:dyDescent="0.2">
      <c r="A2118" s="76"/>
      <c r="C2118" s="76"/>
    </row>
    <row r="2119" spans="1:3" x14ac:dyDescent="0.2">
      <c r="A2119" s="76"/>
      <c r="C2119" s="76"/>
    </row>
    <row r="2120" spans="1:3" x14ac:dyDescent="0.2">
      <c r="A2120" s="76"/>
      <c r="C2120" s="76"/>
    </row>
    <row r="2121" spans="1:3" x14ac:dyDescent="0.2">
      <c r="A2121" s="76"/>
      <c r="C2121" s="76"/>
    </row>
    <row r="2122" spans="1:3" x14ac:dyDescent="0.2">
      <c r="A2122" s="76"/>
      <c r="C2122" s="76"/>
    </row>
    <row r="2123" spans="1:3" x14ac:dyDescent="0.2">
      <c r="A2123" s="76"/>
      <c r="C2123" s="76"/>
    </row>
    <row r="2124" spans="1:3" x14ac:dyDescent="0.2">
      <c r="A2124" s="76"/>
      <c r="C2124" s="76"/>
    </row>
    <row r="2125" spans="1:3" x14ac:dyDescent="0.2">
      <c r="A2125" s="76"/>
      <c r="C2125" s="76"/>
    </row>
    <row r="2126" spans="1:3" x14ac:dyDescent="0.2">
      <c r="A2126" s="76"/>
      <c r="C2126" s="76"/>
    </row>
    <row r="2127" spans="1:3" x14ac:dyDescent="0.2">
      <c r="A2127" s="76"/>
      <c r="C2127" s="76"/>
    </row>
    <row r="2128" spans="1:3" x14ac:dyDescent="0.2">
      <c r="A2128" s="76"/>
      <c r="C2128" s="76"/>
    </row>
    <row r="2129" spans="1:3" x14ac:dyDescent="0.2">
      <c r="A2129" s="76"/>
      <c r="C2129" s="76"/>
    </row>
    <row r="2130" spans="1:3" x14ac:dyDescent="0.2">
      <c r="A2130" s="76"/>
      <c r="C2130" s="76"/>
    </row>
    <row r="2131" spans="1:3" x14ac:dyDescent="0.2">
      <c r="A2131" s="76"/>
      <c r="C2131" s="76"/>
    </row>
    <row r="2132" spans="1:3" x14ac:dyDescent="0.2">
      <c r="A2132" s="76"/>
      <c r="C2132" s="76"/>
    </row>
    <row r="2133" spans="1:3" x14ac:dyDescent="0.2">
      <c r="A2133" s="76"/>
      <c r="C2133" s="76"/>
    </row>
    <row r="2134" spans="1:3" x14ac:dyDescent="0.2">
      <c r="A2134" s="76"/>
      <c r="C2134" s="76"/>
    </row>
    <row r="2135" spans="1:3" x14ac:dyDescent="0.2">
      <c r="A2135" s="76"/>
      <c r="C2135" s="76"/>
    </row>
    <row r="2136" spans="1:3" x14ac:dyDescent="0.2">
      <c r="A2136" s="76"/>
      <c r="C2136" s="76"/>
    </row>
    <row r="2137" spans="1:3" x14ac:dyDescent="0.2">
      <c r="A2137" s="76"/>
      <c r="C2137" s="76"/>
    </row>
    <row r="2138" spans="1:3" x14ac:dyDescent="0.2">
      <c r="A2138" s="76"/>
      <c r="C2138" s="76"/>
    </row>
    <row r="2139" spans="1:3" x14ac:dyDescent="0.2">
      <c r="A2139" s="76"/>
      <c r="C2139" s="76"/>
    </row>
    <row r="2140" spans="1:3" x14ac:dyDescent="0.2">
      <c r="A2140" s="76"/>
      <c r="C2140" s="76"/>
    </row>
    <row r="2141" spans="1:3" x14ac:dyDescent="0.2">
      <c r="A2141" s="76"/>
      <c r="C2141" s="76"/>
    </row>
    <row r="2142" spans="1:3" x14ac:dyDescent="0.2">
      <c r="A2142" s="76"/>
      <c r="C2142" s="76"/>
    </row>
    <row r="2143" spans="1:3" x14ac:dyDescent="0.2">
      <c r="A2143" s="76"/>
      <c r="C2143" s="76"/>
    </row>
    <row r="2144" spans="1:3" x14ac:dyDescent="0.2">
      <c r="A2144" s="76"/>
      <c r="C2144" s="76"/>
    </row>
    <row r="2145" spans="1:3" x14ac:dyDescent="0.2">
      <c r="A2145" s="76"/>
      <c r="C2145" s="76"/>
    </row>
    <row r="2146" spans="1:3" x14ac:dyDescent="0.2">
      <c r="A2146" s="76"/>
      <c r="C2146" s="76"/>
    </row>
    <row r="2147" spans="1:3" x14ac:dyDescent="0.2">
      <c r="A2147" s="76"/>
      <c r="C2147" s="76"/>
    </row>
    <row r="2148" spans="1:3" x14ac:dyDescent="0.2">
      <c r="A2148" s="76"/>
      <c r="C2148" s="76"/>
    </row>
    <row r="2149" spans="1:3" x14ac:dyDescent="0.2">
      <c r="A2149" s="76"/>
      <c r="C2149" s="76"/>
    </row>
    <row r="2150" spans="1:3" x14ac:dyDescent="0.2">
      <c r="A2150" s="76"/>
      <c r="C2150" s="76"/>
    </row>
    <row r="2151" spans="1:3" x14ac:dyDescent="0.2">
      <c r="A2151" s="76"/>
      <c r="C2151" s="76"/>
    </row>
    <row r="2152" spans="1:3" x14ac:dyDescent="0.2">
      <c r="A2152" s="76"/>
      <c r="C2152" s="76"/>
    </row>
    <row r="2153" spans="1:3" x14ac:dyDescent="0.2">
      <c r="A2153" s="76"/>
      <c r="C2153" s="76"/>
    </row>
    <row r="2154" spans="1:3" x14ac:dyDescent="0.2">
      <c r="A2154" s="76"/>
      <c r="C2154" s="76"/>
    </row>
    <row r="2155" spans="1:3" x14ac:dyDescent="0.2">
      <c r="A2155" s="76"/>
      <c r="C2155" s="76"/>
    </row>
    <row r="2156" spans="1:3" x14ac:dyDescent="0.2">
      <c r="A2156" s="76"/>
      <c r="C2156" s="76"/>
    </row>
    <row r="2157" spans="1:3" x14ac:dyDescent="0.2">
      <c r="A2157" s="76"/>
      <c r="C2157" s="76"/>
    </row>
    <row r="2158" spans="1:3" x14ac:dyDescent="0.2">
      <c r="A2158" s="76"/>
      <c r="C2158" s="76"/>
    </row>
    <row r="2159" spans="1:3" x14ac:dyDescent="0.2">
      <c r="A2159" s="76"/>
      <c r="C2159" s="76"/>
    </row>
    <row r="2160" spans="1:3" x14ac:dyDescent="0.2">
      <c r="A2160" s="76"/>
      <c r="C2160" s="76"/>
    </row>
    <row r="2161" spans="1:3" x14ac:dyDescent="0.2">
      <c r="A2161" s="76"/>
      <c r="C2161" s="76"/>
    </row>
    <row r="2162" spans="1:3" x14ac:dyDescent="0.2">
      <c r="A2162" s="76"/>
      <c r="C2162" s="76"/>
    </row>
    <row r="2163" spans="1:3" x14ac:dyDescent="0.2">
      <c r="A2163" s="76"/>
      <c r="C2163" s="76"/>
    </row>
    <row r="2164" spans="1:3" x14ac:dyDescent="0.2">
      <c r="A2164" s="76"/>
      <c r="C2164" s="76"/>
    </row>
    <row r="2165" spans="1:3" x14ac:dyDescent="0.2">
      <c r="A2165" s="76"/>
      <c r="C2165" s="76"/>
    </row>
    <row r="2166" spans="1:3" x14ac:dyDescent="0.2">
      <c r="A2166" s="76"/>
      <c r="C2166" s="76"/>
    </row>
    <row r="2167" spans="1:3" x14ac:dyDescent="0.2">
      <c r="A2167" s="76"/>
      <c r="C2167" s="76"/>
    </row>
    <row r="2168" spans="1:3" x14ac:dyDescent="0.2">
      <c r="A2168" s="76"/>
      <c r="C2168" s="76"/>
    </row>
    <row r="2169" spans="1:3" x14ac:dyDescent="0.2">
      <c r="A2169" s="76"/>
      <c r="C2169" s="76"/>
    </row>
    <row r="2170" spans="1:3" x14ac:dyDescent="0.2">
      <c r="A2170" s="76"/>
      <c r="C2170" s="76"/>
    </row>
    <row r="2171" spans="1:3" x14ac:dyDescent="0.2">
      <c r="A2171" s="76"/>
      <c r="C2171" s="76"/>
    </row>
    <row r="2172" spans="1:3" x14ac:dyDescent="0.2">
      <c r="A2172" s="76"/>
      <c r="C2172" s="76"/>
    </row>
    <row r="2173" spans="1:3" x14ac:dyDescent="0.2">
      <c r="A2173" s="76"/>
      <c r="C2173" s="76"/>
    </row>
    <row r="2174" spans="1:3" x14ac:dyDescent="0.2">
      <c r="A2174" s="76"/>
      <c r="C2174" s="76"/>
    </row>
    <row r="2175" spans="1:3" x14ac:dyDescent="0.2">
      <c r="A2175" s="76"/>
      <c r="C2175" s="76"/>
    </row>
    <row r="2176" spans="1:3" x14ac:dyDescent="0.2">
      <c r="A2176" s="76"/>
      <c r="C2176" s="76"/>
    </row>
    <row r="2177" spans="1:3" x14ac:dyDescent="0.2">
      <c r="A2177" s="76"/>
      <c r="C2177" s="76"/>
    </row>
    <row r="2178" spans="1:3" x14ac:dyDescent="0.2">
      <c r="A2178" s="76"/>
      <c r="C2178" s="76"/>
    </row>
    <row r="2179" spans="1:3" x14ac:dyDescent="0.2">
      <c r="A2179" s="76"/>
      <c r="C2179" s="76"/>
    </row>
    <row r="2180" spans="1:3" x14ac:dyDescent="0.2">
      <c r="A2180" s="76"/>
      <c r="C2180" s="76"/>
    </row>
    <row r="2181" spans="1:3" x14ac:dyDescent="0.2">
      <c r="A2181" s="76"/>
      <c r="C2181" s="76"/>
    </row>
    <row r="2182" spans="1:3" x14ac:dyDescent="0.2">
      <c r="A2182" s="76"/>
      <c r="C2182" s="76"/>
    </row>
    <row r="2183" spans="1:3" x14ac:dyDescent="0.2">
      <c r="A2183" s="76"/>
      <c r="C2183" s="76"/>
    </row>
    <row r="2184" spans="1:3" x14ac:dyDescent="0.2">
      <c r="A2184" s="76"/>
      <c r="C2184" s="76"/>
    </row>
    <row r="2185" spans="1:3" x14ac:dyDescent="0.2">
      <c r="A2185" s="76"/>
      <c r="C2185" s="76"/>
    </row>
    <row r="2186" spans="1:3" x14ac:dyDescent="0.2">
      <c r="A2186" s="76"/>
      <c r="C2186" s="76"/>
    </row>
    <row r="2187" spans="1:3" x14ac:dyDescent="0.2">
      <c r="A2187" s="76"/>
      <c r="C2187" s="76"/>
    </row>
    <row r="2188" spans="1:3" x14ac:dyDescent="0.2">
      <c r="A2188" s="76"/>
      <c r="C2188" s="76"/>
    </row>
    <row r="2189" spans="1:3" x14ac:dyDescent="0.2">
      <c r="A2189" s="76"/>
      <c r="C2189" s="76"/>
    </row>
    <row r="2190" spans="1:3" x14ac:dyDescent="0.2">
      <c r="A2190" s="76"/>
      <c r="C2190" s="76"/>
    </row>
    <row r="2191" spans="1:3" x14ac:dyDescent="0.2">
      <c r="A2191" s="76"/>
      <c r="C2191" s="76"/>
    </row>
    <row r="2192" spans="1:3" x14ac:dyDescent="0.2">
      <c r="A2192" s="76"/>
      <c r="C2192" s="76"/>
    </row>
    <row r="2193" spans="1:3" x14ac:dyDescent="0.2">
      <c r="A2193" s="76"/>
      <c r="C2193" s="76"/>
    </row>
    <row r="2194" spans="1:3" x14ac:dyDescent="0.2">
      <c r="A2194" s="76"/>
      <c r="C2194" s="76"/>
    </row>
    <row r="2195" spans="1:3" x14ac:dyDescent="0.2">
      <c r="A2195" s="76"/>
      <c r="C2195" s="76"/>
    </row>
    <row r="2196" spans="1:3" x14ac:dyDescent="0.2">
      <c r="A2196" s="76"/>
      <c r="C2196" s="76"/>
    </row>
    <row r="2197" spans="1:3" x14ac:dyDescent="0.2">
      <c r="A2197" s="76"/>
      <c r="C2197" s="76"/>
    </row>
    <row r="2198" spans="1:3" x14ac:dyDescent="0.2">
      <c r="A2198" s="76"/>
      <c r="C2198" s="76"/>
    </row>
    <row r="2199" spans="1:3" x14ac:dyDescent="0.2">
      <c r="A2199" s="76"/>
      <c r="C2199" s="76"/>
    </row>
    <row r="2200" spans="1:3" x14ac:dyDescent="0.2">
      <c r="A2200" s="76"/>
      <c r="C2200" s="76"/>
    </row>
    <row r="2201" spans="1:3" x14ac:dyDescent="0.2">
      <c r="A2201" s="76"/>
      <c r="C2201" s="76"/>
    </row>
    <row r="2202" spans="1:3" x14ac:dyDescent="0.2">
      <c r="A2202" s="76"/>
      <c r="C2202" s="76"/>
    </row>
    <row r="2203" spans="1:3" x14ac:dyDescent="0.2">
      <c r="A2203" s="76"/>
      <c r="C2203" s="76"/>
    </row>
    <row r="2204" spans="1:3" x14ac:dyDescent="0.2">
      <c r="A2204" s="76"/>
      <c r="C2204" s="76"/>
    </row>
    <row r="2205" spans="1:3" x14ac:dyDescent="0.2">
      <c r="A2205" s="76"/>
      <c r="C2205" s="76"/>
    </row>
    <row r="2206" spans="1:3" x14ac:dyDescent="0.2">
      <c r="A2206" s="76"/>
      <c r="C2206" s="76"/>
    </row>
    <row r="2207" spans="1:3" x14ac:dyDescent="0.2">
      <c r="A2207" s="76"/>
      <c r="C2207" s="76"/>
    </row>
    <row r="2208" spans="1:3" x14ac:dyDescent="0.2">
      <c r="A2208" s="76"/>
      <c r="C2208" s="76"/>
    </row>
    <row r="2209" spans="1:3" x14ac:dyDescent="0.2">
      <c r="A2209" s="76"/>
      <c r="C2209" s="76"/>
    </row>
    <row r="2210" spans="1:3" x14ac:dyDescent="0.2">
      <c r="A2210" s="76"/>
      <c r="C2210" s="76"/>
    </row>
    <row r="2211" spans="1:3" x14ac:dyDescent="0.2">
      <c r="A2211" s="76"/>
      <c r="C2211" s="76"/>
    </row>
    <row r="2212" spans="1:3" x14ac:dyDescent="0.2">
      <c r="A2212" s="76"/>
      <c r="C2212" s="76"/>
    </row>
    <row r="2213" spans="1:3" x14ac:dyDescent="0.2">
      <c r="A2213" s="76"/>
      <c r="C2213" s="76"/>
    </row>
    <row r="2214" spans="1:3" x14ac:dyDescent="0.2">
      <c r="A2214" s="76"/>
      <c r="C2214" s="76"/>
    </row>
    <row r="2215" spans="1:3" x14ac:dyDescent="0.2">
      <c r="A2215" s="76"/>
      <c r="C2215" s="76"/>
    </row>
    <row r="2216" spans="1:3" x14ac:dyDescent="0.2">
      <c r="A2216" s="76"/>
      <c r="C2216" s="76"/>
    </row>
    <row r="2217" spans="1:3" x14ac:dyDescent="0.2">
      <c r="A2217" s="76"/>
      <c r="C2217" s="76"/>
    </row>
    <row r="2218" spans="1:3" x14ac:dyDescent="0.2">
      <c r="A2218" s="76"/>
      <c r="C2218" s="76"/>
    </row>
    <row r="2219" spans="1:3" x14ac:dyDescent="0.2">
      <c r="A2219" s="76"/>
      <c r="C2219" s="76"/>
    </row>
    <row r="2220" spans="1:3" x14ac:dyDescent="0.2">
      <c r="A2220" s="76"/>
      <c r="C2220" s="76"/>
    </row>
    <row r="2221" spans="1:3" x14ac:dyDescent="0.2">
      <c r="A2221" s="76"/>
      <c r="C2221" s="76"/>
    </row>
    <row r="2222" spans="1:3" x14ac:dyDescent="0.2">
      <c r="A2222" s="76"/>
      <c r="C2222" s="76"/>
    </row>
    <row r="2223" spans="1:3" x14ac:dyDescent="0.2">
      <c r="A2223" s="76"/>
      <c r="C2223" s="76"/>
    </row>
    <row r="2224" spans="1:3" x14ac:dyDescent="0.2">
      <c r="A2224" s="76"/>
      <c r="C2224" s="76"/>
    </row>
    <row r="2225" spans="1:3" x14ac:dyDescent="0.2">
      <c r="A2225" s="76"/>
      <c r="C2225" s="76"/>
    </row>
    <row r="2226" spans="1:3" x14ac:dyDescent="0.2">
      <c r="A2226" s="76"/>
      <c r="C2226" s="76"/>
    </row>
    <row r="2227" spans="1:3" x14ac:dyDescent="0.2">
      <c r="A2227" s="76"/>
      <c r="C2227" s="76"/>
    </row>
    <row r="2228" spans="1:3" x14ac:dyDescent="0.2">
      <c r="A2228" s="76"/>
      <c r="C2228" s="76"/>
    </row>
    <row r="2229" spans="1:3" x14ac:dyDescent="0.2">
      <c r="A2229" s="76"/>
      <c r="C2229" s="76"/>
    </row>
    <row r="2230" spans="1:3" x14ac:dyDescent="0.2">
      <c r="A2230" s="76"/>
      <c r="C2230" s="76"/>
    </row>
    <row r="2231" spans="1:3" x14ac:dyDescent="0.2">
      <c r="A2231" s="76"/>
      <c r="C2231" s="76"/>
    </row>
    <row r="2232" spans="1:3" x14ac:dyDescent="0.2">
      <c r="A2232" s="76"/>
      <c r="C2232" s="76"/>
    </row>
    <row r="2233" spans="1:3" x14ac:dyDescent="0.2">
      <c r="A2233" s="76"/>
      <c r="C2233" s="76"/>
    </row>
    <row r="2234" spans="1:3" x14ac:dyDescent="0.2">
      <c r="A2234" s="76"/>
      <c r="C2234" s="76"/>
    </row>
    <row r="2235" spans="1:3" x14ac:dyDescent="0.2">
      <c r="A2235" s="76"/>
      <c r="C2235" s="76"/>
    </row>
    <row r="2236" spans="1:3" x14ac:dyDescent="0.2">
      <c r="A2236" s="76"/>
      <c r="C2236" s="76"/>
    </row>
    <row r="2237" spans="1:3" x14ac:dyDescent="0.2">
      <c r="A2237" s="76"/>
      <c r="C2237" s="76"/>
    </row>
    <row r="2238" spans="1:3" x14ac:dyDescent="0.2">
      <c r="A2238" s="76"/>
      <c r="C2238" s="76"/>
    </row>
    <row r="2239" spans="1:3" x14ac:dyDescent="0.2">
      <c r="A2239" s="76"/>
      <c r="C2239" s="76"/>
    </row>
    <row r="2240" spans="1:3" x14ac:dyDescent="0.2">
      <c r="A2240" s="76"/>
      <c r="C2240" s="76"/>
    </row>
    <row r="2241" spans="1:3" x14ac:dyDescent="0.2">
      <c r="A2241" s="76"/>
      <c r="C2241" s="76"/>
    </row>
    <row r="2242" spans="1:3" x14ac:dyDescent="0.2">
      <c r="A2242" s="76"/>
      <c r="C2242" s="76"/>
    </row>
    <row r="2243" spans="1:3" x14ac:dyDescent="0.2">
      <c r="A2243" s="76"/>
      <c r="C2243" s="76"/>
    </row>
    <row r="2244" spans="1:3" x14ac:dyDescent="0.2">
      <c r="A2244" s="76"/>
      <c r="C2244" s="76"/>
    </row>
    <row r="2245" spans="1:3" x14ac:dyDescent="0.2">
      <c r="A2245" s="76"/>
      <c r="C2245" s="76"/>
    </row>
    <row r="2246" spans="1:3" x14ac:dyDescent="0.2">
      <c r="A2246" s="76"/>
      <c r="C2246" s="76"/>
    </row>
    <row r="2247" spans="1:3" x14ac:dyDescent="0.2">
      <c r="A2247" s="76"/>
      <c r="C2247" s="76"/>
    </row>
    <row r="2248" spans="1:3" x14ac:dyDescent="0.2">
      <c r="A2248" s="76"/>
      <c r="C2248" s="76"/>
    </row>
    <row r="2249" spans="1:3" x14ac:dyDescent="0.2">
      <c r="A2249" s="76"/>
      <c r="C2249" s="76"/>
    </row>
    <row r="2250" spans="1:3" x14ac:dyDescent="0.2">
      <c r="A2250" s="76"/>
      <c r="C2250" s="76"/>
    </row>
    <row r="2251" spans="1:3" x14ac:dyDescent="0.2">
      <c r="A2251" s="76"/>
      <c r="C2251" s="76"/>
    </row>
    <row r="2252" spans="1:3" x14ac:dyDescent="0.2">
      <c r="A2252" s="76"/>
      <c r="C2252" s="76"/>
    </row>
    <row r="2253" spans="1:3" x14ac:dyDescent="0.2">
      <c r="A2253" s="76"/>
      <c r="C2253" s="76"/>
    </row>
    <row r="2254" spans="1:3" x14ac:dyDescent="0.2">
      <c r="A2254" s="76"/>
      <c r="C2254" s="76"/>
    </row>
    <row r="2255" spans="1:3" x14ac:dyDescent="0.2">
      <c r="A2255" s="76"/>
      <c r="C2255" s="76"/>
    </row>
    <row r="2256" spans="1:3" x14ac:dyDescent="0.2">
      <c r="A2256" s="76"/>
      <c r="C2256" s="76"/>
    </row>
    <row r="2257" spans="1:3" x14ac:dyDescent="0.2">
      <c r="A2257" s="76"/>
      <c r="C2257" s="76"/>
    </row>
    <row r="2258" spans="1:3" x14ac:dyDescent="0.2">
      <c r="A2258" s="76"/>
      <c r="C2258" s="76"/>
    </row>
    <row r="2259" spans="1:3" x14ac:dyDescent="0.2">
      <c r="A2259" s="76"/>
      <c r="C2259" s="76"/>
    </row>
    <row r="2260" spans="1:3" x14ac:dyDescent="0.2">
      <c r="A2260" s="76"/>
      <c r="C2260" s="76"/>
    </row>
    <row r="2261" spans="1:3" x14ac:dyDescent="0.2">
      <c r="A2261" s="76"/>
      <c r="C2261" s="76"/>
    </row>
    <row r="2262" spans="1:3" x14ac:dyDescent="0.2">
      <c r="A2262" s="76"/>
      <c r="C2262" s="76"/>
    </row>
    <row r="2263" spans="1:3" x14ac:dyDescent="0.2">
      <c r="A2263" s="76"/>
      <c r="C2263" s="76"/>
    </row>
    <row r="2264" spans="1:3" x14ac:dyDescent="0.2">
      <c r="A2264" s="76"/>
      <c r="C2264" s="76"/>
    </row>
    <row r="2265" spans="1:3" x14ac:dyDescent="0.2">
      <c r="A2265" s="76"/>
      <c r="C2265" s="76"/>
    </row>
    <row r="2266" spans="1:3" x14ac:dyDescent="0.2">
      <c r="A2266" s="76"/>
      <c r="C2266" s="76"/>
    </row>
    <row r="2267" spans="1:3" x14ac:dyDescent="0.2">
      <c r="A2267" s="76"/>
      <c r="C2267" s="76"/>
    </row>
    <row r="2268" spans="1:3" x14ac:dyDescent="0.2">
      <c r="A2268" s="76"/>
      <c r="C2268" s="76"/>
    </row>
    <row r="2269" spans="1:3" x14ac:dyDescent="0.2">
      <c r="A2269" s="76"/>
      <c r="C2269" s="76"/>
    </row>
    <row r="2270" spans="1:3" x14ac:dyDescent="0.2">
      <c r="A2270" s="76"/>
      <c r="C2270" s="76"/>
    </row>
    <row r="2271" spans="1:3" x14ac:dyDescent="0.2">
      <c r="A2271" s="76"/>
      <c r="C2271" s="76"/>
    </row>
    <row r="2272" spans="1:3" x14ac:dyDescent="0.2">
      <c r="A2272" s="76"/>
      <c r="C2272" s="76"/>
    </row>
    <row r="2273" spans="1:3" x14ac:dyDescent="0.2">
      <c r="A2273" s="76"/>
      <c r="C2273" s="76"/>
    </row>
    <row r="2274" spans="1:3" x14ac:dyDescent="0.2">
      <c r="A2274" s="76"/>
      <c r="C2274" s="76"/>
    </row>
    <row r="2275" spans="1:3" x14ac:dyDescent="0.2">
      <c r="A2275" s="76"/>
      <c r="C2275" s="76"/>
    </row>
    <row r="2276" spans="1:3" x14ac:dyDescent="0.2">
      <c r="A2276" s="76"/>
      <c r="C2276" s="76"/>
    </row>
    <row r="2277" spans="1:3" x14ac:dyDescent="0.2">
      <c r="A2277" s="76"/>
      <c r="C2277" s="76"/>
    </row>
    <row r="2278" spans="1:3" x14ac:dyDescent="0.2">
      <c r="A2278" s="76"/>
      <c r="C2278" s="76"/>
    </row>
    <row r="2279" spans="1:3" x14ac:dyDescent="0.2">
      <c r="A2279" s="76"/>
      <c r="C2279" s="76"/>
    </row>
    <row r="2280" spans="1:3" x14ac:dyDescent="0.2">
      <c r="A2280" s="76"/>
      <c r="C2280" s="76"/>
    </row>
    <row r="2281" spans="1:3" x14ac:dyDescent="0.2">
      <c r="A2281" s="76"/>
      <c r="C2281" s="76"/>
    </row>
    <row r="2282" spans="1:3" x14ac:dyDescent="0.2">
      <c r="A2282" s="76"/>
      <c r="C2282" s="76"/>
    </row>
    <row r="2283" spans="1:3" x14ac:dyDescent="0.2">
      <c r="A2283" s="76"/>
      <c r="C2283" s="76"/>
    </row>
    <row r="2284" spans="1:3" x14ac:dyDescent="0.2">
      <c r="A2284" s="76"/>
      <c r="C2284" s="76"/>
    </row>
    <row r="2285" spans="1:3" x14ac:dyDescent="0.2">
      <c r="A2285" s="76"/>
      <c r="C2285" s="76"/>
    </row>
    <row r="2286" spans="1:3" x14ac:dyDescent="0.2">
      <c r="A2286" s="76"/>
      <c r="C2286" s="76"/>
    </row>
    <row r="2287" spans="1:3" x14ac:dyDescent="0.2">
      <c r="A2287" s="76"/>
      <c r="C2287" s="76"/>
    </row>
    <row r="2288" spans="1:3" x14ac:dyDescent="0.2">
      <c r="A2288" s="76"/>
      <c r="C2288" s="76"/>
    </row>
    <row r="2289" spans="1:3" x14ac:dyDescent="0.2">
      <c r="A2289" s="76"/>
      <c r="C2289" s="76"/>
    </row>
    <row r="2290" spans="1:3" x14ac:dyDescent="0.2">
      <c r="A2290" s="76"/>
      <c r="C2290" s="76"/>
    </row>
    <row r="2291" spans="1:3" x14ac:dyDescent="0.2">
      <c r="A2291" s="76"/>
      <c r="C2291" s="76"/>
    </row>
    <row r="2292" spans="1:3" x14ac:dyDescent="0.2">
      <c r="A2292" s="76"/>
      <c r="C2292" s="76"/>
    </row>
    <row r="2293" spans="1:3" x14ac:dyDescent="0.2">
      <c r="A2293" s="76"/>
      <c r="C2293" s="76"/>
    </row>
    <row r="2294" spans="1:3" x14ac:dyDescent="0.2">
      <c r="A2294" s="76"/>
      <c r="C2294" s="76"/>
    </row>
    <row r="2295" spans="1:3" x14ac:dyDescent="0.2">
      <c r="A2295" s="76"/>
      <c r="C2295" s="76"/>
    </row>
    <row r="2296" spans="1:3" x14ac:dyDescent="0.2">
      <c r="A2296" s="76"/>
      <c r="C2296" s="76"/>
    </row>
    <row r="2297" spans="1:3" x14ac:dyDescent="0.2">
      <c r="A2297" s="76"/>
      <c r="C2297" s="76"/>
    </row>
    <row r="2298" spans="1:3" x14ac:dyDescent="0.2">
      <c r="A2298" s="76"/>
      <c r="C2298" s="76"/>
    </row>
    <row r="2299" spans="1:3" x14ac:dyDescent="0.2">
      <c r="A2299" s="76"/>
      <c r="C2299" s="76"/>
    </row>
    <row r="2300" spans="1:3" x14ac:dyDescent="0.2">
      <c r="A2300" s="76"/>
      <c r="C2300" s="76"/>
    </row>
    <row r="2301" spans="1:3" x14ac:dyDescent="0.2">
      <c r="A2301" s="76"/>
      <c r="C2301" s="76"/>
    </row>
    <row r="2302" spans="1:3" x14ac:dyDescent="0.2">
      <c r="A2302" s="76"/>
      <c r="C2302" s="76"/>
    </row>
    <row r="2303" spans="1:3" x14ac:dyDescent="0.2">
      <c r="A2303" s="76"/>
      <c r="C2303" s="76"/>
    </row>
    <row r="2304" spans="1:3" x14ac:dyDescent="0.2">
      <c r="A2304" s="76"/>
      <c r="C2304" s="76"/>
    </row>
    <row r="2305" spans="1:3" x14ac:dyDescent="0.2">
      <c r="A2305" s="76"/>
      <c r="C2305" s="76"/>
    </row>
    <row r="2306" spans="1:3" x14ac:dyDescent="0.2">
      <c r="A2306" s="76"/>
      <c r="C2306" s="76"/>
    </row>
    <row r="2307" spans="1:3" x14ac:dyDescent="0.2">
      <c r="A2307" s="76"/>
      <c r="C2307" s="76"/>
    </row>
    <row r="2308" spans="1:3" x14ac:dyDescent="0.2">
      <c r="A2308" s="76"/>
      <c r="C2308" s="76"/>
    </row>
    <row r="2309" spans="1:3" x14ac:dyDescent="0.2">
      <c r="A2309" s="76"/>
      <c r="C2309" s="76"/>
    </row>
    <row r="2310" spans="1:3" x14ac:dyDescent="0.2">
      <c r="A2310" s="76"/>
      <c r="C2310" s="76"/>
    </row>
    <row r="2311" spans="1:3" x14ac:dyDescent="0.2">
      <c r="A2311" s="76"/>
      <c r="C2311" s="76"/>
    </row>
    <row r="2312" spans="1:3" x14ac:dyDescent="0.2">
      <c r="A2312" s="76"/>
      <c r="C2312" s="76"/>
    </row>
    <row r="2313" spans="1:3" x14ac:dyDescent="0.2">
      <c r="A2313" s="76"/>
      <c r="C2313" s="76"/>
    </row>
    <row r="2314" spans="1:3" x14ac:dyDescent="0.2">
      <c r="A2314" s="76"/>
      <c r="C2314" s="76"/>
    </row>
    <row r="2315" spans="1:3" x14ac:dyDescent="0.2">
      <c r="A2315" s="76"/>
      <c r="C2315" s="76"/>
    </row>
    <row r="2316" spans="1:3" x14ac:dyDescent="0.2">
      <c r="A2316" s="76"/>
      <c r="C2316" s="76"/>
    </row>
    <row r="2317" spans="1:3" x14ac:dyDescent="0.2">
      <c r="A2317" s="76"/>
      <c r="C2317" s="76"/>
    </row>
    <row r="2318" spans="1:3" x14ac:dyDescent="0.2">
      <c r="A2318" s="76"/>
      <c r="C2318" s="76"/>
    </row>
    <row r="2319" spans="1:3" x14ac:dyDescent="0.2">
      <c r="A2319" s="76"/>
      <c r="C2319" s="76"/>
    </row>
    <row r="2320" spans="1:3" x14ac:dyDescent="0.2">
      <c r="A2320" s="76"/>
      <c r="C2320" s="76"/>
    </row>
    <row r="2321" spans="1:3" x14ac:dyDescent="0.2">
      <c r="A2321" s="76"/>
      <c r="C2321" s="76"/>
    </row>
    <row r="2322" spans="1:3" x14ac:dyDescent="0.2">
      <c r="A2322" s="76"/>
      <c r="C2322" s="76"/>
    </row>
    <row r="2323" spans="1:3" x14ac:dyDescent="0.2">
      <c r="A2323" s="76"/>
      <c r="C2323" s="76"/>
    </row>
    <row r="2324" spans="1:3" x14ac:dyDescent="0.2">
      <c r="A2324" s="76"/>
      <c r="C2324" s="76"/>
    </row>
    <row r="2325" spans="1:3" x14ac:dyDescent="0.2">
      <c r="A2325" s="76"/>
      <c r="C2325" s="76"/>
    </row>
    <row r="2326" spans="1:3" x14ac:dyDescent="0.2">
      <c r="A2326" s="76"/>
      <c r="C2326" s="76"/>
    </row>
    <row r="2327" spans="1:3" x14ac:dyDescent="0.2">
      <c r="A2327" s="76"/>
      <c r="C2327" s="76"/>
    </row>
    <row r="2328" spans="1:3" x14ac:dyDescent="0.2">
      <c r="A2328" s="76"/>
      <c r="C2328" s="76"/>
    </row>
    <row r="2329" spans="1:3" x14ac:dyDescent="0.2">
      <c r="A2329" s="76"/>
      <c r="C2329" s="76"/>
    </row>
    <row r="2330" spans="1:3" x14ac:dyDescent="0.2">
      <c r="A2330" s="76"/>
      <c r="C2330" s="76"/>
    </row>
    <row r="2331" spans="1:3" x14ac:dyDescent="0.2">
      <c r="A2331" s="76"/>
      <c r="C2331" s="76"/>
    </row>
    <row r="2332" spans="1:3" x14ac:dyDescent="0.2">
      <c r="A2332" s="76"/>
      <c r="C2332" s="76"/>
    </row>
    <row r="2333" spans="1:3" x14ac:dyDescent="0.2">
      <c r="A2333" s="76"/>
      <c r="C2333" s="76"/>
    </row>
    <row r="2334" spans="1:3" x14ac:dyDescent="0.2">
      <c r="A2334" s="76"/>
      <c r="C2334" s="76"/>
    </row>
    <row r="2335" spans="1:3" x14ac:dyDescent="0.2">
      <c r="A2335" s="76"/>
      <c r="C2335" s="76"/>
    </row>
    <row r="2336" spans="1:3" x14ac:dyDescent="0.2">
      <c r="A2336" s="76"/>
      <c r="C2336" s="76"/>
    </row>
    <row r="2337" spans="1:3" x14ac:dyDescent="0.2">
      <c r="A2337" s="76"/>
      <c r="C2337" s="76"/>
    </row>
    <row r="2338" spans="1:3" x14ac:dyDescent="0.2">
      <c r="A2338" s="76"/>
      <c r="C2338" s="76"/>
    </row>
    <row r="2339" spans="1:3" x14ac:dyDescent="0.2">
      <c r="A2339" s="76"/>
      <c r="C2339" s="76"/>
    </row>
    <row r="2340" spans="1:3" x14ac:dyDescent="0.2">
      <c r="A2340" s="76"/>
      <c r="C2340" s="76"/>
    </row>
    <row r="2341" spans="1:3" x14ac:dyDescent="0.2">
      <c r="A2341" s="76"/>
      <c r="C2341" s="76"/>
    </row>
    <row r="2342" spans="1:3" x14ac:dyDescent="0.2">
      <c r="A2342" s="76"/>
      <c r="C2342" s="76"/>
    </row>
    <row r="2343" spans="1:3" x14ac:dyDescent="0.2">
      <c r="A2343" s="76"/>
      <c r="C2343" s="76"/>
    </row>
    <row r="2344" spans="1:3" x14ac:dyDescent="0.2">
      <c r="A2344" s="76"/>
      <c r="C2344" s="76"/>
    </row>
    <row r="2345" spans="1:3" x14ac:dyDescent="0.2">
      <c r="A2345" s="76"/>
      <c r="C2345" s="76"/>
    </row>
    <row r="2346" spans="1:3" x14ac:dyDescent="0.2">
      <c r="A2346" s="76"/>
      <c r="C2346" s="76"/>
    </row>
    <row r="2347" spans="1:3" x14ac:dyDescent="0.2">
      <c r="A2347" s="76"/>
      <c r="C2347" s="76"/>
    </row>
    <row r="2348" spans="1:3" x14ac:dyDescent="0.2">
      <c r="A2348" s="76"/>
      <c r="C2348" s="76"/>
    </row>
    <row r="2349" spans="1:3" x14ac:dyDescent="0.2">
      <c r="A2349" s="76"/>
      <c r="C2349" s="76"/>
    </row>
    <row r="2350" spans="1:3" x14ac:dyDescent="0.2">
      <c r="A2350" s="76"/>
      <c r="C2350" s="76"/>
    </row>
    <row r="2351" spans="1:3" x14ac:dyDescent="0.2">
      <c r="A2351" s="76"/>
      <c r="C2351" s="76"/>
    </row>
    <row r="2352" spans="1:3" x14ac:dyDescent="0.2">
      <c r="A2352" s="76"/>
      <c r="C2352" s="76"/>
    </row>
    <row r="2353" spans="1:3" x14ac:dyDescent="0.2">
      <c r="A2353" s="76"/>
      <c r="C2353" s="76"/>
    </row>
    <row r="2354" spans="1:3" x14ac:dyDescent="0.2">
      <c r="A2354" s="76"/>
      <c r="C2354" s="76"/>
    </row>
    <row r="2355" spans="1:3" x14ac:dyDescent="0.2">
      <c r="A2355" s="76"/>
      <c r="C2355" s="76"/>
    </row>
    <row r="2356" spans="1:3" x14ac:dyDescent="0.2">
      <c r="A2356" s="76"/>
      <c r="C2356" s="76"/>
    </row>
    <row r="2357" spans="1:3" x14ac:dyDescent="0.2">
      <c r="A2357" s="76"/>
      <c r="C2357" s="76"/>
    </row>
    <row r="2358" spans="1:3" x14ac:dyDescent="0.2">
      <c r="A2358" s="76"/>
      <c r="C2358" s="76"/>
    </row>
    <row r="2359" spans="1:3" x14ac:dyDescent="0.2">
      <c r="A2359" s="76"/>
      <c r="C2359" s="76"/>
    </row>
    <row r="2360" spans="1:3" x14ac:dyDescent="0.2">
      <c r="A2360" s="76"/>
      <c r="C2360" s="76"/>
    </row>
    <row r="2361" spans="1:3" x14ac:dyDescent="0.2">
      <c r="A2361" s="76"/>
      <c r="C2361" s="76"/>
    </row>
    <row r="2362" spans="1:3" x14ac:dyDescent="0.2">
      <c r="A2362" s="76"/>
      <c r="C2362" s="76"/>
    </row>
    <row r="2363" spans="1:3" x14ac:dyDescent="0.2">
      <c r="A2363" s="76"/>
      <c r="C2363" s="76"/>
    </row>
    <row r="2364" spans="1:3" x14ac:dyDescent="0.2">
      <c r="A2364" s="76"/>
      <c r="C2364" s="76"/>
    </row>
    <row r="2365" spans="1:3" x14ac:dyDescent="0.2">
      <c r="A2365" s="76"/>
      <c r="C2365" s="76"/>
    </row>
    <row r="2366" spans="1:3" x14ac:dyDescent="0.2">
      <c r="A2366" s="76"/>
      <c r="C2366" s="76"/>
    </row>
    <row r="2367" spans="1:3" x14ac:dyDescent="0.2">
      <c r="A2367" s="76"/>
      <c r="C2367" s="76"/>
    </row>
    <row r="2368" spans="1:3" x14ac:dyDescent="0.2">
      <c r="A2368" s="76"/>
      <c r="C2368" s="76"/>
    </row>
    <row r="2369" spans="1:3" x14ac:dyDescent="0.2">
      <c r="A2369" s="76"/>
      <c r="C2369" s="76"/>
    </row>
    <row r="2370" spans="1:3" x14ac:dyDescent="0.2">
      <c r="A2370" s="76"/>
      <c r="C2370" s="76"/>
    </row>
    <row r="2371" spans="1:3" x14ac:dyDescent="0.2">
      <c r="A2371" s="76"/>
      <c r="C2371" s="76"/>
    </row>
    <row r="2372" spans="1:3" x14ac:dyDescent="0.2">
      <c r="A2372" s="76"/>
      <c r="C2372" s="76"/>
    </row>
    <row r="2373" spans="1:3" x14ac:dyDescent="0.2">
      <c r="A2373" s="76"/>
      <c r="C2373" s="76"/>
    </row>
    <row r="2374" spans="1:3" x14ac:dyDescent="0.2">
      <c r="A2374" s="76"/>
      <c r="C2374" s="76"/>
    </row>
    <row r="2375" spans="1:3" x14ac:dyDescent="0.2">
      <c r="A2375" s="76"/>
      <c r="C2375" s="76"/>
    </row>
    <row r="2376" spans="1:3" x14ac:dyDescent="0.2">
      <c r="A2376" s="76"/>
      <c r="C2376" s="76"/>
    </row>
    <row r="2377" spans="1:3" x14ac:dyDescent="0.2">
      <c r="A2377" s="76"/>
      <c r="C2377" s="76"/>
    </row>
    <row r="2378" spans="1:3" x14ac:dyDescent="0.2">
      <c r="A2378" s="76"/>
      <c r="C2378" s="76"/>
    </row>
    <row r="2379" spans="1:3" x14ac:dyDescent="0.2">
      <c r="A2379" s="76"/>
      <c r="C2379" s="76"/>
    </row>
    <row r="2380" spans="1:3" x14ac:dyDescent="0.2">
      <c r="A2380" s="76"/>
      <c r="C2380" s="76"/>
    </row>
    <row r="2381" spans="1:3" x14ac:dyDescent="0.2">
      <c r="A2381" s="76"/>
      <c r="C2381" s="76"/>
    </row>
    <row r="2382" spans="1:3" x14ac:dyDescent="0.2">
      <c r="A2382" s="76"/>
      <c r="C2382" s="76"/>
    </row>
    <row r="2383" spans="1:3" x14ac:dyDescent="0.2">
      <c r="A2383" s="76"/>
      <c r="C2383" s="76"/>
    </row>
    <row r="2384" spans="1:3" x14ac:dyDescent="0.2">
      <c r="A2384" s="76"/>
      <c r="C2384" s="76"/>
    </row>
    <row r="2385" spans="1:3" x14ac:dyDescent="0.2">
      <c r="A2385" s="76"/>
      <c r="C2385" s="76"/>
    </row>
    <row r="2386" spans="1:3" x14ac:dyDescent="0.2">
      <c r="A2386" s="76"/>
      <c r="C2386" s="76"/>
    </row>
    <row r="2387" spans="1:3" x14ac:dyDescent="0.2">
      <c r="A2387" s="76"/>
      <c r="C2387" s="76"/>
    </row>
    <row r="2388" spans="1:3" x14ac:dyDescent="0.2">
      <c r="A2388" s="76"/>
      <c r="C2388" s="76"/>
    </row>
    <row r="2389" spans="1:3" x14ac:dyDescent="0.2">
      <c r="A2389" s="76"/>
      <c r="C2389" s="76"/>
    </row>
    <row r="2390" spans="1:3" x14ac:dyDescent="0.2">
      <c r="A2390" s="76"/>
      <c r="C2390" s="76"/>
    </row>
    <row r="2391" spans="1:3" x14ac:dyDescent="0.2">
      <c r="A2391" s="76"/>
      <c r="C2391" s="76"/>
    </row>
    <row r="2392" spans="1:3" x14ac:dyDescent="0.2">
      <c r="A2392" s="76"/>
      <c r="C2392" s="76"/>
    </row>
    <row r="2393" spans="1:3" x14ac:dyDescent="0.2">
      <c r="A2393" s="76"/>
      <c r="C2393" s="76"/>
    </row>
    <row r="2394" spans="1:3" x14ac:dyDescent="0.2">
      <c r="A2394" s="76"/>
      <c r="C2394" s="76"/>
    </row>
    <row r="2395" spans="1:3" x14ac:dyDescent="0.2">
      <c r="A2395" s="76"/>
      <c r="C2395" s="76"/>
    </row>
    <row r="2396" spans="1:3" x14ac:dyDescent="0.2">
      <c r="A2396" s="76"/>
      <c r="C2396" s="76"/>
    </row>
    <row r="2397" spans="1:3" x14ac:dyDescent="0.2">
      <c r="A2397" s="76"/>
      <c r="C2397" s="76"/>
    </row>
    <row r="2398" spans="1:3" x14ac:dyDescent="0.2">
      <c r="A2398" s="76"/>
      <c r="C2398" s="76"/>
    </row>
    <row r="2399" spans="1:3" x14ac:dyDescent="0.2">
      <c r="A2399" s="76"/>
      <c r="C2399" s="76"/>
    </row>
    <row r="2400" spans="1:3" x14ac:dyDescent="0.2">
      <c r="A2400" s="76"/>
      <c r="C2400" s="76"/>
    </row>
    <row r="2401" spans="1:3" x14ac:dyDescent="0.2">
      <c r="A2401" s="76"/>
      <c r="C2401" s="76"/>
    </row>
    <row r="2402" spans="1:3" x14ac:dyDescent="0.2">
      <c r="A2402" s="76"/>
      <c r="C2402" s="76"/>
    </row>
    <row r="2403" spans="1:3" x14ac:dyDescent="0.2">
      <c r="A2403" s="76"/>
      <c r="C2403" s="76"/>
    </row>
    <row r="2404" spans="1:3" x14ac:dyDescent="0.2">
      <c r="A2404" s="76"/>
      <c r="C2404" s="76"/>
    </row>
    <row r="2405" spans="1:3" x14ac:dyDescent="0.2">
      <c r="A2405" s="76"/>
      <c r="C2405" s="76"/>
    </row>
    <row r="2406" spans="1:3" x14ac:dyDescent="0.2">
      <c r="A2406" s="76"/>
      <c r="C2406" s="76"/>
    </row>
    <row r="2407" spans="1:3" x14ac:dyDescent="0.2">
      <c r="A2407" s="76"/>
      <c r="C2407" s="76"/>
    </row>
    <row r="2408" spans="1:3" x14ac:dyDescent="0.2">
      <c r="A2408" s="76"/>
      <c r="C2408" s="76"/>
    </row>
    <row r="2409" spans="1:3" x14ac:dyDescent="0.2">
      <c r="A2409" s="76"/>
      <c r="C2409" s="76"/>
    </row>
    <row r="2410" spans="1:3" x14ac:dyDescent="0.2">
      <c r="A2410" s="76"/>
      <c r="C2410" s="76"/>
    </row>
    <row r="2411" spans="1:3" x14ac:dyDescent="0.2">
      <c r="A2411" s="76"/>
      <c r="C2411" s="76"/>
    </row>
    <row r="2412" spans="1:3" x14ac:dyDescent="0.2">
      <c r="A2412" s="76"/>
      <c r="C2412" s="76"/>
    </row>
    <row r="2413" spans="1:3" x14ac:dyDescent="0.2">
      <c r="A2413" s="76"/>
      <c r="C2413" s="76"/>
    </row>
    <row r="2414" spans="1:3" x14ac:dyDescent="0.2">
      <c r="A2414" s="76"/>
      <c r="C2414" s="76"/>
    </row>
    <row r="2415" spans="1:3" x14ac:dyDescent="0.2">
      <c r="A2415" s="76"/>
      <c r="C2415" s="76"/>
    </row>
    <row r="2416" spans="1:3" x14ac:dyDescent="0.2">
      <c r="A2416" s="76"/>
      <c r="C2416" s="76"/>
    </row>
    <row r="2417" spans="1:3" x14ac:dyDescent="0.2">
      <c r="A2417" s="76"/>
      <c r="C2417" s="76"/>
    </row>
    <row r="2418" spans="1:3" x14ac:dyDescent="0.2">
      <c r="A2418" s="76"/>
      <c r="C2418" s="76"/>
    </row>
    <row r="2419" spans="1:3" x14ac:dyDescent="0.2">
      <c r="A2419" s="76"/>
      <c r="C2419" s="76"/>
    </row>
    <row r="2420" spans="1:3" x14ac:dyDescent="0.2">
      <c r="A2420" s="76"/>
      <c r="C2420" s="76"/>
    </row>
    <row r="2421" spans="1:3" x14ac:dyDescent="0.2">
      <c r="A2421" s="76"/>
      <c r="C2421" s="76"/>
    </row>
    <row r="2422" spans="1:3" x14ac:dyDescent="0.2">
      <c r="A2422" s="76"/>
      <c r="C2422" s="76"/>
    </row>
    <row r="2423" spans="1:3" x14ac:dyDescent="0.2">
      <c r="A2423" s="76"/>
      <c r="C2423" s="76"/>
    </row>
    <row r="2424" spans="1:3" x14ac:dyDescent="0.2">
      <c r="A2424" s="76"/>
      <c r="C2424" s="76"/>
    </row>
    <row r="2425" spans="1:3" x14ac:dyDescent="0.2">
      <c r="A2425" s="76"/>
      <c r="C2425" s="76"/>
    </row>
    <row r="2426" spans="1:3" x14ac:dyDescent="0.2">
      <c r="A2426" s="76"/>
      <c r="C2426" s="76"/>
    </row>
    <row r="2427" spans="1:3" x14ac:dyDescent="0.2">
      <c r="A2427" s="76"/>
      <c r="C2427" s="76"/>
    </row>
    <row r="2428" spans="1:3" x14ac:dyDescent="0.2">
      <c r="A2428" s="76"/>
      <c r="C2428" s="76"/>
    </row>
    <row r="2429" spans="1:3" x14ac:dyDescent="0.2">
      <c r="A2429" s="76"/>
      <c r="C2429" s="76"/>
    </row>
    <row r="2430" spans="1:3" x14ac:dyDescent="0.2">
      <c r="A2430" s="76"/>
      <c r="C2430" s="76"/>
    </row>
    <row r="2431" spans="1:3" x14ac:dyDescent="0.2">
      <c r="A2431" s="76"/>
      <c r="C2431" s="76"/>
    </row>
    <row r="2432" spans="1:3" x14ac:dyDescent="0.2">
      <c r="A2432" s="76"/>
      <c r="C2432" s="76"/>
    </row>
    <row r="2433" spans="1:3" x14ac:dyDescent="0.2">
      <c r="A2433" s="76"/>
      <c r="C2433" s="76"/>
    </row>
    <row r="2434" spans="1:3" x14ac:dyDescent="0.2">
      <c r="A2434" s="76"/>
      <c r="C2434" s="76"/>
    </row>
    <row r="2435" spans="1:3" x14ac:dyDescent="0.2">
      <c r="A2435" s="76"/>
      <c r="C2435" s="76"/>
    </row>
    <row r="2436" spans="1:3" x14ac:dyDescent="0.2">
      <c r="A2436" s="76"/>
      <c r="C2436" s="76"/>
    </row>
    <row r="2437" spans="1:3" x14ac:dyDescent="0.2">
      <c r="A2437" s="76"/>
      <c r="C2437" s="76"/>
    </row>
    <row r="2438" spans="1:3" x14ac:dyDescent="0.2">
      <c r="A2438" s="76"/>
      <c r="C2438" s="76"/>
    </row>
    <row r="2439" spans="1:3" x14ac:dyDescent="0.2">
      <c r="A2439" s="76"/>
      <c r="C2439" s="76"/>
    </row>
    <row r="2440" spans="1:3" x14ac:dyDescent="0.2">
      <c r="A2440" s="76"/>
      <c r="C2440" s="76"/>
    </row>
    <row r="2441" spans="1:3" x14ac:dyDescent="0.2">
      <c r="A2441" s="76"/>
      <c r="C2441" s="76"/>
    </row>
    <row r="2442" spans="1:3" x14ac:dyDescent="0.2">
      <c r="A2442" s="76"/>
      <c r="C2442" s="76"/>
    </row>
    <row r="2443" spans="1:3" x14ac:dyDescent="0.2">
      <c r="A2443" s="76"/>
      <c r="C2443" s="76"/>
    </row>
    <row r="2444" spans="1:3" x14ac:dyDescent="0.2">
      <c r="A2444" s="76"/>
      <c r="C2444" s="76"/>
    </row>
    <row r="2445" spans="1:3" x14ac:dyDescent="0.2">
      <c r="A2445" s="76"/>
      <c r="C2445" s="76"/>
    </row>
    <row r="2446" spans="1:3" x14ac:dyDescent="0.2">
      <c r="A2446" s="76"/>
      <c r="C2446" s="76"/>
    </row>
    <row r="2447" spans="1:3" x14ac:dyDescent="0.2">
      <c r="A2447" s="76"/>
      <c r="C2447" s="76"/>
    </row>
    <row r="2448" spans="1:3" x14ac:dyDescent="0.2">
      <c r="A2448" s="76"/>
      <c r="C2448" s="76"/>
    </row>
    <row r="2449" spans="1:3" x14ac:dyDescent="0.2">
      <c r="A2449" s="76"/>
      <c r="C2449" s="76"/>
    </row>
    <row r="2450" spans="1:3" x14ac:dyDescent="0.2">
      <c r="A2450" s="76"/>
      <c r="C2450" s="76"/>
    </row>
    <row r="2451" spans="1:3" x14ac:dyDescent="0.2">
      <c r="A2451" s="76"/>
      <c r="C2451" s="76"/>
    </row>
    <row r="2452" spans="1:3" x14ac:dyDescent="0.2">
      <c r="A2452" s="76"/>
      <c r="C2452" s="76"/>
    </row>
    <row r="2453" spans="1:3" x14ac:dyDescent="0.2">
      <c r="A2453" s="76"/>
      <c r="C2453" s="76"/>
    </row>
    <row r="2454" spans="1:3" x14ac:dyDescent="0.2">
      <c r="A2454" s="76"/>
      <c r="C2454" s="76"/>
    </row>
    <row r="2455" spans="1:3" x14ac:dyDescent="0.2">
      <c r="A2455" s="76"/>
      <c r="C2455" s="76"/>
    </row>
    <row r="2456" spans="1:3" x14ac:dyDescent="0.2">
      <c r="A2456" s="76"/>
      <c r="C2456" s="76"/>
    </row>
    <row r="2457" spans="1:3" x14ac:dyDescent="0.2">
      <c r="A2457" s="76"/>
      <c r="C2457" s="76"/>
    </row>
    <row r="2458" spans="1:3" x14ac:dyDescent="0.2">
      <c r="A2458" s="76"/>
      <c r="C2458" s="76"/>
    </row>
    <row r="2459" spans="1:3" x14ac:dyDescent="0.2">
      <c r="A2459" s="76"/>
      <c r="C2459" s="76"/>
    </row>
    <row r="2460" spans="1:3" x14ac:dyDescent="0.2">
      <c r="A2460" s="76"/>
      <c r="C2460" s="76"/>
    </row>
    <row r="2461" spans="1:3" x14ac:dyDescent="0.2">
      <c r="A2461" s="76"/>
      <c r="C2461" s="76"/>
    </row>
    <row r="2462" spans="1:3" x14ac:dyDescent="0.2">
      <c r="A2462" s="76"/>
      <c r="C2462" s="76"/>
    </row>
    <row r="2463" spans="1:3" x14ac:dyDescent="0.2">
      <c r="A2463" s="76"/>
      <c r="C2463" s="76"/>
    </row>
    <row r="2464" spans="1:3" x14ac:dyDescent="0.2">
      <c r="A2464" s="76"/>
      <c r="C2464" s="76"/>
    </row>
    <row r="2465" spans="1:3" x14ac:dyDescent="0.2">
      <c r="A2465" s="76"/>
      <c r="C2465" s="76"/>
    </row>
    <row r="2466" spans="1:3" x14ac:dyDescent="0.2">
      <c r="A2466" s="76"/>
      <c r="C2466" s="76"/>
    </row>
    <row r="2467" spans="1:3" x14ac:dyDescent="0.2">
      <c r="A2467" s="76"/>
      <c r="C2467" s="76"/>
    </row>
    <row r="2468" spans="1:3" x14ac:dyDescent="0.2">
      <c r="A2468" s="76"/>
      <c r="C2468" s="76"/>
    </row>
    <row r="2469" spans="1:3" x14ac:dyDescent="0.2">
      <c r="A2469" s="76"/>
      <c r="C2469" s="76"/>
    </row>
    <row r="2470" spans="1:3" x14ac:dyDescent="0.2">
      <c r="A2470" s="76"/>
      <c r="C2470" s="76"/>
    </row>
    <row r="2471" spans="1:3" x14ac:dyDescent="0.2">
      <c r="A2471" s="76"/>
      <c r="C2471" s="76"/>
    </row>
    <row r="2472" spans="1:3" x14ac:dyDescent="0.2">
      <c r="A2472" s="76"/>
      <c r="C2472" s="76"/>
    </row>
    <row r="2473" spans="1:3" x14ac:dyDescent="0.2">
      <c r="A2473" s="76"/>
      <c r="C2473" s="76"/>
    </row>
    <row r="2474" spans="1:3" x14ac:dyDescent="0.2">
      <c r="A2474" s="76"/>
      <c r="C2474" s="76"/>
    </row>
    <row r="2475" spans="1:3" x14ac:dyDescent="0.2">
      <c r="A2475" s="76"/>
      <c r="C2475" s="76"/>
    </row>
    <row r="2476" spans="1:3" x14ac:dyDescent="0.2">
      <c r="A2476" s="76"/>
      <c r="C2476" s="76"/>
    </row>
    <row r="2477" spans="1:3" x14ac:dyDescent="0.2">
      <c r="A2477" s="76"/>
      <c r="C2477" s="76"/>
    </row>
    <row r="2478" spans="1:3" x14ac:dyDescent="0.2">
      <c r="A2478" s="76"/>
      <c r="C2478" s="76"/>
    </row>
    <row r="2479" spans="1:3" x14ac:dyDescent="0.2">
      <c r="A2479" s="76"/>
      <c r="C2479" s="76"/>
    </row>
    <row r="2480" spans="1:3" x14ac:dyDescent="0.2">
      <c r="A2480" s="76"/>
      <c r="C2480" s="76"/>
    </row>
    <row r="2481" spans="1:3" x14ac:dyDescent="0.2">
      <c r="A2481" s="76"/>
      <c r="C2481" s="76"/>
    </row>
    <row r="2482" spans="1:3" x14ac:dyDescent="0.2">
      <c r="A2482" s="76"/>
      <c r="C2482" s="76"/>
    </row>
    <row r="2483" spans="1:3" x14ac:dyDescent="0.2">
      <c r="A2483" s="76"/>
      <c r="C2483" s="76"/>
    </row>
    <row r="2484" spans="1:3" x14ac:dyDescent="0.2">
      <c r="A2484" s="76"/>
      <c r="C2484" s="76"/>
    </row>
    <row r="2485" spans="1:3" x14ac:dyDescent="0.2">
      <c r="A2485" s="76"/>
      <c r="C2485" s="76"/>
    </row>
    <row r="2486" spans="1:3" x14ac:dyDescent="0.2">
      <c r="A2486" s="76"/>
      <c r="C2486" s="76"/>
    </row>
    <row r="2487" spans="1:3" x14ac:dyDescent="0.2">
      <c r="A2487" s="76"/>
      <c r="C2487" s="76"/>
    </row>
    <row r="2488" spans="1:3" x14ac:dyDescent="0.2">
      <c r="A2488" s="76"/>
      <c r="C2488" s="76"/>
    </row>
    <row r="2489" spans="1:3" x14ac:dyDescent="0.2">
      <c r="A2489" s="76"/>
      <c r="C2489" s="76"/>
    </row>
    <row r="2490" spans="1:3" x14ac:dyDescent="0.2">
      <c r="A2490" s="76"/>
      <c r="C2490" s="76"/>
    </row>
    <row r="2491" spans="1:3" x14ac:dyDescent="0.2">
      <c r="A2491" s="76"/>
      <c r="C2491" s="76"/>
    </row>
    <row r="2492" spans="1:3" x14ac:dyDescent="0.2">
      <c r="A2492" s="76"/>
      <c r="C2492" s="76"/>
    </row>
    <row r="2493" spans="1:3" x14ac:dyDescent="0.2">
      <c r="A2493" s="76"/>
      <c r="C2493" s="76"/>
    </row>
    <row r="2494" spans="1:3" x14ac:dyDescent="0.2">
      <c r="A2494" s="76"/>
      <c r="C2494" s="76"/>
    </row>
    <row r="2495" spans="1:3" x14ac:dyDescent="0.2">
      <c r="A2495" s="76"/>
      <c r="C2495" s="76"/>
    </row>
    <row r="2496" spans="1:3" x14ac:dyDescent="0.2">
      <c r="A2496" s="76"/>
      <c r="C2496" s="76"/>
    </row>
    <row r="2497" spans="1:3" x14ac:dyDescent="0.2">
      <c r="A2497" s="76"/>
      <c r="C2497" s="76"/>
    </row>
    <row r="2498" spans="1:3" x14ac:dyDescent="0.2">
      <c r="A2498" s="76"/>
      <c r="C2498" s="76"/>
    </row>
    <row r="2499" spans="1:3" x14ac:dyDescent="0.2">
      <c r="A2499" s="76"/>
      <c r="C2499" s="76"/>
    </row>
    <row r="2500" spans="1:3" x14ac:dyDescent="0.2">
      <c r="A2500" s="76"/>
      <c r="C2500" s="76"/>
    </row>
    <row r="2501" spans="1:3" x14ac:dyDescent="0.2">
      <c r="A2501" s="76"/>
      <c r="C2501" s="76"/>
    </row>
    <row r="2502" spans="1:3" x14ac:dyDescent="0.2">
      <c r="A2502" s="76"/>
      <c r="C2502" s="76"/>
    </row>
    <row r="2503" spans="1:3" x14ac:dyDescent="0.2">
      <c r="A2503" s="76"/>
      <c r="C2503" s="76"/>
    </row>
    <row r="2504" spans="1:3" x14ac:dyDescent="0.2">
      <c r="A2504" s="76"/>
      <c r="C2504" s="76"/>
    </row>
    <row r="2505" spans="1:3" x14ac:dyDescent="0.2">
      <c r="A2505" s="76"/>
      <c r="C2505" s="76"/>
    </row>
    <row r="2506" spans="1:3" x14ac:dyDescent="0.2">
      <c r="A2506" s="76"/>
      <c r="C2506" s="76"/>
    </row>
    <row r="2507" spans="1:3" x14ac:dyDescent="0.2">
      <c r="A2507" s="76"/>
      <c r="C2507" s="76"/>
    </row>
    <row r="2508" spans="1:3" x14ac:dyDescent="0.2">
      <c r="A2508" s="76"/>
      <c r="C2508" s="76"/>
    </row>
    <row r="2509" spans="1:3" x14ac:dyDescent="0.2">
      <c r="A2509" s="76"/>
      <c r="C2509" s="76"/>
    </row>
    <row r="2510" spans="1:3" x14ac:dyDescent="0.2">
      <c r="A2510" s="76"/>
      <c r="C2510" s="76"/>
    </row>
    <row r="2511" spans="1:3" x14ac:dyDescent="0.2">
      <c r="A2511" s="76"/>
      <c r="C2511" s="76"/>
    </row>
    <row r="2512" spans="1:3" x14ac:dyDescent="0.2">
      <c r="A2512" s="76"/>
      <c r="C2512" s="76"/>
    </row>
    <row r="2513" spans="1:3" x14ac:dyDescent="0.2">
      <c r="A2513" s="76"/>
      <c r="C2513" s="76"/>
    </row>
    <row r="2514" spans="1:3" x14ac:dyDescent="0.2">
      <c r="A2514" s="76"/>
      <c r="C2514" s="76"/>
    </row>
    <row r="2515" spans="1:3" x14ac:dyDescent="0.2">
      <c r="A2515" s="76"/>
      <c r="C2515" s="76"/>
    </row>
    <row r="2516" spans="1:3" x14ac:dyDescent="0.2">
      <c r="A2516" s="76"/>
      <c r="C2516" s="76"/>
    </row>
    <row r="2517" spans="1:3" x14ac:dyDescent="0.2">
      <c r="A2517" s="76"/>
      <c r="C2517" s="76"/>
    </row>
    <row r="2518" spans="1:3" x14ac:dyDescent="0.2">
      <c r="A2518" s="76"/>
      <c r="C2518" s="76"/>
    </row>
    <row r="2519" spans="1:3" x14ac:dyDescent="0.2">
      <c r="A2519" s="76"/>
      <c r="C2519" s="76"/>
    </row>
    <row r="2520" spans="1:3" x14ac:dyDescent="0.2">
      <c r="A2520" s="76"/>
      <c r="C2520" s="76"/>
    </row>
    <row r="2521" spans="1:3" x14ac:dyDescent="0.2">
      <c r="A2521" s="76"/>
      <c r="C2521" s="76"/>
    </row>
    <row r="2522" spans="1:3" x14ac:dyDescent="0.2">
      <c r="A2522" s="76"/>
      <c r="C2522" s="76"/>
    </row>
    <row r="2523" spans="1:3" x14ac:dyDescent="0.2">
      <c r="A2523" s="76"/>
      <c r="C2523" s="76"/>
    </row>
    <row r="2524" spans="1:3" x14ac:dyDescent="0.2">
      <c r="A2524" s="76"/>
      <c r="C2524" s="76"/>
    </row>
    <row r="2525" spans="1:3" x14ac:dyDescent="0.2">
      <c r="A2525" s="76"/>
      <c r="C2525" s="76"/>
    </row>
    <row r="2526" spans="1:3" x14ac:dyDescent="0.2">
      <c r="A2526" s="76"/>
      <c r="C2526" s="76"/>
    </row>
    <row r="2527" spans="1:3" x14ac:dyDescent="0.2">
      <c r="A2527" s="76"/>
      <c r="C2527" s="76"/>
    </row>
    <row r="2528" spans="1:3" x14ac:dyDescent="0.2">
      <c r="A2528" s="76"/>
      <c r="C2528" s="76"/>
    </row>
    <row r="2529" spans="1:3" x14ac:dyDescent="0.2">
      <c r="A2529" s="76"/>
      <c r="C2529" s="76"/>
    </row>
    <row r="2530" spans="1:3" x14ac:dyDescent="0.2">
      <c r="A2530" s="76"/>
      <c r="C2530" s="76"/>
    </row>
    <row r="2531" spans="1:3" x14ac:dyDescent="0.2">
      <c r="A2531" s="76"/>
      <c r="C2531" s="76"/>
    </row>
    <row r="2532" spans="1:3" x14ac:dyDescent="0.2">
      <c r="A2532" s="76"/>
      <c r="C2532" s="76"/>
    </row>
    <row r="2533" spans="1:3" x14ac:dyDescent="0.2">
      <c r="A2533" s="76"/>
      <c r="C2533" s="76"/>
    </row>
    <row r="2534" spans="1:3" x14ac:dyDescent="0.2">
      <c r="A2534" s="76"/>
      <c r="C2534" s="76"/>
    </row>
    <row r="2535" spans="1:3" x14ac:dyDescent="0.2">
      <c r="A2535" s="76"/>
      <c r="C2535" s="76"/>
    </row>
    <row r="2536" spans="1:3" x14ac:dyDescent="0.2">
      <c r="A2536" s="76"/>
      <c r="C2536" s="76"/>
    </row>
    <row r="2537" spans="1:3" x14ac:dyDescent="0.2">
      <c r="A2537" s="76"/>
      <c r="C2537" s="76"/>
    </row>
    <row r="2538" spans="1:3" x14ac:dyDescent="0.2">
      <c r="A2538" s="76"/>
      <c r="C2538" s="76"/>
    </row>
    <row r="2539" spans="1:3" x14ac:dyDescent="0.2">
      <c r="A2539" s="76"/>
      <c r="C2539" s="76"/>
    </row>
    <row r="2540" spans="1:3" x14ac:dyDescent="0.2">
      <c r="A2540" s="76"/>
      <c r="C2540" s="76"/>
    </row>
    <row r="2541" spans="1:3" x14ac:dyDescent="0.2">
      <c r="A2541" s="76"/>
      <c r="C2541" s="76"/>
    </row>
    <row r="2542" spans="1:3" x14ac:dyDescent="0.2">
      <c r="A2542" s="76"/>
      <c r="C2542" s="76"/>
    </row>
    <row r="2543" spans="1:3" x14ac:dyDescent="0.2">
      <c r="A2543" s="76"/>
      <c r="C2543" s="76"/>
    </row>
    <row r="2544" spans="1:3" x14ac:dyDescent="0.2">
      <c r="A2544" s="76"/>
      <c r="C2544" s="76"/>
    </row>
    <row r="2545" spans="1:3" x14ac:dyDescent="0.2">
      <c r="A2545" s="76"/>
      <c r="C2545" s="76"/>
    </row>
    <row r="2546" spans="1:3" x14ac:dyDescent="0.2">
      <c r="A2546" s="76"/>
      <c r="C2546" s="76"/>
    </row>
    <row r="2547" spans="1:3" x14ac:dyDescent="0.2">
      <c r="A2547" s="76"/>
      <c r="C2547" s="76"/>
    </row>
    <row r="2548" spans="1:3" x14ac:dyDescent="0.2">
      <c r="A2548" s="76"/>
      <c r="C2548" s="76"/>
    </row>
    <row r="2549" spans="1:3" x14ac:dyDescent="0.2">
      <c r="A2549" s="76"/>
      <c r="C2549" s="76"/>
    </row>
    <row r="2550" spans="1:3" x14ac:dyDescent="0.2">
      <c r="A2550" s="76"/>
      <c r="C2550" s="76"/>
    </row>
    <row r="2551" spans="1:3" x14ac:dyDescent="0.2">
      <c r="A2551" s="76"/>
      <c r="C2551" s="76"/>
    </row>
    <row r="2552" spans="1:3" x14ac:dyDescent="0.2">
      <c r="A2552" s="76"/>
      <c r="C2552" s="76"/>
    </row>
    <row r="2553" spans="1:3" x14ac:dyDescent="0.2">
      <c r="A2553" s="76"/>
      <c r="C2553" s="76"/>
    </row>
    <row r="2554" spans="1:3" x14ac:dyDescent="0.2">
      <c r="A2554" s="76"/>
      <c r="C2554" s="76"/>
    </row>
    <row r="2555" spans="1:3" x14ac:dyDescent="0.2">
      <c r="A2555" s="76"/>
      <c r="C2555" s="76"/>
    </row>
    <row r="2556" spans="1:3" x14ac:dyDescent="0.2">
      <c r="A2556" s="76"/>
      <c r="C2556" s="76"/>
    </row>
    <row r="2557" spans="1:3" x14ac:dyDescent="0.2">
      <c r="A2557" s="76"/>
      <c r="C2557" s="76"/>
    </row>
    <row r="2558" spans="1:3" x14ac:dyDescent="0.2">
      <c r="A2558" s="76"/>
      <c r="C2558" s="76"/>
    </row>
    <row r="2559" spans="1:3" x14ac:dyDescent="0.2">
      <c r="A2559" s="76"/>
      <c r="C2559" s="76"/>
    </row>
    <row r="2560" spans="1:3" x14ac:dyDescent="0.2">
      <c r="A2560" s="76"/>
      <c r="C2560" s="76"/>
    </row>
    <row r="2561" spans="1:3" x14ac:dyDescent="0.2">
      <c r="A2561" s="76"/>
      <c r="C2561" s="76"/>
    </row>
    <row r="2562" spans="1:3" x14ac:dyDescent="0.2">
      <c r="A2562" s="76"/>
      <c r="C2562" s="76"/>
    </row>
    <row r="2563" spans="1:3" x14ac:dyDescent="0.2">
      <c r="A2563" s="76"/>
      <c r="C2563" s="76"/>
    </row>
    <row r="2564" spans="1:3" x14ac:dyDescent="0.2">
      <c r="A2564" s="76"/>
      <c r="C2564" s="76"/>
    </row>
    <row r="2565" spans="1:3" x14ac:dyDescent="0.2">
      <c r="A2565" s="76"/>
      <c r="C2565" s="76"/>
    </row>
    <row r="2566" spans="1:3" x14ac:dyDescent="0.2">
      <c r="A2566" s="76"/>
      <c r="C2566" s="76"/>
    </row>
    <row r="2567" spans="1:3" x14ac:dyDescent="0.2">
      <c r="A2567" s="76"/>
      <c r="C2567" s="76"/>
    </row>
    <row r="2568" spans="1:3" x14ac:dyDescent="0.2">
      <c r="A2568" s="76"/>
      <c r="C2568" s="76"/>
    </row>
    <row r="2569" spans="1:3" x14ac:dyDescent="0.2">
      <c r="A2569" s="76"/>
      <c r="C2569" s="76"/>
    </row>
    <row r="2570" spans="1:3" x14ac:dyDescent="0.2">
      <c r="A2570" s="76"/>
      <c r="C2570" s="76"/>
    </row>
    <row r="2571" spans="1:3" x14ac:dyDescent="0.2">
      <c r="A2571" s="76"/>
      <c r="C2571" s="76"/>
    </row>
    <row r="2572" spans="1:3" x14ac:dyDescent="0.2">
      <c r="A2572" s="76"/>
      <c r="C2572" s="76"/>
    </row>
    <row r="2573" spans="1:3" x14ac:dyDescent="0.2">
      <c r="A2573" s="76"/>
      <c r="C2573" s="76"/>
    </row>
    <row r="2574" spans="1:3" x14ac:dyDescent="0.2">
      <c r="A2574" s="76"/>
      <c r="C2574" s="76"/>
    </row>
    <row r="2575" spans="1:3" x14ac:dyDescent="0.2">
      <c r="A2575" s="76"/>
      <c r="C2575" s="76"/>
    </row>
    <row r="2576" spans="1:3" x14ac:dyDescent="0.2">
      <c r="A2576" s="76"/>
      <c r="C2576" s="76"/>
    </row>
    <row r="2577" spans="1:3" x14ac:dyDescent="0.2">
      <c r="A2577" s="76"/>
      <c r="C2577" s="76"/>
    </row>
    <row r="2578" spans="1:3" x14ac:dyDescent="0.2">
      <c r="A2578" s="76"/>
      <c r="C2578" s="76"/>
    </row>
    <row r="2579" spans="1:3" x14ac:dyDescent="0.2">
      <c r="A2579" s="76"/>
      <c r="C2579" s="76"/>
    </row>
    <row r="2580" spans="1:3" x14ac:dyDescent="0.2">
      <c r="A2580" s="76"/>
      <c r="C2580" s="76"/>
    </row>
    <row r="2581" spans="1:3" x14ac:dyDescent="0.2">
      <c r="A2581" s="76"/>
      <c r="C2581" s="76"/>
    </row>
    <row r="2582" spans="1:3" x14ac:dyDescent="0.2">
      <c r="A2582" s="76"/>
      <c r="C2582" s="76"/>
    </row>
    <row r="2583" spans="1:3" x14ac:dyDescent="0.2">
      <c r="A2583" s="76"/>
      <c r="C2583" s="76"/>
    </row>
    <row r="2584" spans="1:3" x14ac:dyDescent="0.2">
      <c r="A2584" s="76"/>
      <c r="C2584" s="76"/>
    </row>
    <row r="2585" spans="1:3" x14ac:dyDescent="0.2">
      <c r="A2585" s="76"/>
      <c r="C2585" s="76"/>
    </row>
    <row r="2586" spans="1:3" x14ac:dyDescent="0.2">
      <c r="A2586" s="76"/>
      <c r="C2586" s="76"/>
    </row>
    <row r="2587" spans="1:3" x14ac:dyDescent="0.2">
      <c r="A2587" s="76"/>
      <c r="C2587" s="76"/>
    </row>
    <row r="2588" spans="1:3" x14ac:dyDescent="0.2">
      <c r="A2588" s="76"/>
      <c r="C2588" s="76"/>
    </row>
    <row r="2589" spans="1:3" x14ac:dyDescent="0.2">
      <c r="A2589" s="76"/>
      <c r="C2589" s="76"/>
    </row>
    <row r="2590" spans="1:3" x14ac:dyDescent="0.2">
      <c r="A2590" s="76"/>
      <c r="C2590" s="76"/>
    </row>
    <row r="2591" spans="1:3" x14ac:dyDescent="0.2">
      <c r="A2591" s="76"/>
      <c r="C2591" s="76"/>
    </row>
    <row r="2592" spans="1:3" x14ac:dyDescent="0.2">
      <c r="A2592" s="76"/>
      <c r="C2592" s="76"/>
    </row>
    <row r="2593" spans="1:3" x14ac:dyDescent="0.2">
      <c r="A2593" s="76"/>
      <c r="C2593" s="76"/>
    </row>
    <row r="2594" spans="1:3" x14ac:dyDescent="0.2">
      <c r="A2594" s="76"/>
      <c r="C2594" s="76"/>
    </row>
    <row r="2595" spans="1:3" x14ac:dyDescent="0.2">
      <c r="A2595" s="76"/>
      <c r="C2595" s="76"/>
    </row>
    <row r="2596" spans="1:3" x14ac:dyDescent="0.2">
      <c r="A2596" s="76"/>
      <c r="C2596" s="76"/>
    </row>
    <row r="2597" spans="1:3" x14ac:dyDescent="0.2">
      <c r="A2597" s="76"/>
      <c r="C2597" s="76"/>
    </row>
    <row r="2598" spans="1:3" x14ac:dyDescent="0.2">
      <c r="A2598" s="76"/>
      <c r="C2598" s="76"/>
    </row>
    <row r="2599" spans="1:3" x14ac:dyDescent="0.2">
      <c r="A2599" s="76"/>
      <c r="C2599" s="76"/>
    </row>
    <row r="2600" spans="1:3" x14ac:dyDescent="0.2">
      <c r="A2600" s="76"/>
      <c r="C2600" s="76"/>
    </row>
    <row r="2601" spans="1:3" x14ac:dyDescent="0.2">
      <c r="A2601" s="76"/>
      <c r="C2601" s="76"/>
    </row>
    <row r="2602" spans="1:3" x14ac:dyDescent="0.2">
      <c r="A2602" s="76"/>
      <c r="C2602" s="76"/>
    </row>
    <row r="2603" spans="1:3" x14ac:dyDescent="0.2">
      <c r="A2603" s="76"/>
      <c r="C2603" s="76"/>
    </row>
    <row r="2604" spans="1:3" x14ac:dyDescent="0.2">
      <c r="A2604" s="76"/>
      <c r="C2604" s="76"/>
    </row>
    <row r="2605" spans="1:3" x14ac:dyDescent="0.2">
      <c r="A2605" s="76"/>
      <c r="C2605" s="76"/>
    </row>
    <row r="2606" spans="1:3" x14ac:dyDescent="0.2">
      <c r="A2606" s="76"/>
      <c r="C2606" s="76"/>
    </row>
    <row r="2607" spans="1:3" x14ac:dyDescent="0.2">
      <c r="A2607" s="76"/>
      <c r="C2607" s="76"/>
    </row>
    <row r="2608" spans="1:3" x14ac:dyDescent="0.2">
      <c r="A2608" s="76"/>
      <c r="C2608" s="76"/>
    </row>
    <row r="2609" spans="1:3" x14ac:dyDescent="0.2">
      <c r="A2609" s="76"/>
      <c r="C2609" s="76"/>
    </row>
    <row r="2610" spans="1:3" x14ac:dyDescent="0.2">
      <c r="A2610" s="76"/>
      <c r="C2610" s="76"/>
    </row>
    <row r="2611" spans="1:3" x14ac:dyDescent="0.2">
      <c r="A2611" s="76"/>
      <c r="C2611" s="76"/>
    </row>
    <row r="2612" spans="1:3" x14ac:dyDescent="0.2">
      <c r="A2612" s="76"/>
      <c r="C2612" s="76"/>
    </row>
    <row r="2613" spans="1:3" x14ac:dyDescent="0.2">
      <c r="A2613" s="76"/>
      <c r="C2613" s="76"/>
    </row>
    <row r="2614" spans="1:3" x14ac:dyDescent="0.2">
      <c r="A2614" s="76"/>
      <c r="C2614" s="76"/>
    </row>
    <row r="2615" spans="1:3" x14ac:dyDescent="0.2">
      <c r="A2615" s="76"/>
      <c r="C2615" s="76"/>
    </row>
    <row r="2616" spans="1:3" x14ac:dyDescent="0.2">
      <c r="A2616" s="76"/>
      <c r="C2616" s="76"/>
    </row>
    <row r="2617" spans="1:3" x14ac:dyDescent="0.2">
      <c r="A2617" s="76"/>
      <c r="C2617" s="76"/>
    </row>
    <row r="2618" spans="1:3" x14ac:dyDescent="0.2">
      <c r="A2618" s="76"/>
      <c r="C2618" s="76"/>
    </row>
    <row r="2619" spans="1:3" x14ac:dyDescent="0.2">
      <c r="A2619" s="76"/>
      <c r="C2619" s="76"/>
    </row>
    <row r="2620" spans="1:3" x14ac:dyDescent="0.2">
      <c r="A2620" s="76"/>
      <c r="C2620" s="76"/>
    </row>
    <row r="2621" spans="1:3" x14ac:dyDescent="0.2">
      <c r="A2621" s="76"/>
      <c r="C2621" s="76"/>
    </row>
    <row r="2622" spans="1:3" x14ac:dyDescent="0.2">
      <c r="A2622" s="76"/>
      <c r="C2622" s="76"/>
    </row>
    <row r="2623" spans="1:3" x14ac:dyDescent="0.2">
      <c r="A2623" s="76"/>
      <c r="C2623" s="76"/>
    </row>
    <row r="2624" spans="1:3" x14ac:dyDescent="0.2">
      <c r="A2624" s="76"/>
      <c r="C2624" s="76"/>
    </row>
    <row r="2625" spans="1:3" x14ac:dyDescent="0.2">
      <c r="A2625" s="76"/>
      <c r="C2625" s="76"/>
    </row>
    <row r="2626" spans="1:3" x14ac:dyDescent="0.2">
      <c r="A2626" s="76"/>
      <c r="C2626" s="76"/>
    </row>
    <row r="2627" spans="1:3" x14ac:dyDescent="0.2">
      <c r="A2627" s="76"/>
      <c r="C2627" s="76"/>
    </row>
    <row r="2628" spans="1:3" x14ac:dyDescent="0.2">
      <c r="A2628" s="76"/>
      <c r="C2628" s="76"/>
    </row>
    <row r="2629" spans="1:3" x14ac:dyDescent="0.2">
      <c r="A2629" s="76"/>
      <c r="C2629" s="76"/>
    </row>
    <row r="2630" spans="1:3" x14ac:dyDescent="0.2">
      <c r="A2630" s="76"/>
      <c r="C2630" s="76"/>
    </row>
    <row r="2631" spans="1:3" x14ac:dyDescent="0.2">
      <c r="A2631" s="76"/>
      <c r="C2631" s="76"/>
    </row>
    <row r="2632" spans="1:3" x14ac:dyDescent="0.2">
      <c r="A2632" s="76"/>
      <c r="C2632" s="76"/>
    </row>
    <row r="2633" spans="1:3" x14ac:dyDescent="0.2">
      <c r="A2633" s="76"/>
      <c r="C2633" s="76"/>
    </row>
    <row r="2634" spans="1:3" x14ac:dyDescent="0.2">
      <c r="A2634" s="76"/>
      <c r="C2634" s="76"/>
    </row>
    <row r="2635" spans="1:3" x14ac:dyDescent="0.2">
      <c r="A2635" s="76"/>
      <c r="C2635" s="76"/>
    </row>
    <row r="2636" spans="1:3" x14ac:dyDescent="0.2">
      <c r="A2636" s="76"/>
      <c r="C2636" s="76"/>
    </row>
    <row r="2637" spans="1:3" x14ac:dyDescent="0.2">
      <c r="A2637" s="76"/>
      <c r="C2637" s="76"/>
    </row>
    <row r="2638" spans="1:3" x14ac:dyDescent="0.2">
      <c r="A2638" s="76"/>
      <c r="C2638" s="76"/>
    </row>
    <row r="2639" spans="1:3" x14ac:dyDescent="0.2">
      <c r="A2639" s="76"/>
      <c r="C2639" s="76"/>
    </row>
    <row r="2640" spans="1:3" x14ac:dyDescent="0.2">
      <c r="A2640" s="76"/>
      <c r="C2640" s="76"/>
    </row>
    <row r="2641" spans="1:3" x14ac:dyDescent="0.2">
      <c r="A2641" s="76"/>
      <c r="C2641" s="76"/>
    </row>
    <row r="2642" spans="1:3" x14ac:dyDescent="0.2">
      <c r="A2642" s="76"/>
      <c r="C2642" s="76"/>
    </row>
    <row r="2643" spans="1:3" x14ac:dyDescent="0.2">
      <c r="A2643" s="76"/>
      <c r="C2643" s="76"/>
    </row>
    <row r="2644" spans="1:3" x14ac:dyDescent="0.2">
      <c r="A2644" s="76"/>
      <c r="C2644" s="76"/>
    </row>
    <row r="2645" spans="1:3" x14ac:dyDescent="0.2">
      <c r="A2645" s="76"/>
      <c r="C2645" s="76"/>
    </row>
    <row r="2646" spans="1:3" x14ac:dyDescent="0.2">
      <c r="A2646" s="76"/>
      <c r="C2646" s="76"/>
    </row>
    <row r="2647" spans="1:3" x14ac:dyDescent="0.2">
      <c r="A2647" s="76"/>
      <c r="C2647" s="76"/>
    </row>
    <row r="2648" spans="1:3" x14ac:dyDescent="0.2">
      <c r="A2648" s="76"/>
      <c r="C2648" s="76"/>
    </row>
    <row r="2649" spans="1:3" x14ac:dyDescent="0.2">
      <c r="A2649" s="76"/>
      <c r="C2649" s="76"/>
    </row>
    <row r="2650" spans="1:3" x14ac:dyDescent="0.2">
      <c r="A2650" s="76"/>
      <c r="C2650" s="76"/>
    </row>
    <row r="2651" spans="1:3" x14ac:dyDescent="0.2">
      <c r="A2651" s="76"/>
      <c r="C2651" s="76"/>
    </row>
    <row r="2652" spans="1:3" x14ac:dyDescent="0.2">
      <c r="A2652" s="76"/>
      <c r="C2652" s="76"/>
    </row>
    <row r="2653" spans="1:3" x14ac:dyDescent="0.2">
      <c r="A2653" s="76"/>
      <c r="C2653" s="76"/>
    </row>
    <row r="2654" spans="1:3" x14ac:dyDescent="0.2">
      <c r="A2654" s="76"/>
      <c r="C2654" s="76"/>
    </row>
    <row r="2655" spans="1:3" x14ac:dyDescent="0.2">
      <c r="A2655" s="76"/>
      <c r="C2655" s="76"/>
    </row>
    <row r="2656" spans="1:3" x14ac:dyDescent="0.2">
      <c r="A2656" s="76"/>
      <c r="C2656" s="76"/>
    </row>
    <row r="2657" spans="1:3" x14ac:dyDescent="0.2">
      <c r="A2657" s="76"/>
      <c r="C2657" s="76"/>
    </row>
    <row r="2658" spans="1:3" x14ac:dyDescent="0.2">
      <c r="A2658" s="76"/>
      <c r="C2658" s="76"/>
    </row>
    <row r="2659" spans="1:3" x14ac:dyDescent="0.2">
      <c r="A2659" s="76"/>
      <c r="C2659" s="76"/>
    </row>
    <row r="2660" spans="1:3" x14ac:dyDescent="0.2">
      <c r="A2660" s="76"/>
      <c r="C2660" s="76"/>
    </row>
    <row r="2661" spans="1:3" x14ac:dyDescent="0.2">
      <c r="A2661" s="76"/>
      <c r="C2661" s="76"/>
    </row>
    <row r="2662" spans="1:3" x14ac:dyDescent="0.2">
      <c r="A2662" s="76"/>
      <c r="C2662" s="76"/>
    </row>
    <row r="2663" spans="1:3" x14ac:dyDescent="0.2">
      <c r="A2663" s="76"/>
      <c r="C2663" s="76"/>
    </row>
    <row r="2664" spans="1:3" x14ac:dyDescent="0.2">
      <c r="A2664" s="76"/>
      <c r="C2664" s="76"/>
    </row>
    <row r="2665" spans="1:3" x14ac:dyDescent="0.2">
      <c r="A2665" s="76"/>
      <c r="C2665" s="76"/>
    </row>
    <row r="2666" spans="1:3" x14ac:dyDescent="0.2">
      <c r="A2666" s="76"/>
      <c r="C2666" s="76"/>
    </row>
    <row r="2667" spans="1:3" x14ac:dyDescent="0.2">
      <c r="A2667" s="76"/>
      <c r="C2667" s="76"/>
    </row>
    <row r="2668" spans="1:3" x14ac:dyDescent="0.2">
      <c r="A2668" s="76"/>
      <c r="C2668" s="76"/>
    </row>
    <row r="2669" spans="1:3" x14ac:dyDescent="0.2">
      <c r="A2669" s="76"/>
      <c r="C2669" s="76"/>
    </row>
    <row r="2670" spans="1:3" x14ac:dyDescent="0.2">
      <c r="A2670" s="76"/>
      <c r="C2670" s="76"/>
    </row>
    <row r="2671" spans="1:3" x14ac:dyDescent="0.2">
      <c r="A2671" s="76"/>
      <c r="C2671" s="76"/>
    </row>
    <row r="2672" spans="1:3" x14ac:dyDescent="0.2">
      <c r="A2672" s="76"/>
      <c r="C2672" s="76"/>
    </row>
    <row r="2673" spans="1:3" x14ac:dyDescent="0.2">
      <c r="A2673" s="76"/>
      <c r="C2673" s="76"/>
    </row>
    <row r="2674" spans="1:3" x14ac:dyDescent="0.2">
      <c r="A2674" s="76"/>
      <c r="C2674" s="76"/>
    </row>
    <row r="2675" spans="1:3" x14ac:dyDescent="0.2">
      <c r="A2675" s="76"/>
      <c r="C2675" s="76"/>
    </row>
    <row r="2676" spans="1:3" x14ac:dyDescent="0.2">
      <c r="A2676" s="76"/>
      <c r="C2676" s="76"/>
    </row>
    <row r="2677" spans="1:3" x14ac:dyDescent="0.2">
      <c r="A2677" s="76"/>
      <c r="C2677" s="76"/>
    </row>
    <row r="2678" spans="1:3" x14ac:dyDescent="0.2">
      <c r="A2678" s="76"/>
      <c r="C2678" s="76"/>
    </row>
    <row r="2679" spans="1:3" x14ac:dyDescent="0.2">
      <c r="A2679" s="76"/>
      <c r="C2679" s="76"/>
    </row>
    <row r="2680" spans="1:3" x14ac:dyDescent="0.2">
      <c r="A2680" s="76"/>
      <c r="C2680" s="76"/>
    </row>
    <row r="2681" spans="1:3" x14ac:dyDescent="0.2">
      <c r="A2681" s="76"/>
      <c r="C2681" s="76"/>
    </row>
    <row r="2682" spans="1:3" x14ac:dyDescent="0.2">
      <c r="A2682" s="76"/>
      <c r="C2682" s="76"/>
    </row>
    <row r="2683" spans="1:3" x14ac:dyDescent="0.2">
      <c r="A2683" s="76"/>
      <c r="C2683" s="76"/>
    </row>
    <row r="2684" spans="1:3" x14ac:dyDescent="0.2">
      <c r="A2684" s="76"/>
      <c r="C2684" s="76"/>
    </row>
    <row r="2685" spans="1:3" x14ac:dyDescent="0.2">
      <c r="A2685" s="76"/>
      <c r="C2685" s="76"/>
    </row>
    <row r="2686" spans="1:3" x14ac:dyDescent="0.2">
      <c r="A2686" s="76"/>
      <c r="C2686" s="76"/>
    </row>
    <row r="2687" spans="1:3" x14ac:dyDescent="0.2">
      <c r="A2687" s="76"/>
      <c r="C2687" s="76"/>
    </row>
    <row r="2688" spans="1:3" x14ac:dyDescent="0.2">
      <c r="A2688" s="76"/>
      <c r="C2688" s="76"/>
    </row>
    <row r="2689" spans="1:3" x14ac:dyDescent="0.2">
      <c r="A2689" s="76"/>
      <c r="C2689" s="76"/>
    </row>
    <row r="2690" spans="1:3" x14ac:dyDescent="0.2">
      <c r="A2690" s="76"/>
      <c r="C2690" s="76"/>
    </row>
    <row r="2691" spans="1:3" x14ac:dyDescent="0.2">
      <c r="A2691" s="76"/>
      <c r="C2691" s="76"/>
    </row>
    <row r="2692" spans="1:3" x14ac:dyDescent="0.2">
      <c r="A2692" s="76"/>
      <c r="C2692" s="76"/>
    </row>
    <row r="2693" spans="1:3" x14ac:dyDescent="0.2">
      <c r="A2693" s="76"/>
      <c r="C2693" s="76"/>
    </row>
    <row r="2694" spans="1:3" x14ac:dyDescent="0.2">
      <c r="A2694" s="76"/>
      <c r="C2694" s="76"/>
    </row>
    <row r="2695" spans="1:3" x14ac:dyDescent="0.2">
      <c r="A2695" s="76"/>
      <c r="C2695" s="76"/>
    </row>
    <row r="2696" spans="1:3" x14ac:dyDescent="0.2">
      <c r="A2696" s="76"/>
      <c r="C2696" s="76"/>
    </row>
    <row r="2697" spans="1:3" x14ac:dyDescent="0.2">
      <c r="A2697" s="76"/>
      <c r="C2697" s="76"/>
    </row>
    <row r="2698" spans="1:3" x14ac:dyDescent="0.2">
      <c r="A2698" s="76"/>
      <c r="C2698" s="76"/>
    </row>
    <row r="2699" spans="1:3" x14ac:dyDescent="0.2">
      <c r="A2699" s="76"/>
      <c r="C2699" s="76"/>
    </row>
    <row r="2700" spans="1:3" x14ac:dyDescent="0.2">
      <c r="A2700" s="76"/>
      <c r="C2700" s="76"/>
    </row>
    <row r="2701" spans="1:3" x14ac:dyDescent="0.2">
      <c r="A2701" s="76"/>
      <c r="C2701" s="76"/>
    </row>
    <row r="2702" spans="1:3" x14ac:dyDescent="0.2">
      <c r="A2702" s="76"/>
      <c r="C2702" s="76"/>
    </row>
    <row r="2703" spans="1:3" x14ac:dyDescent="0.2">
      <c r="A2703" s="76"/>
      <c r="C2703" s="76"/>
    </row>
    <row r="2704" spans="1:3" x14ac:dyDescent="0.2">
      <c r="A2704" s="76"/>
      <c r="C2704" s="76"/>
    </row>
    <row r="2705" spans="1:3" x14ac:dyDescent="0.2">
      <c r="A2705" s="76"/>
      <c r="C2705" s="76"/>
    </row>
    <row r="2706" spans="1:3" x14ac:dyDescent="0.2">
      <c r="A2706" s="76"/>
      <c r="C2706" s="76"/>
    </row>
    <row r="2707" spans="1:3" x14ac:dyDescent="0.2">
      <c r="A2707" s="76"/>
      <c r="C2707" s="76"/>
    </row>
    <row r="2708" spans="1:3" x14ac:dyDescent="0.2">
      <c r="A2708" s="76"/>
      <c r="C2708" s="76"/>
    </row>
    <row r="2709" spans="1:3" x14ac:dyDescent="0.2">
      <c r="A2709" s="76"/>
      <c r="C2709" s="76"/>
    </row>
    <row r="2710" spans="1:3" x14ac:dyDescent="0.2">
      <c r="A2710" s="76"/>
      <c r="C2710" s="76"/>
    </row>
    <row r="2711" spans="1:3" x14ac:dyDescent="0.2">
      <c r="A2711" s="76"/>
      <c r="C2711" s="76"/>
    </row>
    <row r="2712" spans="1:3" x14ac:dyDescent="0.2">
      <c r="A2712" s="76"/>
      <c r="C2712" s="76"/>
    </row>
    <row r="2713" spans="1:3" x14ac:dyDescent="0.2">
      <c r="A2713" s="76"/>
      <c r="C2713" s="76"/>
    </row>
    <row r="2714" spans="1:3" x14ac:dyDescent="0.2">
      <c r="A2714" s="76"/>
      <c r="C2714" s="76"/>
    </row>
    <row r="2715" spans="1:3" x14ac:dyDescent="0.2">
      <c r="A2715" s="76"/>
      <c r="C2715" s="76"/>
    </row>
    <row r="2716" spans="1:3" x14ac:dyDescent="0.2">
      <c r="A2716" s="76"/>
      <c r="C2716" s="76"/>
    </row>
    <row r="2717" spans="1:3" x14ac:dyDescent="0.2">
      <c r="A2717" s="76"/>
      <c r="C2717" s="76"/>
    </row>
    <row r="2718" spans="1:3" x14ac:dyDescent="0.2">
      <c r="A2718" s="76"/>
      <c r="C2718" s="76"/>
    </row>
    <row r="2719" spans="1:3" x14ac:dyDescent="0.2">
      <c r="A2719" s="76"/>
      <c r="C2719" s="76"/>
    </row>
    <row r="2720" spans="1:3" x14ac:dyDescent="0.2">
      <c r="A2720" s="76"/>
      <c r="C2720" s="76"/>
    </row>
    <row r="2721" spans="1:3" x14ac:dyDescent="0.2">
      <c r="A2721" s="76"/>
      <c r="C2721" s="76"/>
    </row>
    <row r="2722" spans="1:3" x14ac:dyDescent="0.2">
      <c r="A2722" s="76"/>
      <c r="C2722" s="76"/>
    </row>
    <row r="2723" spans="1:3" x14ac:dyDescent="0.2">
      <c r="A2723" s="76"/>
      <c r="C2723" s="76"/>
    </row>
    <row r="2724" spans="1:3" x14ac:dyDescent="0.2">
      <c r="A2724" s="76"/>
      <c r="C2724" s="76"/>
    </row>
    <row r="2725" spans="1:3" x14ac:dyDescent="0.2">
      <c r="A2725" s="76"/>
      <c r="C2725" s="76"/>
    </row>
    <row r="2726" spans="1:3" x14ac:dyDescent="0.2">
      <c r="A2726" s="76"/>
      <c r="C2726" s="76"/>
    </row>
    <row r="2727" spans="1:3" x14ac:dyDescent="0.2">
      <c r="A2727" s="76"/>
      <c r="C2727" s="76"/>
    </row>
    <row r="2728" spans="1:3" x14ac:dyDescent="0.2">
      <c r="A2728" s="76"/>
      <c r="C2728" s="76"/>
    </row>
    <row r="2729" spans="1:3" x14ac:dyDescent="0.2">
      <c r="A2729" s="76"/>
      <c r="C2729" s="76"/>
    </row>
    <row r="2730" spans="1:3" x14ac:dyDescent="0.2">
      <c r="A2730" s="76"/>
      <c r="C2730" s="76"/>
    </row>
    <row r="2731" spans="1:3" x14ac:dyDescent="0.2">
      <c r="A2731" s="76"/>
      <c r="C2731" s="76"/>
    </row>
    <row r="2732" spans="1:3" x14ac:dyDescent="0.2">
      <c r="A2732" s="76"/>
      <c r="C2732" s="76"/>
    </row>
    <row r="2733" spans="1:3" x14ac:dyDescent="0.2">
      <c r="A2733" s="76"/>
      <c r="C2733" s="76"/>
    </row>
    <row r="2734" spans="1:3" x14ac:dyDescent="0.2">
      <c r="A2734" s="76"/>
      <c r="C2734" s="76"/>
    </row>
    <row r="2735" spans="1:3" x14ac:dyDescent="0.2">
      <c r="A2735" s="76"/>
      <c r="C2735" s="76"/>
    </row>
    <row r="2736" spans="1:3" x14ac:dyDescent="0.2">
      <c r="A2736" s="76"/>
      <c r="C2736" s="76"/>
    </row>
    <row r="2737" spans="1:3" x14ac:dyDescent="0.2">
      <c r="A2737" s="76"/>
      <c r="C2737" s="76"/>
    </row>
    <row r="2738" spans="1:3" x14ac:dyDescent="0.2">
      <c r="A2738" s="76"/>
      <c r="C2738" s="76"/>
    </row>
    <row r="2739" spans="1:3" x14ac:dyDescent="0.2">
      <c r="A2739" s="76"/>
      <c r="C2739" s="76"/>
    </row>
    <row r="2740" spans="1:3" x14ac:dyDescent="0.2">
      <c r="A2740" s="76"/>
      <c r="C2740" s="76"/>
    </row>
    <row r="2741" spans="1:3" x14ac:dyDescent="0.2">
      <c r="A2741" s="76"/>
      <c r="C2741" s="76"/>
    </row>
    <row r="2742" spans="1:3" x14ac:dyDescent="0.2">
      <c r="A2742" s="76"/>
      <c r="C2742" s="76"/>
    </row>
    <row r="2743" spans="1:3" x14ac:dyDescent="0.2">
      <c r="A2743" s="76"/>
      <c r="C2743" s="76"/>
    </row>
    <row r="2744" spans="1:3" x14ac:dyDescent="0.2">
      <c r="A2744" s="76"/>
      <c r="C2744" s="76"/>
    </row>
    <row r="2745" spans="1:3" x14ac:dyDescent="0.2">
      <c r="A2745" s="76"/>
      <c r="C2745" s="76"/>
    </row>
    <row r="2746" spans="1:3" x14ac:dyDescent="0.2">
      <c r="A2746" s="76"/>
      <c r="C2746" s="76"/>
    </row>
    <row r="2747" spans="1:3" x14ac:dyDescent="0.2">
      <c r="A2747" s="76"/>
      <c r="C2747" s="76"/>
    </row>
    <row r="2748" spans="1:3" x14ac:dyDescent="0.2">
      <c r="A2748" s="76"/>
      <c r="C2748" s="76"/>
    </row>
    <row r="2749" spans="1:3" x14ac:dyDescent="0.2">
      <c r="A2749" s="76"/>
      <c r="C2749" s="76"/>
    </row>
    <row r="2750" spans="1:3" x14ac:dyDescent="0.2">
      <c r="A2750" s="76"/>
      <c r="C2750" s="76"/>
    </row>
    <row r="2751" spans="1:3" x14ac:dyDescent="0.2">
      <c r="A2751" s="76"/>
      <c r="C2751" s="76"/>
    </row>
    <row r="2752" spans="1:3" x14ac:dyDescent="0.2">
      <c r="A2752" s="76"/>
      <c r="C2752" s="76"/>
    </row>
    <row r="2753" spans="1:3" x14ac:dyDescent="0.2">
      <c r="A2753" s="76"/>
      <c r="C2753" s="76"/>
    </row>
    <row r="2754" spans="1:3" x14ac:dyDescent="0.2">
      <c r="A2754" s="76"/>
      <c r="C2754" s="76"/>
    </row>
    <row r="2755" spans="1:3" x14ac:dyDescent="0.2">
      <c r="A2755" s="76"/>
      <c r="C2755" s="76"/>
    </row>
    <row r="2756" spans="1:3" x14ac:dyDescent="0.2">
      <c r="A2756" s="76"/>
      <c r="C2756" s="76"/>
    </row>
    <row r="2757" spans="1:3" x14ac:dyDescent="0.2">
      <c r="A2757" s="76"/>
      <c r="C2757" s="76"/>
    </row>
    <row r="2758" spans="1:3" x14ac:dyDescent="0.2">
      <c r="A2758" s="76"/>
      <c r="C2758" s="76"/>
    </row>
    <row r="2759" spans="1:3" x14ac:dyDescent="0.2">
      <c r="A2759" s="76"/>
      <c r="C2759" s="76"/>
    </row>
    <row r="2760" spans="1:3" x14ac:dyDescent="0.2">
      <c r="A2760" s="76"/>
      <c r="C2760" s="76"/>
    </row>
    <row r="2761" spans="1:3" x14ac:dyDescent="0.2">
      <c r="A2761" s="76"/>
      <c r="C2761" s="76"/>
    </row>
    <row r="2762" spans="1:3" x14ac:dyDescent="0.2">
      <c r="A2762" s="76"/>
      <c r="C2762" s="76"/>
    </row>
    <row r="2763" spans="1:3" x14ac:dyDescent="0.2">
      <c r="A2763" s="76"/>
      <c r="C2763" s="76"/>
    </row>
    <row r="2764" spans="1:3" x14ac:dyDescent="0.2">
      <c r="A2764" s="76"/>
      <c r="C2764" s="76"/>
    </row>
    <row r="2765" spans="1:3" x14ac:dyDescent="0.2">
      <c r="A2765" s="76"/>
      <c r="C2765" s="76"/>
    </row>
    <row r="2766" spans="1:3" x14ac:dyDescent="0.2">
      <c r="A2766" s="76"/>
      <c r="C2766" s="76"/>
    </row>
    <row r="2767" spans="1:3" x14ac:dyDescent="0.2">
      <c r="A2767" s="76"/>
      <c r="C2767" s="76"/>
    </row>
    <row r="2768" spans="1:3" x14ac:dyDescent="0.2">
      <c r="A2768" s="76"/>
      <c r="C2768" s="76"/>
    </row>
    <row r="2769" spans="1:3" x14ac:dyDescent="0.2">
      <c r="A2769" s="76"/>
      <c r="C2769" s="76"/>
    </row>
    <row r="2770" spans="1:3" x14ac:dyDescent="0.2">
      <c r="A2770" s="76"/>
      <c r="C2770" s="76"/>
    </row>
    <row r="2771" spans="1:3" x14ac:dyDescent="0.2">
      <c r="A2771" s="76"/>
      <c r="C2771" s="76"/>
    </row>
    <row r="2772" spans="1:3" x14ac:dyDescent="0.2">
      <c r="A2772" s="76"/>
      <c r="C2772" s="76"/>
    </row>
    <row r="2773" spans="1:3" x14ac:dyDescent="0.2">
      <c r="A2773" s="76"/>
      <c r="C2773" s="76"/>
    </row>
    <row r="2774" spans="1:3" x14ac:dyDescent="0.2">
      <c r="A2774" s="76"/>
      <c r="C2774" s="76"/>
    </row>
    <row r="2775" spans="1:3" x14ac:dyDescent="0.2">
      <c r="A2775" s="76"/>
      <c r="C2775" s="76"/>
    </row>
    <row r="2776" spans="1:3" x14ac:dyDescent="0.2">
      <c r="A2776" s="76"/>
      <c r="C2776" s="76"/>
    </row>
    <row r="2777" spans="1:3" x14ac:dyDescent="0.2">
      <c r="A2777" s="76"/>
      <c r="C2777" s="76"/>
    </row>
    <row r="2778" spans="1:3" x14ac:dyDescent="0.2">
      <c r="A2778" s="76"/>
      <c r="C2778" s="76"/>
    </row>
    <row r="2779" spans="1:3" x14ac:dyDescent="0.2">
      <c r="A2779" s="76"/>
      <c r="C2779" s="76"/>
    </row>
    <row r="2780" spans="1:3" x14ac:dyDescent="0.2">
      <c r="A2780" s="76"/>
      <c r="C2780" s="76"/>
    </row>
    <row r="2781" spans="1:3" x14ac:dyDescent="0.2">
      <c r="A2781" s="76"/>
      <c r="C2781" s="76"/>
    </row>
    <row r="2782" spans="1:3" x14ac:dyDescent="0.2">
      <c r="A2782" s="76"/>
      <c r="C2782" s="76"/>
    </row>
    <row r="2783" spans="1:3" x14ac:dyDescent="0.2">
      <c r="A2783" s="76"/>
      <c r="C2783" s="76"/>
    </row>
    <row r="2784" spans="1:3" x14ac:dyDescent="0.2">
      <c r="A2784" s="76"/>
      <c r="C2784" s="76"/>
    </row>
    <row r="2785" spans="1:3" x14ac:dyDescent="0.2">
      <c r="A2785" s="76"/>
      <c r="C2785" s="76"/>
    </row>
    <row r="2786" spans="1:3" x14ac:dyDescent="0.2">
      <c r="A2786" s="76"/>
      <c r="C2786" s="76"/>
    </row>
    <row r="2787" spans="1:3" x14ac:dyDescent="0.2">
      <c r="A2787" s="76"/>
      <c r="C2787" s="76"/>
    </row>
    <row r="2788" spans="1:3" x14ac:dyDescent="0.2">
      <c r="A2788" s="76"/>
      <c r="C2788" s="76"/>
    </row>
    <row r="2789" spans="1:3" x14ac:dyDescent="0.2">
      <c r="A2789" s="76"/>
      <c r="C2789" s="76"/>
    </row>
    <row r="2790" spans="1:3" x14ac:dyDescent="0.2">
      <c r="A2790" s="76"/>
      <c r="C2790" s="76"/>
    </row>
    <row r="2791" spans="1:3" x14ac:dyDescent="0.2">
      <c r="A2791" s="76"/>
      <c r="C2791" s="76"/>
    </row>
    <row r="2792" spans="1:3" x14ac:dyDescent="0.2">
      <c r="A2792" s="76"/>
      <c r="C2792" s="76"/>
    </row>
    <row r="2793" spans="1:3" x14ac:dyDescent="0.2">
      <c r="A2793" s="76"/>
      <c r="C2793" s="76"/>
    </row>
    <row r="2794" spans="1:3" x14ac:dyDescent="0.2">
      <c r="A2794" s="76"/>
      <c r="C2794" s="76"/>
    </row>
    <row r="2795" spans="1:3" x14ac:dyDescent="0.2">
      <c r="A2795" s="76"/>
      <c r="C2795" s="76"/>
    </row>
    <row r="2796" spans="1:3" x14ac:dyDescent="0.2">
      <c r="A2796" s="76"/>
      <c r="C2796" s="76"/>
    </row>
    <row r="2797" spans="1:3" x14ac:dyDescent="0.2">
      <c r="A2797" s="76"/>
      <c r="C2797" s="76"/>
    </row>
    <row r="2798" spans="1:3" x14ac:dyDescent="0.2">
      <c r="A2798" s="76"/>
      <c r="C2798" s="76"/>
    </row>
    <row r="2799" spans="1:3" x14ac:dyDescent="0.2">
      <c r="A2799" s="76"/>
      <c r="C2799" s="76"/>
    </row>
    <row r="2800" spans="1:3" x14ac:dyDescent="0.2">
      <c r="A2800" s="76"/>
      <c r="C2800" s="76"/>
    </row>
    <row r="2801" spans="1:3" x14ac:dyDescent="0.2">
      <c r="A2801" s="76"/>
      <c r="C2801" s="76"/>
    </row>
    <row r="2802" spans="1:3" x14ac:dyDescent="0.2">
      <c r="A2802" s="76"/>
      <c r="C2802" s="76"/>
    </row>
    <row r="2803" spans="1:3" x14ac:dyDescent="0.2">
      <c r="A2803" s="76"/>
      <c r="C2803" s="76"/>
    </row>
    <row r="2804" spans="1:3" x14ac:dyDescent="0.2">
      <c r="A2804" s="76"/>
      <c r="C2804" s="76"/>
    </row>
    <row r="2805" spans="1:3" x14ac:dyDescent="0.2">
      <c r="A2805" s="76"/>
      <c r="C2805" s="76"/>
    </row>
    <row r="2806" spans="1:3" x14ac:dyDescent="0.2">
      <c r="A2806" s="76"/>
      <c r="C2806" s="76"/>
    </row>
    <row r="2807" spans="1:3" x14ac:dyDescent="0.2">
      <c r="A2807" s="76"/>
      <c r="C2807" s="76"/>
    </row>
    <row r="2808" spans="1:3" x14ac:dyDescent="0.2">
      <c r="A2808" s="76"/>
      <c r="C2808" s="76"/>
    </row>
    <row r="2809" spans="1:3" x14ac:dyDescent="0.2">
      <c r="A2809" s="76"/>
      <c r="C2809" s="76"/>
    </row>
    <row r="2810" spans="1:3" x14ac:dyDescent="0.2">
      <c r="A2810" s="76"/>
      <c r="C2810" s="76"/>
    </row>
    <row r="2811" spans="1:3" x14ac:dyDescent="0.2">
      <c r="A2811" s="76"/>
      <c r="C2811" s="76"/>
    </row>
    <row r="2812" spans="1:3" x14ac:dyDescent="0.2">
      <c r="A2812" s="76"/>
      <c r="C2812" s="76"/>
    </row>
    <row r="2813" spans="1:3" x14ac:dyDescent="0.2">
      <c r="A2813" s="76"/>
      <c r="C2813" s="76"/>
    </row>
    <row r="2814" spans="1:3" x14ac:dyDescent="0.2">
      <c r="A2814" s="76"/>
      <c r="C2814" s="76"/>
    </row>
    <row r="2815" spans="1:3" x14ac:dyDescent="0.2">
      <c r="A2815" s="76"/>
      <c r="C2815" s="76"/>
    </row>
    <row r="2816" spans="1:3" x14ac:dyDescent="0.2">
      <c r="A2816" s="76"/>
      <c r="C2816" s="76"/>
    </row>
    <row r="2817" spans="1:3" x14ac:dyDescent="0.2">
      <c r="A2817" s="76"/>
      <c r="C2817" s="76"/>
    </row>
    <row r="2818" spans="1:3" x14ac:dyDescent="0.2">
      <c r="A2818" s="76"/>
      <c r="C2818" s="76"/>
    </row>
    <row r="2819" spans="1:3" x14ac:dyDescent="0.2">
      <c r="A2819" s="76"/>
      <c r="C2819" s="76"/>
    </row>
    <row r="2820" spans="1:3" x14ac:dyDescent="0.2">
      <c r="A2820" s="76"/>
      <c r="C2820" s="76"/>
    </row>
    <row r="2821" spans="1:3" x14ac:dyDescent="0.2">
      <c r="A2821" s="76"/>
      <c r="C2821" s="76"/>
    </row>
    <row r="2822" spans="1:3" x14ac:dyDescent="0.2">
      <c r="A2822" s="76"/>
      <c r="C2822" s="76"/>
    </row>
    <row r="2823" spans="1:3" x14ac:dyDescent="0.2">
      <c r="A2823" s="76"/>
      <c r="C2823" s="76"/>
    </row>
    <row r="2824" spans="1:3" x14ac:dyDescent="0.2">
      <c r="A2824" s="76"/>
      <c r="C2824" s="76"/>
    </row>
    <row r="2825" spans="1:3" x14ac:dyDescent="0.2">
      <c r="A2825" s="76"/>
      <c r="C2825" s="76"/>
    </row>
    <row r="2826" spans="1:3" x14ac:dyDescent="0.2">
      <c r="A2826" s="76"/>
      <c r="C2826" s="76"/>
    </row>
    <row r="2827" spans="1:3" x14ac:dyDescent="0.2">
      <c r="A2827" s="76"/>
      <c r="C2827" s="76"/>
    </row>
    <row r="2828" spans="1:3" x14ac:dyDescent="0.2">
      <c r="A2828" s="76"/>
      <c r="C2828" s="76"/>
    </row>
    <row r="2829" spans="1:3" x14ac:dyDescent="0.2">
      <c r="A2829" s="76"/>
      <c r="C2829" s="76"/>
    </row>
    <row r="2830" spans="1:3" x14ac:dyDescent="0.2">
      <c r="A2830" s="76"/>
      <c r="C2830" s="76"/>
    </row>
    <row r="2831" spans="1:3" x14ac:dyDescent="0.2">
      <c r="A2831" s="76"/>
      <c r="C2831" s="76"/>
    </row>
    <row r="2832" spans="1:3" x14ac:dyDescent="0.2">
      <c r="A2832" s="76"/>
      <c r="C2832" s="76"/>
    </row>
    <row r="2833" spans="1:3" x14ac:dyDescent="0.2">
      <c r="A2833" s="76"/>
      <c r="C2833" s="76"/>
    </row>
    <row r="2834" spans="1:3" x14ac:dyDescent="0.2">
      <c r="A2834" s="76"/>
      <c r="C2834" s="76"/>
    </row>
    <row r="2835" spans="1:3" x14ac:dyDescent="0.2">
      <c r="A2835" s="76"/>
      <c r="C2835" s="76"/>
    </row>
    <row r="2836" spans="1:3" x14ac:dyDescent="0.2">
      <c r="A2836" s="76"/>
      <c r="C2836" s="76"/>
    </row>
    <row r="2837" spans="1:3" x14ac:dyDescent="0.2">
      <c r="A2837" s="76"/>
      <c r="C2837" s="76"/>
    </row>
    <row r="2838" spans="1:3" x14ac:dyDescent="0.2">
      <c r="A2838" s="76"/>
      <c r="C2838" s="76"/>
    </row>
    <row r="2839" spans="1:3" x14ac:dyDescent="0.2">
      <c r="A2839" s="76"/>
      <c r="C2839" s="76"/>
    </row>
    <row r="2840" spans="1:3" x14ac:dyDescent="0.2">
      <c r="A2840" s="76"/>
      <c r="C2840" s="76"/>
    </row>
    <row r="2841" spans="1:3" x14ac:dyDescent="0.2">
      <c r="A2841" s="76"/>
      <c r="C2841" s="76"/>
    </row>
    <row r="2842" spans="1:3" x14ac:dyDescent="0.2">
      <c r="A2842" s="76"/>
      <c r="C2842" s="76"/>
    </row>
    <row r="2843" spans="1:3" x14ac:dyDescent="0.2">
      <c r="A2843" s="76"/>
      <c r="C2843" s="76"/>
    </row>
    <row r="2844" spans="1:3" x14ac:dyDescent="0.2">
      <c r="A2844" s="76"/>
      <c r="C2844" s="76"/>
    </row>
    <row r="2845" spans="1:3" x14ac:dyDescent="0.2">
      <c r="A2845" s="76"/>
      <c r="C2845" s="76"/>
    </row>
    <row r="2846" spans="1:3" x14ac:dyDescent="0.2">
      <c r="A2846" s="76"/>
      <c r="C2846" s="76"/>
    </row>
    <row r="2847" spans="1:3" x14ac:dyDescent="0.2">
      <c r="A2847" s="76"/>
      <c r="C2847" s="76"/>
    </row>
    <row r="2848" spans="1:3" x14ac:dyDescent="0.2">
      <c r="A2848" s="76"/>
      <c r="C2848" s="76"/>
    </row>
    <row r="2849" spans="1:3" x14ac:dyDescent="0.2">
      <c r="A2849" s="76"/>
      <c r="C2849" s="76"/>
    </row>
    <row r="2850" spans="1:3" x14ac:dyDescent="0.2">
      <c r="A2850" s="76"/>
      <c r="C2850" s="76"/>
    </row>
    <row r="2851" spans="1:3" x14ac:dyDescent="0.2">
      <c r="A2851" s="76"/>
      <c r="C2851" s="76"/>
    </row>
    <row r="2852" spans="1:3" x14ac:dyDescent="0.2">
      <c r="A2852" s="76"/>
      <c r="C2852" s="76"/>
    </row>
    <row r="2853" spans="1:3" x14ac:dyDescent="0.2">
      <c r="A2853" s="76"/>
      <c r="C2853" s="76"/>
    </row>
    <row r="2854" spans="1:3" x14ac:dyDescent="0.2">
      <c r="A2854" s="76"/>
      <c r="C2854" s="76"/>
    </row>
    <row r="2855" spans="1:3" x14ac:dyDescent="0.2">
      <c r="A2855" s="76"/>
      <c r="C2855" s="76"/>
    </row>
    <row r="2856" spans="1:3" x14ac:dyDescent="0.2">
      <c r="A2856" s="76"/>
      <c r="C2856" s="76"/>
    </row>
    <row r="2857" spans="1:3" x14ac:dyDescent="0.2">
      <c r="A2857" s="76"/>
      <c r="C2857" s="76"/>
    </row>
    <row r="2858" spans="1:3" x14ac:dyDescent="0.2">
      <c r="A2858" s="76"/>
      <c r="C2858" s="76"/>
    </row>
    <row r="2859" spans="1:3" x14ac:dyDescent="0.2">
      <c r="A2859" s="76"/>
      <c r="C2859" s="76"/>
    </row>
    <row r="2860" spans="1:3" x14ac:dyDescent="0.2">
      <c r="A2860" s="76"/>
      <c r="C2860" s="76"/>
    </row>
    <row r="2861" spans="1:3" x14ac:dyDescent="0.2">
      <c r="A2861" s="76"/>
      <c r="C2861" s="76"/>
    </row>
    <row r="2862" spans="1:3" x14ac:dyDescent="0.2">
      <c r="A2862" s="76"/>
      <c r="C2862" s="76"/>
    </row>
    <row r="2863" spans="1:3" x14ac:dyDescent="0.2">
      <c r="A2863" s="76"/>
      <c r="C2863" s="76"/>
    </row>
    <row r="2864" spans="1:3" x14ac:dyDescent="0.2">
      <c r="A2864" s="76"/>
      <c r="C2864" s="76"/>
    </row>
    <row r="2865" spans="1:3" x14ac:dyDescent="0.2">
      <c r="A2865" s="76"/>
      <c r="C2865" s="76"/>
    </row>
    <row r="2866" spans="1:3" x14ac:dyDescent="0.2">
      <c r="A2866" s="76"/>
      <c r="C2866" s="76"/>
    </row>
    <row r="2867" spans="1:3" x14ac:dyDescent="0.2">
      <c r="A2867" s="76"/>
      <c r="C2867" s="76"/>
    </row>
    <row r="2868" spans="1:3" x14ac:dyDescent="0.2">
      <c r="A2868" s="76"/>
      <c r="C2868" s="76"/>
    </row>
    <row r="2869" spans="1:3" x14ac:dyDescent="0.2">
      <c r="A2869" s="76"/>
      <c r="C2869" s="76"/>
    </row>
    <row r="2870" spans="1:3" x14ac:dyDescent="0.2">
      <c r="A2870" s="76"/>
      <c r="C2870" s="76"/>
    </row>
    <row r="2871" spans="1:3" x14ac:dyDescent="0.2">
      <c r="A2871" s="76"/>
      <c r="C2871" s="76"/>
    </row>
    <row r="2872" spans="1:3" x14ac:dyDescent="0.2">
      <c r="A2872" s="76"/>
      <c r="C2872" s="76"/>
    </row>
    <row r="2873" spans="1:3" x14ac:dyDescent="0.2">
      <c r="A2873" s="76"/>
      <c r="C2873" s="76"/>
    </row>
    <row r="2874" spans="1:3" x14ac:dyDescent="0.2">
      <c r="A2874" s="76"/>
      <c r="C2874" s="76"/>
    </row>
    <row r="2875" spans="1:3" x14ac:dyDescent="0.2">
      <c r="A2875" s="76"/>
      <c r="C2875" s="76"/>
    </row>
    <row r="2876" spans="1:3" x14ac:dyDescent="0.2">
      <c r="A2876" s="76"/>
      <c r="C2876" s="76"/>
    </row>
    <row r="2877" spans="1:3" x14ac:dyDescent="0.2">
      <c r="A2877" s="76"/>
      <c r="C2877" s="76"/>
    </row>
    <row r="2878" spans="1:3" x14ac:dyDescent="0.2">
      <c r="A2878" s="76"/>
      <c r="C2878" s="76"/>
    </row>
    <row r="2879" spans="1:3" x14ac:dyDescent="0.2">
      <c r="A2879" s="76"/>
      <c r="C2879" s="76"/>
    </row>
    <row r="2880" spans="1:3" x14ac:dyDescent="0.2">
      <c r="A2880" s="76"/>
      <c r="C2880" s="76"/>
    </row>
    <row r="2881" spans="1:3" x14ac:dyDescent="0.2">
      <c r="A2881" s="76"/>
      <c r="C2881" s="76"/>
    </row>
    <row r="2882" spans="1:3" x14ac:dyDescent="0.2">
      <c r="A2882" s="76"/>
      <c r="C2882" s="76"/>
    </row>
    <row r="2883" spans="1:3" x14ac:dyDescent="0.2">
      <c r="A2883" s="76"/>
      <c r="C2883" s="76"/>
    </row>
    <row r="2884" spans="1:3" x14ac:dyDescent="0.2">
      <c r="A2884" s="76"/>
      <c r="C2884" s="76"/>
    </row>
    <row r="2885" spans="1:3" x14ac:dyDescent="0.2">
      <c r="A2885" s="76"/>
      <c r="C2885" s="76"/>
    </row>
    <row r="2886" spans="1:3" x14ac:dyDescent="0.2">
      <c r="A2886" s="76"/>
      <c r="C2886" s="76"/>
    </row>
    <row r="2887" spans="1:3" x14ac:dyDescent="0.2">
      <c r="A2887" s="76"/>
      <c r="C2887" s="76"/>
    </row>
    <row r="2888" spans="1:3" x14ac:dyDescent="0.2">
      <c r="A2888" s="76"/>
      <c r="C2888" s="76"/>
    </row>
    <row r="2889" spans="1:3" x14ac:dyDescent="0.2">
      <c r="A2889" s="76"/>
      <c r="C2889" s="76"/>
    </row>
    <row r="2890" spans="1:3" x14ac:dyDescent="0.2">
      <c r="A2890" s="76"/>
      <c r="C2890" s="76"/>
    </row>
    <row r="2891" spans="1:3" x14ac:dyDescent="0.2">
      <c r="A2891" s="76"/>
      <c r="C2891" s="76"/>
    </row>
    <row r="2892" spans="1:3" x14ac:dyDescent="0.2">
      <c r="A2892" s="76"/>
      <c r="C2892" s="76"/>
    </row>
    <row r="2893" spans="1:3" x14ac:dyDescent="0.2">
      <c r="A2893" s="76"/>
      <c r="C2893" s="76"/>
    </row>
    <row r="2894" spans="1:3" x14ac:dyDescent="0.2">
      <c r="A2894" s="76"/>
      <c r="C2894" s="76"/>
    </row>
    <row r="2895" spans="1:3" x14ac:dyDescent="0.2">
      <c r="A2895" s="76"/>
      <c r="C2895" s="76"/>
    </row>
    <row r="2896" spans="1:3" x14ac:dyDescent="0.2">
      <c r="A2896" s="76"/>
      <c r="C2896" s="76"/>
    </row>
    <row r="2897" spans="1:3" x14ac:dyDescent="0.2">
      <c r="A2897" s="76"/>
      <c r="C2897" s="76"/>
    </row>
    <row r="2898" spans="1:3" x14ac:dyDescent="0.2">
      <c r="A2898" s="76"/>
      <c r="C2898" s="76"/>
    </row>
    <row r="2899" spans="1:3" x14ac:dyDescent="0.2">
      <c r="A2899" s="76"/>
      <c r="C2899" s="76"/>
    </row>
    <row r="2900" spans="1:3" x14ac:dyDescent="0.2">
      <c r="A2900" s="76"/>
      <c r="C2900" s="76"/>
    </row>
    <row r="2901" spans="1:3" x14ac:dyDescent="0.2">
      <c r="A2901" s="76"/>
      <c r="C2901" s="76"/>
    </row>
    <row r="2902" spans="1:3" x14ac:dyDescent="0.2">
      <c r="A2902" s="76"/>
      <c r="C2902" s="76"/>
    </row>
    <row r="2903" spans="1:3" x14ac:dyDescent="0.2">
      <c r="A2903" s="76"/>
      <c r="C2903" s="76"/>
    </row>
    <row r="2904" spans="1:3" x14ac:dyDescent="0.2">
      <c r="A2904" s="76"/>
      <c r="C2904" s="76"/>
    </row>
    <row r="2905" spans="1:3" x14ac:dyDescent="0.2">
      <c r="A2905" s="76"/>
      <c r="C2905" s="76"/>
    </row>
    <row r="2906" spans="1:3" x14ac:dyDescent="0.2">
      <c r="A2906" s="76"/>
      <c r="C2906" s="76"/>
    </row>
    <row r="2907" spans="1:3" x14ac:dyDescent="0.2">
      <c r="A2907" s="76"/>
      <c r="C2907" s="76"/>
    </row>
    <row r="2908" spans="1:3" x14ac:dyDescent="0.2">
      <c r="A2908" s="76"/>
      <c r="C2908" s="76"/>
    </row>
    <row r="2909" spans="1:3" x14ac:dyDescent="0.2">
      <c r="A2909" s="76"/>
      <c r="C2909" s="76"/>
    </row>
    <row r="2910" spans="1:3" x14ac:dyDescent="0.2">
      <c r="A2910" s="76"/>
      <c r="C2910" s="76"/>
    </row>
    <row r="2911" spans="1:3" x14ac:dyDescent="0.2">
      <c r="A2911" s="76"/>
      <c r="C2911" s="76"/>
    </row>
    <row r="2912" spans="1:3" x14ac:dyDescent="0.2">
      <c r="A2912" s="76"/>
      <c r="C2912" s="76"/>
    </row>
    <row r="2913" spans="1:3" x14ac:dyDescent="0.2">
      <c r="A2913" s="76"/>
      <c r="C2913" s="76"/>
    </row>
    <row r="2914" spans="1:3" x14ac:dyDescent="0.2">
      <c r="A2914" s="76"/>
      <c r="C2914" s="76"/>
    </row>
    <row r="2915" spans="1:3" x14ac:dyDescent="0.2">
      <c r="A2915" s="76"/>
      <c r="C2915" s="76"/>
    </row>
    <row r="2916" spans="1:3" x14ac:dyDescent="0.2">
      <c r="A2916" s="76"/>
      <c r="C2916" s="76"/>
    </row>
    <row r="2917" spans="1:3" x14ac:dyDescent="0.2">
      <c r="A2917" s="76"/>
      <c r="C2917" s="76"/>
    </row>
    <row r="2918" spans="1:3" x14ac:dyDescent="0.2">
      <c r="A2918" s="76"/>
      <c r="C2918" s="76"/>
    </row>
    <row r="2919" spans="1:3" x14ac:dyDescent="0.2">
      <c r="A2919" s="76"/>
      <c r="C2919" s="76"/>
    </row>
    <row r="2920" spans="1:3" x14ac:dyDescent="0.2">
      <c r="A2920" s="76"/>
      <c r="C2920" s="76"/>
    </row>
    <row r="2921" spans="1:3" x14ac:dyDescent="0.2">
      <c r="A2921" s="76"/>
      <c r="C2921" s="76"/>
    </row>
    <row r="2922" spans="1:3" x14ac:dyDescent="0.2">
      <c r="A2922" s="76"/>
      <c r="C2922" s="76"/>
    </row>
    <row r="2923" spans="1:3" x14ac:dyDescent="0.2">
      <c r="A2923" s="76"/>
      <c r="C2923" s="76"/>
    </row>
    <row r="2924" spans="1:3" x14ac:dyDescent="0.2">
      <c r="A2924" s="76"/>
      <c r="C2924" s="76"/>
    </row>
    <row r="2925" spans="1:3" x14ac:dyDescent="0.2">
      <c r="A2925" s="76"/>
      <c r="C2925" s="76"/>
    </row>
    <row r="2926" spans="1:3" x14ac:dyDescent="0.2">
      <c r="A2926" s="76"/>
      <c r="C2926" s="76"/>
    </row>
    <row r="2927" spans="1:3" x14ac:dyDescent="0.2">
      <c r="A2927" s="76"/>
      <c r="C2927" s="76"/>
    </row>
    <row r="2928" spans="1:3" x14ac:dyDescent="0.2">
      <c r="A2928" s="76"/>
      <c r="C2928" s="76"/>
    </row>
    <row r="2929" spans="1:3" x14ac:dyDescent="0.2">
      <c r="A2929" s="76"/>
      <c r="C2929" s="76"/>
    </row>
    <row r="2930" spans="1:3" x14ac:dyDescent="0.2">
      <c r="A2930" s="76"/>
      <c r="C2930" s="76"/>
    </row>
    <row r="2931" spans="1:3" x14ac:dyDescent="0.2">
      <c r="A2931" s="76"/>
      <c r="C2931" s="76"/>
    </row>
    <row r="2932" spans="1:3" x14ac:dyDescent="0.2">
      <c r="A2932" s="76"/>
      <c r="C2932" s="76"/>
    </row>
    <row r="2933" spans="1:3" x14ac:dyDescent="0.2">
      <c r="A2933" s="76"/>
      <c r="C2933" s="76"/>
    </row>
    <row r="2934" spans="1:3" x14ac:dyDescent="0.2">
      <c r="A2934" s="76"/>
      <c r="C2934" s="76"/>
    </row>
    <row r="2935" spans="1:3" x14ac:dyDescent="0.2">
      <c r="A2935" s="76"/>
      <c r="C2935" s="76"/>
    </row>
    <row r="2936" spans="1:3" x14ac:dyDescent="0.2">
      <c r="A2936" s="76"/>
      <c r="C2936" s="76"/>
    </row>
    <row r="2937" spans="1:3" x14ac:dyDescent="0.2">
      <c r="A2937" s="76"/>
      <c r="C2937" s="76"/>
    </row>
    <row r="2938" spans="1:3" x14ac:dyDescent="0.2">
      <c r="A2938" s="76"/>
      <c r="C2938" s="76"/>
    </row>
    <row r="2939" spans="1:3" x14ac:dyDescent="0.2">
      <c r="A2939" s="76"/>
      <c r="C2939" s="76"/>
    </row>
    <row r="2940" spans="1:3" x14ac:dyDescent="0.2">
      <c r="A2940" s="76"/>
      <c r="C2940" s="76"/>
    </row>
    <row r="2941" spans="1:3" x14ac:dyDescent="0.2">
      <c r="A2941" s="76"/>
      <c r="C2941" s="76"/>
    </row>
    <row r="2942" spans="1:3" x14ac:dyDescent="0.2">
      <c r="A2942" s="76"/>
      <c r="C2942" s="76"/>
    </row>
    <row r="2943" spans="1:3" x14ac:dyDescent="0.2">
      <c r="A2943" s="76"/>
      <c r="C2943" s="76"/>
    </row>
    <row r="2944" spans="1:3" x14ac:dyDescent="0.2">
      <c r="A2944" s="76"/>
      <c r="C2944" s="76"/>
    </row>
    <row r="2945" spans="1:3" x14ac:dyDescent="0.2">
      <c r="A2945" s="76"/>
      <c r="C2945" s="76"/>
    </row>
    <row r="2946" spans="1:3" x14ac:dyDescent="0.2">
      <c r="A2946" s="76"/>
      <c r="C2946" s="76"/>
    </row>
    <row r="2947" spans="1:3" x14ac:dyDescent="0.2">
      <c r="A2947" s="76"/>
      <c r="C2947" s="76"/>
    </row>
    <row r="2948" spans="1:3" x14ac:dyDescent="0.2">
      <c r="A2948" s="76"/>
      <c r="C2948" s="76"/>
    </row>
    <row r="2949" spans="1:3" x14ac:dyDescent="0.2">
      <c r="A2949" s="76"/>
      <c r="C2949" s="76"/>
    </row>
    <row r="2950" spans="1:3" x14ac:dyDescent="0.2">
      <c r="A2950" s="76"/>
      <c r="C2950" s="76"/>
    </row>
    <row r="2951" spans="1:3" x14ac:dyDescent="0.2">
      <c r="A2951" s="76"/>
      <c r="C2951" s="76"/>
    </row>
    <row r="2952" spans="1:3" x14ac:dyDescent="0.2">
      <c r="A2952" s="76"/>
      <c r="C2952" s="76"/>
    </row>
    <row r="2953" spans="1:3" x14ac:dyDescent="0.2">
      <c r="A2953" s="76"/>
      <c r="C2953" s="76"/>
    </row>
    <row r="2954" spans="1:3" x14ac:dyDescent="0.2">
      <c r="A2954" s="76"/>
      <c r="C2954" s="76"/>
    </row>
    <row r="2955" spans="1:3" x14ac:dyDescent="0.2">
      <c r="A2955" s="76"/>
      <c r="C2955" s="76"/>
    </row>
    <row r="2956" spans="1:3" x14ac:dyDescent="0.2">
      <c r="A2956" s="76"/>
      <c r="C2956" s="76"/>
    </row>
    <row r="2957" spans="1:3" x14ac:dyDescent="0.2">
      <c r="A2957" s="76"/>
      <c r="C2957" s="76"/>
    </row>
    <row r="2958" spans="1:3" x14ac:dyDescent="0.2">
      <c r="A2958" s="76"/>
      <c r="C2958" s="76"/>
    </row>
    <row r="2959" spans="1:3" x14ac:dyDescent="0.2">
      <c r="A2959" s="76"/>
      <c r="C2959" s="76"/>
    </row>
    <row r="2960" spans="1:3" x14ac:dyDescent="0.2">
      <c r="A2960" s="76"/>
      <c r="C2960" s="76"/>
    </row>
    <row r="2961" spans="1:3" x14ac:dyDescent="0.2">
      <c r="A2961" s="76"/>
      <c r="C2961" s="76"/>
    </row>
    <row r="2962" spans="1:3" x14ac:dyDescent="0.2">
      <c r="A2962" s="76"/>
      <c r="C2962" s="76"/>
    </row>
    <row r="2963" spans="1:3" x14ac:dyDescent="0.2">
      <c r="A2963" s="76"/>
      <c r="C2963" s="76"/>
    </row>
    <row r="2964" spans="1:3" x14ac:dyDescent="0.2">
      <c r="A2964" s="76"/>
      <c r="C2964" s="76"/>
    </row>
    <row r="2965" spans="1:3" x14ac:dyDescent="0.2">
      <c r="A2965" s="76"/>
      <c r="C2965" s="76"/>
    </row>
    <row r="2966" spans="1:3" x14ac:dyDescent="0.2">
      <c r="A2966" s="76"/>
      <c r="C2966" s="76"/>
    </row>
    <row r="2967" spans="1:3" x14ac:dyDescent="0.2">
      <c r="A2967" s="76"/>
      <c r="C2967" s="76"/>
    </row>
    <row r="2968" spans="1:3" x14ac:dyDescent="0.2">
      <c r="A2968" s="76"/>
      <c r="C2968" s="76"/>
    </row>
    <row r="2969" spans="1:3" x14ac:dyDescent="0.2">
      <c r="A2969" s="76"/>
      <c r="C2969" s="76"/>
    </row>
    <row r="2970" spans="1:3" x14ac:dyDescent="0.2">
      <c r="A2970" s="76"/>
      <c r="C2970" s="76"/>
    </row>
    <row r="2971" spans="1:3" x14ac:dyDescent="0.2">
      <c r="A2971" s="76"/>
      <c r="C2971" s="76"/>
    </row>
    <row r="2972" spans="1:3" x14ac:dyDescent="0.2">
      <c r="A2972" s="76"/>
      <c r="C2972" s="76"/>
    </row>
    <row r="2973" spans="1:3" x14ac:dyDescent="0.2">
      <c r="A2973" s="76"/>
      <c r="C2973" s="76"/>
    </row>
    <row r="2974" spans="1:3" x14ac:dyDescent="0.2">
      <c r="A2974" s="76"/>
      <c r="C2974" s="76"/>
    </row>
    <row r="2975" spans="1:3" x14ac:dyDescent="0.2">
      <c r="A2975" s="76"/>
      <c r="C2975" s="76"/>
    </row>
    <row r="2976" spans="1:3" x14ac:dyDescent="0.2">
      <c r="A2976" s="76"/>
      <c r="C2976" s="76"/>
    </row>
    <row r="2977" spans="1:3" x14ac:dyDescent="0.2">
      <c r="A2977" s="76"/>
      <c r="C2977" s="76"/>
    </row>
    <row r="2978" spans="1:3" x14ac:dyDescent="0.2">
      <c r="A2978" s="76"/>
      <c r="C2978" s="76"/>
    </row>
    <row r="2979" spans="1:3" x14ac:dyDescent="0.2">
      <c r="A2979" s="76"/>
      <c r="C2979" s="76"/>
    </row>
    <row r="2980" spans="1:3" x14ac:dyDescent="0.2">
      <c r="A2980" s="76"/>
      <c r="C2980" s="76"/>
    </row>
    <row r="2981" spans="1:3" x14ac:dyDescent="0.2">
      <c r="A2981" s="76"/>
      <c r="C2981" s="76"/>
    </row>
    <row r="2982" spans="1:3" x14ac:dyDescent="0.2">
      <c r="A2982" s="76"/>
      <c r="C2982" s="76"/>
    </row>
    <row r="2983" spans="1:3" x14ac:dyDescent="0.2">
      <c r="A2983" s="76"/>
      <c r="C2983" s="76"/>
    </row>
    <row r="2984" spans="1:3" x14ac:dyDescent="0.2">
      <c r="A2984" s="76"/>
      <c r="C2984" s="76"/>
    </row>
    <row r="2985" spans="1:3" x14ac:dyDescent="0.2">
      <c r="A2985" s="76"/>
      <c r="C2985" s="76"/>
    </row>
    <row r="2986" spans="1:3" x14ac:dyDescent="0.2">
      <c r="A2986" s="76"/>
      <c r="C2986" s="76"/>
    </row>
    <row r="2987" spans="1:3" x14ac:dyDescent="0.2">
      <c r="A2987" s="76"/>
      <c r="C2987" s="76"/>
    </row>
    <row r="2988" spans="1:3" x14ac:dyDescent="0.2">
      <c r="A2988" s="76"/>
      <c r="C2988" s="76"/>
    </row>
    <row r="2989" spans="1:3" x14ac:dyDescent="0.2">
      <c r="A2989" s="76"/>
      <c r="C2989" s="76"/>
    </row>
    <row r="2990" spans="1:3" x14ac:dyDescent="0.2">
      <c r="A2990" s="76"/>
      <c r="C2990" s="76"/>
    </row>
    <row r="2991" spans="1:3" x14ac:dyDescent="0.2">
      <c r="A2991" s="76"/>
      <c r="C2991" s="76"/>
    </row>
    <row r="2992" spans="1:3" x14ac:dyDescent="0.2">
      <c r="A2992" s="76"/>
      <c r="C2992" s="76"/>
    </row>
    <row r="2993" spans="1:3" x14ac:dyDescent="0.2">
      <c r="A2993" s="76"/>
      <c r="C2993" s="76"/>
    </row>
    <row r="2994" spans="1:3" x14ac:dyDescent="0.2">
      <c r="A2994" s="76"/>
      <c r="C2994" s="76"/>
    </row>
    <row r="2995" spans="1:3" x14ac:dyDescent="0.2">
      <c r="A2995" s="76"/>
      <c r="C2995" s="76"/>
    </row>
    <row r="2996" spans="1:3" x14ac:dyDescent="0.2">
      <c r="A2996" s="76"/>
      <c r="C2996" s="76"/>
    </row>
    <row r="2997" spans="1:3" x14ac:dyDescent="0.2">
      <c r="A2997" s="76"/>
      <c r="C2997" s="76"/>
    </row>
    <row r="2998" spans="1:3" x14ac:dyDescent="0.2">
      <c r="A2998" s="76"/>
      <c r="C2998" s="76"/>
    </row>
    <row r="2999" spans="1:3" x14ac:dyDescent="0.2">
      <c r="A2999" s="76"/>
      <c r="C2999" s="76"/>
    </row>
    <row r="3000" spans="1:3" x14ac:dyDescent="0.2">
      <c r="A3000" s="76"/>
      <c r="C3000" s="76"/>
    </row>
    <row r="3001" spans="1:3" x14ac:dyDescent="0.2">
      <c r="A3001" s="76"/>
      <c r="C3001" s="76"/>
    </row>
    <row r="3002" spans="1:3" x14ac:dyDescent="0.2">
      <c r="A3002" s="76"/>
      <c r="C3002" s="76"/>
    </row>
    <row r="3003" spans="1:3" x14ac:dyDescent="0.2">
      <c r="A3003" s="76"/>
      <c r="C3003" s="76"/>
    </row>
    <row r="3004" spans="1:3" x14ac:dyDescent="0.2">
      <c r="A3004" s="76"/>
      <c r="C3004" s="76"/>
    </row>
    <row r="3005" spans="1:3" x14ac:dyDescent="0.2">
      <c r="A3005" s="76"/>
      <c r="C3005" s="76"/>
    </row>
    <row r="3006" spans="1:3" x14ac:dyDescent="0.2">
      <c r="A3006" s="76"/>
      <c r="C3006" s="76"/>
    </row>
    <row r="3007" spans="1:3" x14ac:dyDescent="0.2">
      <c r="A3007" s="76"/>
      <c r="C3007" s="76"/>
    </row>
    <row r="3008" spans="1:3" x14ac:dyDescent="0.2">
      <c r="A3008" s="76"/>
      <c r="C3008" s="76"/>
    </row>
    <row r="3009" spans="1:3" x14ac:dyDescent="0.2">
      <c r="A3009" s="76"/>
      <c r="C3009" s="76"/>
    </row>
    <row r="3010" spans="1:3" x14ac:dyDescent="0.2">
      <c r="A3010" s="76"/>
      <c r="C3010" s="76"/>
    </row>
    <row r="3011" spans="1:3" x14ac:dyDescent="0.2">
      <c r="A3011" s="76"/>
      <c r="C3011" s="76"/>
    </row>
    <row r="3012" spans="1:3" x14ac:dyDescent="0.2">
      <c r="A3012" s="76"/>
      <c r="C3012" s="76"/>
    </row>
    <row r="3013" spans="1:3" x14ac:dyDescent="0.2">
      <c r="A3013" s="76"/>
      <c r="C3013" s="76"/>
    </row>
    <row r="3014" spans="1:3" x14ac:dyDescent="0.2">
      <c r="A3014" s="76"/>
      <c r="C3014" s="76"/>
    </row>
    <row r="3015" spans="1:3" x14ac:dyDescent="0.2">
      <c r="A3015" s="76"/>
      <c r="C3015" s="76"/>
    </row>
    <row r="3016" spans="1:3" x14ac:dyDescent="0.2">
      <c r="A3016" s="76"/>
      <c r="C3016" s="76"/>
    </row>
    <row r="3017" spans="1:3" x14ac:dyDescent="0.2">
      <c r="A3017" s="76"/>
      <c r="C3017" s="76"/>
    </row>
    <row r="3018" spans="1:3" x14ac:dyDescent="0.2">
      <c r="A3018" s="76"/>
      <c r="C3018" s="76"/>
    </row>
    <row r="3019" spans="1:3" x14ac:dyDescent="0.2">
      <c r="A3019" s="76"/>
      <c r="C3019" s="76"/>
    </row>
    <row r="3020" spans="1:3" x14ac:dyDescent="0.2">
      <c r="A3020" s="76"/>
      <c r="C3020" s="76"/>
    </row>
    <row r="3021" spans="1:3" x14ac:dyDescent="0.2">
      <c r="A3021" s="76"/>
      <c r="C3021" s="76"/>
    </row>
    <row r="3022" spans="1:3" x14ac:dyDescent="0.2">
      <c r="A3022" s="76"/>
      <c r="C3022" s="76"/>
    </row>
    <row r="3023" spans="1:3" x14ac:dyDescent="0.2">
      <c r="A3023" s="76"/>
      <c r="C3023" s="76"/>
    </row>
    <row r="3024" spans="1:3" x14ac:dyDescent="0.2">
      <c r="A3024" s="76"/>
      <c r="C3024" s="76"/>
    </row>
    <row r="3025" spans="1:3" x14ac:dyDescent="0.2">
      <c r="A3025" s="76"/>
      <c r="C3025" s="76"/>
    </row>
    <row r="3026" spans="1:3" x14ac:dyDescent="0.2">
      <c r="A3026" s="76"/>
      <c r="C3026" s="76"/>
    </row>
    <row r="3027" spans="1:3" x14ac:dyDescent="0.2">
      <c r="A3027" s="76"/>
      <c r="C3027" s="76"/>
    </row>
    <row r="3028" spans="1:3" x14ac:dyDescent="0.2">
      <c r="A3028" s="76"/>
      <c r="C3028" s="76"/>
    </row>
    <row r="3029" spans="1:3" x14ac:dyDescent="0.2">
      <c r="A3029" s="76"/>
      <c r="C3029" s="76"/>
    </row>
    <row r="3030" spans="1:3" x14ac:dyDescent="0.2">
      <c r="A3030" s="76"/>
      <c r="C3030" s="76"/>
    </row>
    <row r="3031" spans="1:3" x14ac:dyDescent="0.2">
      <c r="A3031" s="76"/>
      <c r="C3031" s="76"/>
    </row>
    <row r="3032" spans="1:3" x14ac:dyDescent="0.2">
      <c r="A3032" s="76"/>
      <c r="C3032" s="76"/>
    </row>
    <row r="3033" spans="1:3" x14ac:dyDescent="0.2">
      <c r="A3033" s="76"/>
      <c r="C3033" s="76"/>
    </row>
    <row r="3034" spans="1:3" x14ac:dyDescent="0.2">
      <c r="A3034" s="76"/>
      <c r="C3034" s="76"/>
    </row>
    <row r="3035" spans="1:3" x14ac:dyDescent="0.2">
      <c r="A3035" s="76"/>
      <c r="C3035" s="76"/>
    </row>
    <row r="3036" spans="1:3" x14ac:dyDescent="0.2">
      <c r="A3036" s="76"/>
      <c r="C3036" s="76"/>
    </row>
    <row r="3037" spans="1:3" x14ac:dyDescent="0.2">
      <c r="A3037" s="76"/>
      <c r="C3037" s="76"/>
    </row>
    <row r="3038" spans="1:3" x14ac:dyDescent="0.2">
      <c r="A3038" s="76"/>
      <c r="C3038" s="76"/>
    </row>
    <row r="3039" spans="1:3" x14ac:dyDescent="0.2">
      <c r="A3039" s="76"/>
      <c r="C3039" s="76"/>
    </row>
    <row r="3040" spans="1:3" x14ac:dyDescent="0.2">
      <c r="A3040" s="76"/>
      <c r="C3040" s="76"/>
    </row>
    <row r="3041" spans="1:3" x14ac:dyDescent="0.2">
      <c r="A3041" s="76"/>
      <c r="C3041" s="76"/>
    </row>
    <row r="3042" spans="1:3" x14ac:dyDescent="0.2">
      <c r="A3042" s="76"/>
      <c r="C3042" s="76"/>
    </row>
    <row r="3043" spans="1:3" x14ac:dyDescent="0.2">
      <c r="A3043" s="76"/>
      <c r="C3043" s="76"/>
    </row>
    <row r="3044" spans="1:3" x14ac:dyDescent="0.2">
      <c r="A3044" s="76"/>
      <c r="C3044" s="76"/>
    </row>
    <row r="3045" spans="1:3" x14ac:dyDescent="0.2">
      <c r="A3045" s="76"/>
      <c r="C3045" s="76"/>
    </row>
    <row r="3046" spans="1:3" x14ac:dyDescent="0.2">
      <c r="A3046" s="76"/>
      <c r="C3046" s="76"/>
    </row>
    <row r="3047" spans="1:3" x14ac:dyDescent="0.2">
      <c r="A3047" s="76"/>
      <c r="C3047" s="76"/>
    </row>
    <row r="3048" spans="1:3" x14ac:dyDescent="0.2">
      <c r="A3048" s="76"/>
      <c r="C3048" s="76"/>
    </row>
    <row r="3049" spans="1:3" x14ac:dyDescent="0.2">
      <c r="A3049" s="76"/>
      <c r="C3049" s="76"/>
    </row>
    <row r="3050" spans="1:3" x14ac:dyDescent="0.2">
      <c r="A3050" s="76"/>
      <c r="C3050" s="76"/>
    </row>
    <row r="3051" spans="1:3" x14ac:dyDescent="0.2">
      <c r="A3051" s="76"/>
      <c r="C3051" s="76"/>
    </row>
    <row r="3052" spans="1:3" x14ac:dyDescent="0.2">
      <c r="A3052" s="76"/>
      <c r="C3052" s="76"/>
    </row>
    <row r="3053" spans="1:3" x14ac:dyDescent="0.2">
      <c r="A3053" s="76"/>
      <c r="C3053" s="76"/>
    </row>
    <row r="3054" spans="1:3" x14ac:dyDescent="0.2">
      <c r="A3054" s="76"/>
      <c r="C3054" s="76"/>
    </row>
    <row r="3055" spans="1:3" x14ac:dyDescent="0.2">
      <c r="A3055" s="76"/>
      <c r="C3055" s="76"/>
    </row>
    <row r="3056" spans="1:3" x14ac:dyDescent="0.2">
      <c r="A3056" s="76"/>
      <c r="C3056" s="76"/>
    </row>
    <row r="3057" spans="1:3" x14ac:dyDescent="0.2">
      <c r="A3057" s="76"/>
      <c r="C3057" s="76"/>
    </row>
    <row r="3058" spans="1:3" x14ac:dyDescent="0.2">
      <c r="A3058" s="76"/>
      <c r="C3058" s="76"/>
    </row>
    <row r="3059" spans="1:3" x14ac:dyDescent="0.2">
      <c r="A3059" s="76"/>
      <c r="C3059" s="76"/>
    </row>
    <row r="3060" spans="1:3" x14ac:dyDescent="0.2">
      <c r="A3060" s="76"/>
      <c r="C3060" s="76"/>
    </row>
    <row r="3061" spans="1:3" x14ac:dyDescent="0.2">
      <c r="A3061" s="76"/>
      <c r="C3061" s="76"/>
    </row>
    <row r="3062" spans="1:3" x14ac:dyDescent="0.2">
      <c r="A3062" s="76"/>
      <c r="C3062" s="76"/>
    </row>
    <row r="3063" spans="1:3" x14ac:dyDescent="0.2">
      <c r="A3063" s="76"/>
      <c r="C3063" s="76"/>
    </row>
    <row r="3064" spans="1:3" x14ac:dyDescent="0.2">
      <c r="A3064" s="76"/>
      <c r="C3064" s="76"/>
    </row>
    <row r="3065" spans="1:3" x14ac:dyDescent="0.2">
      <c r="A3065" s="76"/>
      <c r="C3065" s="76"/>
    </row>
    <row r="3066" spans="1:3" x14ac:dyDescent="0.2">
      <c r="A3066" s="76"/>
      <c r="C3066" s="76"/>
    </row>
    <row r="3067" spans="1:3" x14ac:dyDescent="0.2">
      <c r="A3067" s="76"/>
      <c r="C3067" s="76"/>
    </row>
    <row r="3068" spans="1:3" x14ac:dyDescent="0.2">
      <c r="A3068" s="76"/>
      <c r="C3068" s="76"/>
    </row>
    <row r="3069" spans="1:3" x14ac:dyDescent="0.2">
      <c r="A3069" s="76"/>
      <c r="C3069" s="76"/>
    </row>
    <row r="3070" spans="1:3" x14ac:dyDescent="0.2">
      <c r="A3070" s="76"/>
      <c r="C3070" s="76"/>
    </row>
    <row r="3071" spans="1:3" x14ac:dyDescent="0.2">
      <c r="A3071" s="76"/>
      <c r="C3071" s="76"/>
    </row>
    <row r="3072" spans="1:3" x14ac:dyDescent="0.2">
      <c r="A3072" s="76"/>
      <c r="C3072" s="76"/>
    </row>
    <row r="3073" spans="1:3" x14ac:dyDescent="0.2">
      <c r="A3073" s="76"/>
      <c r="C3073" s="76"/>
    </row>
    <row r="3074" spans="1:3" x14ac:dyDescent="0.2">
      <c r="A3074" s="76"/>
      <c r="C3074" s="76"/>
    </row>
    <row r="3075" spans="1:3" x14ac:dyDescent="0.2">
      <c r="A3075" s="76"/>
      <c r="C3075" s="76"/>
    </row>
    <row r="3076" spans="1:3" x14ac:dyDescent="0.2">
      <c r="A3076" s="76"/>
      <c r="C3076" s="76"/>
    </row>
    <row r="3077" spans="1:3" x14ac:dyDescent="0.2">
      <c r="A3077" s="76"/>
      <c r="C3077" s="76"/>
    </row>
    <row r="3078" spans="1:3" x14ac:dyDescent="0.2">
      <c r="A3078" s="76"/>
      <c r="C3078" s="76"/>
    </row>
    <row r="3079" spans="1:3" x14ac:dyDescent="0.2">
      <c r="A3079" s="76"/>
      <c r="C3079" s="76"/>
    </row>
    <row r="3080" spans="1:3" x14ac:dyDescent="0.2">
      <c r="A3080" s="76"/>
      <c r="C3080" s="76"/>
    </row>
    <row r="3081" spans="1:3" x14ac:dyDescent="0.2">
      <c r="A3081" s="76"/>
      <c r="C3081" s="76"/>
    </row>
    <row r="3082" spans="1:3" x14ac:dyDescent="0.2">
      <c r="A3082" s="76"/>
      <c r="C3082" s="76"/>
    </row>
    <row r="3083" spans="1:3" x14ac:dyDescent="0.2">
      <c r="A3083" s="76"/>
      <c r="C3083" s="76"/>
    </row>
    <row r="3084" spans="1:3" x14ac:dyDescent="0.2">
      <c r="A3084" s="76"/>
      <c r="C3084" s="76"/>
    </row>
    <row r="3085" spans="1:3" x14ac:dyDescent="0.2">
      <c r="A3085" s="76"/>
      <c r="C3085" s="76"/>
    </row>
    <row r="3086" spans="1:3" x14ac:dyDescent="0.2">
      <c r="A3086" s="76"/>
      <c r="C3086" s="76"/>
    </row>
    <row r="3087" spans="1:3" x14ac:dyDescent="0.2">
      <c r="A3087" s="76"/>
      <c r="C3087" s="76"/>
    </row>
    <row r="3088" spans="1:3" x14ac:dyDescent="0.2">
      <c r="A3088" s="76"/>
      <c r="C3088" s="76"/>
    </row>
    <row r="3089" spans="1:3" x14ac:dyDescent="0.2">
      <c r="A3089" s="76"/>
      <c r="C3089" s="76"/>
    </row>
    <row r="3090" spans="1:3" x14ac:dyDescent="0.2">
      <c r="A3090" s="76"/>
      <c r="C3090" s="76"/>
    </row>
    <row r="3091" spans="1:3" x14ac:dyDescent="0.2">
      <c r="A3091" s="76"/>
      <c r="C3091" s="76"/>
    </row>
    <row r="3092" spans="1:3" x14ac:dyDescent="0.2">
      <c r="A3092" s="76"/>
      <c r="C3092" s="76"/>
    </row>
    <row r="3093" spans="1:3" x14ac:dyDescent="0.2">
      <c r="A3093" s="76"/>
      <c r="C3093" s="76"/>
    </row>
    <row r="3094" spans="1:3" x14ac:dyDescent="0.2">
      <c r="A3094" s="76"/>
      <c r="C3094" s="76"/>
    </row>
    <row r="3095" spans="1:3" x14ac:dyDescent="0.2">
      <c r="A3095" s="76"/>
      <c r="C3095" s="76"/>
    </row>
    <row r="3096" spans="1:3" x14ac:dyDescent="0.2">
      <c r="A3096" s="76"/>
      <c r="C3096" s="76"/>
    </row>
    <row r="3097" spans="1:3" x14ac:dyDescent="0.2">
      <c r="A3097" s="76"/>
      <c r="C3097" s="76"/>
    </row>
    <row r="3098" spans="1:3" x14ac:dyDescent="0.2">
      <c r="A3098" s="76"/>
      <c r="C3098" s="76"/>
    </row>
    <row r="3099" spans="1:3" x14ac:dyDescent="0.2">
      <c r="A3099" s="76"/>
      <c r="C3099" s="76"/>
    </row>
    <row r="3100" spans="1:3" x14ac:dyDescent="0.2">
      <c r="A3100" s="76"/>
      <c r="C3100" s="76"/>
    </row>
    <row r="3101" spans="1:3" x14ac:dyDescent="0.2">
      <c r="A3101" s="76"/>
      <c r="C3101" s="76"/>
    </row>
    <row r="3102" spans="1:3" x14ac:dyDescent="0.2">
      <c r="A3102" s="76"/>
      <c r="C3102" s="76"/>
    </row>
    <row r="3103" spans="1:3" x14ac:dyDescent="0.2">
      <c r="A3103" s="76"/>
      <c r="C3103" s="76"/>
    </row>
    <row r="3104" spans="1:3" x14ac:dyDescent="0.2">
      <c r="A3104" s="76"/>
      <c r="C3104" s="76"/>
    </row>
    <row r="3105" spans="1:3" x14ac:dyDescent="0.2">
      <c r="A3105" s="76"/>
      <c r="C3105" s="76"/>
    </row>
    <row r="3106" spans="1:3" x14ac:dyDescent="0.2">
      <c r="A3106" s="76"/>
      <c r="C3106" s="76"/>
    </row>
    <row r="3107" spans="1:3" x14ac:dyDescent="0.2">
      <c r="A3107" s="76"/>
      <c r="C3107" s="76"/>
    </row>
    <row r="3108" spans="1:3" x14ac:dyDescent="0.2">
      <c r="A3108" s="76"/>
      <c r="C3108" s="76"/>
    </row>
    <row r="3109" spans="1:3" x14ac:dyDescent="0.2">
      <c r="A3109" s="76"/>
      <c r="C3109" s="76"/>
    </row>
    <row r="3110" spans="1:3" x14ac:dyDescent="0.2">
      <c r="A3110" s="76"/>
      <c r="C3110" s="76"/>
    </row>
    <row r="3111" spans="1:3" x14ac:dyDescent="0.2">
      <c r="A3111" s="76"/>
      <c r="C3111" s="76"/>
    </row>
    <row r="3112" spans="1:3" x14ac:dyDescent="0.2">
      <c r="A3112" s="76"/>
      <c r="C3112" s="76"/>
    </row>
    <row r="3113" spans="1:3" x14ac:dyDescent="0.2">
      <c r="A3113" s="76"/>
      <c r="C3113" s="76"/>
    </row>
    <row r="3114" spans="1:3" x14ac:dyDescent="0.2">
      <c r="A3114" s="76"/>
      <c r="C3114" s="76"/>
    </row>
    <row r="3115" spans="1:3" x14ac:dyDescent="0.2">
      <c r="A3115" s="76"/>
      <c r="C3115" s="76"/>
    </row>
    <row r="3116" spans="1:3" x14ac:dyDescent="0.2">
      <c r="A3116" s="76"/>
      <c r="C3116" s="76"/>
    </row>
    <row r="3117" spans="1:3" x14ac:dyDescent="0.2">
      <c r="A3117" s="76"/>
      <c r="C3117" s="76"/>
    </row>
    <row r="3118" spans="1:3" x14ac:dyDescent="0.2">
      <c r="A3118" s="76"/>
      <c r="C3118" s="76"/>
    </row>
    <row r="3119" spans="1:3" x14ac:dyDescent="0.2">
      <c r="A3119" s="76"/>
      <c r="C3119" s="76"/>
    </row>
    <row r="3120" spans="1:3" x14ac:dyDescent="0.2">
      <c r="A3120" s="76"/>
      <c r="C3120" s="76"/>
    </row>
    <row r="3121" spans="1:3" x14ac:dyDescent="0.2">
      <c r="A3121" s="76"/>
      <c r="C3121" s="76"/>
    </row>
    <row r="3122" spans="1:3" x14ac:dyDescent="0.2">
      <c r="A3122" s="76"/>
      <c r="C3122" s="76"/>
    </row>
    <row r="3123" spans="1:3" x14ac:dyDescent="0.2">
      <c r="A3123" s="76"/>
      <c r="C3123" s="76"/>
    </row>
    <row r="3124" spans="1:3" x14ac:dyDescent="0.2">
      <c r="A3124" s="76"/>
      <c r="C3124" s="76"/>
    </row>
    <row r="3125" spans="1:3" x14ac:dyDescent="0.2">
      <c r="A3125" s="76"/>
      <c r="C3125" s="76"/>
    </row>
    <row r="3126" spans="1:3" x14ac:dyDescent="0.2">
      <c r="A3126" s="76"/>
      <c r="C3126" s="76"/>
    </row>
    <row r="3127" spans="1:3" x14ac:dyDescent="0.2">
      <c r="A3127" s="76"/>
      <c r="C3127" s="76"/>
    </row>
    <row r="3128" spans="1:3" x14ac:dyDescent="0.2">
      <c r="A3128" s="76"/>
      <c r="C3128" s="76"/>
    </row>
    <row r="3129" spans="1:3" x14ac:dyDescent="0.2">
      <c r="A3129" s="76"/>
      <c r="C3129" s="76"/>
    </row>
    <row r="3130" spans="1:3" x14ac:dyDescent="0.2">
      <c r="A3130" s="76"/>
      <c r="C3130" s="76"/>
    </row>
    <row r="3131" spans="1:3" x14ac:dyDescent="0.2">
      <c r="A3131" s="76"/>
      <c r="C3131" s="76"/>
    </row>
    <row r="3132" spans="1:3" x14ac:dyDescent="0.2">
      <c r="A3132" s="76"/>
      <c r="C3132" s="76"/>
    </row>
    <row r="3133" spans="1:3" x14ac:dyDescent="0.2">
      <c r="A3133" s="76"/>
      <c r="C3133" s="76"/>
    </row>
    <row r="3134" spans="1:3" x14ac:dyDescent="0.2">
      <c r="A3134" s="76"/>
      <c r="C3134" s="76"/>
    </row>
    <row r="3135" spans="1:3" x14ac:dyDescent="0.2">
      <c r="A3135" s="76"/>
      <c r="C3135" s="76"/>
    </row>
    <row r="3136" spans="1:3" x14ac:dyDescent="0.2">
      <c r="A3136" s="76"/>
      <c r="C3136" s="76"/>
    </row>
    <row r="3137" spans="1:3" x14ac:dyDescent="0.2">
      <c r="A3137" s="76"/>
      <c r="C3137" s="76"/>
    </row>
    <row r="3138" spans="1:3" x14ac:dyDescent="0.2">
      <c r="A3138" s="76"/>
      <c r="C3138" s="76"/>
    </row>
    <row r="3139" spans="1:3" x14ac:dyDescent="0.2">
      <c r="A3139" s="76"/>
      <c r="C3139" s="76"/>
    </row>
    <row r="3140" spans="1:3" x14ac:dyDescent="0.2">
      <c r="A3140" s="76"/>
      <c r="C3140" s="76"/>
    </row>
    <row r="3141" spans="1:3" x14ac:dyDescent="0.2">
      <c r="A3141" s="76"/>
      <c r="C3141" s="76"/>
    </row>
    <row r="3142" spans="1:3" x14ac:dyDescent="0.2">
      <c r="A3142" s="76"/>
      <c r="C3142" s="76"/>
    </row>
    <row r="3143" spans="1:3" x14ac:dyDescent="0.2">
      <c r="A3143" s="76"/>
      <c r="C3143" s="76"/>
    </row>
    <row r="3144" spans="1:3" x14ac:dyDescent="0.2">
      <c r="A3144" s="76"/>
      <c r="C3144" s="76"/>
    </row>
    <row r="3145" spans="1:3" x14ac:dyDescent="0.2">
      <c r="A3145" s="76"/>
      <c r="C3145" s="76"/>
    </row>
    <row r="3146" spans="1:3" x14ac:dyDescent="0.2">
      <c r="A3146" s="76"/>
      <c r="C3146" s="76"/>
    </row>
    <row r="3147" spans="1:3" x14ac:dyDescent="0.2">
      <c r="A3147" s="76"/>
      <c r="C3147" s="76"/>
    </row>
    <row r="3148" spans="1:3" x14ac:dyDescent="0.2">
      <c r="A3148" s="76"/>
      <c r="C3148" s="76"/>
    </row>
    <row r="3149" spans="1:3" x14ac:dyDescent="0.2">
      <c r="A3149" s="76"/>
      <c r="C3149" s="76"/>
    </row>
    <row r="3150" spans="1:3" x14ac:dyDescent="0.2">
      <c r="A3150" s="76"/>
      <c r="C3150" s="76"/>
    </row>
    <row r="3151" spans="1:3" x14ac:dyDescent="0.2">
      <c r="A3151" s="76"/>
      <c r="C3151" s="76"/>
    </row>
    <row r="3152" spans="1:3" x14ac:dyDescent="0.2">
      <c r="A3152" s="76"/>
      <c r="C3152" s="76"/>
    </row>
    <row r="3153" spans="1:3" x14ac:dyDescent="0.2">
      <c r="A3153" s="76"/>
      <c r="C3153" s="76"/>
    </row>
    <row r="3154" spans="1:3" x14ac:dyDescent="0.2">
      <c r="A3154" s="76"/>
      <c r="C3154" s="76"/>
    </row>
    <row r="3155" spans="1:3" x14ac:dyDescent="0.2">
      <c r="A3155" s="76"/>
      <c r="C3155" s="76"/>
    </row>
    <row r="3156" spans="1:3" x14ac:dyDescent="0.2">
      <c r="A3156" s="76"/>
      <c r="C3156" s="76"/>
    </row>
    <row r="3157" spans="1:3" x14ac:dyDescent="0.2">
      <c r="A3157" s="76"/>
      <c r="C3157" s="76"/>
    </row>
    <row r="3158" spans="1:3" x14ac:dyDescent="0.2">
      <c r="A3158" s="76"/>
      <c r="C3158" s="76"/>
    </row>
    <row r="3159" spans="1:3" x14ac:dyDescent="0.2">
      <c r="A3159" s="76"/>
      <c r="C3159" s="76"/>
    </row>
    <row r="3160" spans="1:3" x14ac:dyDescent="0.2">
      <c r="A3160" s="76"/>
      <c r="C3160" s="76"/>
    </row>
    <row r="3161" spans="1:3" x14ac:dyDescent="0.2">
      <c r="A3161" s="76"/>
      <c r="C3161" s="76"/>
    </row>
    <row r="3162" spans="1:3" x14ac:dyDescent="0.2">
      <c r="A3162" s="76"/>
      <c r="C3162" s="76"/>
    </row>
    <row r="3163" spans="1:3" x14ac:dyDescent="0.2">
      <c r="A3163" s="76"/>
      <c r="C3163" s="76"/>
    </row>
    <row r="3164" spans="1:3" x14ac:dyDescent="0.2">
      <c r="A3164" s="76"/>
      <c r="C3164" s="76"/>
    </row>
    <row r="3165" spans="1:3" x14ac:dyDescent="0.2">
      <c r="A3165" s="76"/>
      <c r="C3165" s="76"/>
    </row>
    <row r="3166" spans="1:3" x14ac:dyDescent="0.2">
      <c r="A3166" s="76"/>
      <c r="C3166" s="76"/>
    </row>
    <row r="3167" spans="1:3" x14ac:dyDescent="0.2">
      <c r="A3167" s="76"/>
      <c r="C3167" s="76"/>
    </row>
    <row r="3168" spans="1:3" x14ac:dyDescent="0.2">
      <c r="A3168" s="76"/>
      <c r="C3168" s="76"/>
    </row>
    <row r="3169" spans="1:3" x14ac:dyDescent="0.2">
      <c r="A3169" s="76"/>
      <c r="C3169" s="76"/>
    </row>
    <row r="3170" spans="1:3" x14ac:dyDescent="0.2">
      <c r="A3170" s="76"/>
      <c r="C3170" s="76"/>
    </row>
    <row r="3171" spans="1:3" x14ac:dyDescent="0.2">
      <c r="A3171" s="76"/>
      <c r="C3171" s="76"/>
    </row>
    <row r="3172" spans="1:3" x14ac:dyDescent="0.2">
      <c r="A3172" s="76"/>
      <c r="C3172" s="76"/>
    </row>
    <row r="3173" spans="1:3" x14ac:dyDescent="0.2">
      <c r="A3173" s="76"/>
      <c r="C3173" s="76"/>
    </row>
    <row r="3174" spans="1:3" x14ac:dyDescent="0.2">
      <c r="A3174" s="76"/>
      <c r="C3174" s="76"/>
    </row>
    <row r="3175" spans="1:3" x14ac:dyDescent="0.2">
      <c r="A3175" s="76"/>
      <c r="C3175" s="76"/>
    </row>
    <row r="3176" spans="1:3" x14ac:dyDescent="0.2">
      <c r="A3176" s="76"/>
      <c r="C3176" s="76"/>
    </row>
    <row r="3177" spans="1:3" x14ac:dyDescent="0.2">
      <c r="A3177" s="76"/>
      <c r="C3177" s="76"/>
    </row>
    <row r="3178" spans="1:3" x14ac:dyDescent="0.2">
      <c r="A3178" s="76"/>
      <c r="C3178" s="76"/>
    </row>
    <row r="3179" spans="1:3" x14ac:dyDescent="0.2">
      <c r="A3179" s="76"/>
      <c r="C3179" s="76"/>
    </row>
    <row r="3180" spans="1:3" x14ac:dyDescent="0.2">
      <c r="A3180" s="76"/>
      <c r="C3180" s="76"/>
    </row>
    <row r="3181" spans="1:3" x14ac:dyDescent="0.2">
      <c r="A3181" s="76"/>
      <c r="C3181" s="76"/>
    </row>
    <row r="3182" spans="1:3" x14ac:dyDescent="0.2">
      <c r="A3182" s="76"/>
      <c r="C3182" s="76"/>
    </row>
    <row r="3183" spans="1:3" x14ac:dyDescent="0.2">
      <c r="A3183" s="76"/>
      <c r="C3183" s="76"/>
    </row>
    <row r="3184" spans="1:3" x14ac:dyDescent="0.2">
      <c r="A3184" s="76"/>
      <c r="C3184" s="76"/>
    </row>
    <row r="3185" spans="1:3" x14ac:dyDescent="0.2">
      <c r="A3185" s="76"/>
      <c r="C3185" s="76"/>
    </row>
    <row r="3186" spans="1:3" x14ac:dyDescent="0.2">
      <c r="A3186" s="76"/>
      <c r="C3186" s="76"/>
    </row>
    <row r="3187" spans="1:3" x14ac:dyDescent="0.2">
      <c r="A3187" s="76"/>
      <c r="C3187" s="76"/>
    </row>
    <row r="3188" spans="1:3" x14ac:dyDescent="0.2">
      <c r="A3188" s="76"/>
      <c r="C3188" s="76"/>
    </row>
    <row r="3189" spans="1:3" x14ac:dyDescent="0.2">
      <c r="A3189" s="76"/>
      <c r="C3189" s="76"/>
    </row>
    <row r="3190" spans="1:3" x14ac:dyDescent="0.2">
      <c r="A3190" s="76"/>
      <c r="C3190" s="76"/>
    </row>
    <row r="3191" spans="1:3" x14ac:dyDescent="0.2">
      <c r="A3191" s="76"/>
      <c r="C3191" s="76"/>
    </row>
    <row r="3192" spans="1:3" x14ac:dyDescent="0.2">
      <c r="A3192" s="76"/>
      <c r="C3192" s="76"/>
    </row>
    <row r="3193" spans="1:3" x14ac:dyDescent="0.2">
      <c r="A3193" s="76"/>
      <c r="C3193" s="76"/>
    </row>
    <row r="3194" spans="1:3" x14ac:dyDescent="0.2">
      <c r="A3194" s="76"/>
      <c r="C3194" s="76"/>
    </row>
    <row r="3195" spans="1:3" x14ac:dyDescent="0.2">
      <c r="A3195" s="76"/>
      <c r="C3195" s="76"/>
    </row>
    <row r="3196" spans="1:3" x14ac:dyDescent="0.2">
      <c r="A3196" s="76"/>
      <c r="C3196" s="76"/>
    </row>
    <row r="3197" spans="1:3" x14ac:dyDescent="0.2">
      <c r="A3197" s="76"/>
      <c r="C3197" s="76"/>
    </row>
    <row r="3198" spans="1:3" x14ac:dyDescent="0.2">
      <c r="A3198" s="76"/>
      <c r="C3198" s="76"/>
    </row>
    <row r="3199" spans="1:3" x14ac:dyDescent="0.2">
      <c r="A3199" s="76"/>
      <c r="C3199" s="76"/>
    </row>
    <row r="3200" spans="1:3" x14ac:dyDescent="0.2">
      <c r="A3200" s="76"/>
      <c r="C3200" s="76"/>
    </row>
    <row r="3201" spans="1:3" x14ac:dyDescent="0.2">
      <c r="A3201" s="76"/>
      <c r="C3201" s="76"/>
    </row>
    <row r="3202" spans="1:3" x14ac:dyDescent="0.2">
      <c r="A3202" s="76"/>
      <c r="C3202" s="76"/>
    </row>
    <row r="3203" spans="1:3" x14ac:dyDescent="0.2">
      <c r="A3203" s="76"/>
      <c r="C3203" s="76"/>
    </row>
    <row r="3204" spans="1:3" x14ac:dyDescent="0.2">
      <c r="A3204" s="76"/>
      <c r="C3204" s="76"/>
    </row>
    <row r="3205" spans="1:3" x14ac:dyDescent="0.2">
      <c r="A3205" s="76"/>
      <c r="C3205" s="76"/>
    </row>
    <row r="3206" spans="1:3" x14ac:dyDescent="0.2">
      <c r="A3206" s="76"/>
      <c r="C3206" s="76"/>
    </row>
    <row r="3207" spans="1:3" x14ac:dyDescent="0.2">
      <c r="A3207" s="76"/>
      <c r="C3207" s="76"/>
    </row>
    <row r="3208" spans="1:3" x14ac:dyDescent="0.2">
      <c r="A3208" s="76"/>
      <c r="C3208" s="76"/>
    </row>
    <row r="3209" spans="1:3" x14ac:dyDescent="0.2">
      <c r="A3209" s="76"/>
      <c r="C3209" s="76"/>
    </row>
    <row r="3210" spans="1:3" x14ac:dyDescent="0.2">
      <c r="A3210" s="76"/>
      <c r="C3210" s="76"/>
    </row>
    <row r="3211" spans="1:3" x14ac:dyDescent="0.2">
      <c r="A3211" s="76"/>
      <c r="C3211" s="76"/>
    </row>
    <row r="3212" spans="1:3" x14ac:dyDescent="0.2">
      <c r="A3212" s="76"/>
      <c r="C3212" s="76"/>
    </row>
    <row r="3213" spans="1:3" x14ac:dyDescent="0.2">
      <c r="A3213" s="76"/>
      <c r="C3213" s="76"/>
    </row>
    <row r="3214" spans="1:3" x14ac:dyDescent="0.2">
      <c r="A3214" s="76"/>
      <c r="C3214" s="76"/>
    </row>
    <row r="3215" spans="1:3" x14ac:dyDescent="0.2">
      <c r="A3215" s="76"/>
      <c r="C3215" s="76"/>
    </row>
    <row r="3216" spans="1:3" x14ac:dyDescent="0.2">
      <c r="A3216" s="76"/>
      <c r="C3216" s="76"/>
    </row>
    <row r="3217" spans="1:3" x14ac:dyDescent="0.2">
      <c r="A3217" s="76"/>
      <c r="C3217" s="76"/>
    </row>
    <row r="3218" spans="1:3" x14ac:dyDescent="0.2">
      <c r="A3218" s="76"/>
      <c r="C3218" s="76"/>
    </row>
    <row r="3219" spans="1:3" x14ac:dyDescent="0.2">
      <c r="A3219" s="76"/>
      <c r="C3219" s="76"/>
    </row>
    <row r="3220" spans="1:3" x14ac:dyDescent="0.2">
      <c r="A3220" s="76"/>
      <c r="C3220" s="76"/>
    </row>
    <row r="3221" spans="1:3" x14ac:dyDescent="0.2">
      <c r="A3221" s="76"/>
      <c r="C3221" s="76"/>
    </row>
    <row r="3222" spans="1:3" x14ac:dyDescent="0.2">
      <c r="A3222" s="76"/>
      <c r="C3222" s="76"/>
    </row>
    <row r="3223" spans="1:3" x14ac:dyDescent="0.2">
      <c r="A3223" s="76"/>
      <c r="C3223" s="76"/>
    </row>
    <row r="3224" spans="1:3" x14ac:dyDescent="0.2">
      <c r="A3224" s="76"/>
      <c r="C3224" s="76"/>
    </row>
    <row r="3225" spans="1:3" x14ac:dyDescent="0.2">
      <c r="A3225" s="76"/>
      <c r="C3225" s="76"/>
    </row>
    <row r="3226" spans="1:3" x14ac:dyDescent="0.2">
      <c r="A3226" s="76"/>
      <c r="C3226" s="76"/>
    </row>
    <row r="3227" spans="1:3" x14ac:dyDescent="0.2">
      <c r="A3227" s="76"/>
      <c r="C3227" s="76"/>
    </row>
    <row r="3228" spans="1:3" x14ac:dyDescent="0.2">
      <c r="A3228" s="76"/>
      <c r="C3228" s="76"/>
    </row>
    <row r="3229" spans="1:3" x14ac:dyDescent="0.2">
      <c r="A3229" s="76"/>
      <c r="C3229" s="76"/>
    </row>
    <row r="3230" spans="1:3" x14ac:dyDescent="0.2">
      <c r="A3230" s="76"/>
      <c r="C3230" s="76"/>
    </row>
    <row r="3231" spans="1:3" x14ac:dyDescent="0.2">
      <c r="A3231" s="76"/>
      <c r="C3231" s="76"/>
    </row>
    <row r="3232" spans="1:3" x14ac:dyDescent="0.2">
      <c r="A3232" s="76"/>
      <c r="C3232" s="76"/>
    </row>
    <row r="3233" spans="1:3" x14ac:dyDescent="0.2">
      <c r="A3233" s="76"/>
      <c r="C3233" s="76"/>
    </row>
    <row r="3234" spans="1:3" x14ac:dyDescent="0.2">
      <c r="A3234" s="76"/>
      <c r="C3234" s="76"/>
    </row>
    <row r="3235" spans="1:3" x14ac:dyDescent="0.2">
      <c r="A3235" s="76"/>
      <c r="C3235" s="76"/>
    </row>
    <row r="3236" spans="1:3" x14ac:dyDescent="0.2">
      <c r="A3236" s="76"/>
      <c r="C3236" s="76"/>
    </row>
    <row r="3237" spans="1:3" x14ac:dyDescent="0.2">
      <c r="A3237" s="76"/>
      <c r="C3237" s="76"/>
    </row>
    <row r="3238" spans="1:3" x14ac:dyDescent="0.2">
      <c r="A3238" s="76"/>
      <c r="C3238" s="76"/>
    </row>
    <row r="3239" spans="1:3" x14ac:dyDescent="0.2">
      <c r="A3239" s="76"/>
      <c r="C3239" s="76"/>
    </row>
    <row r="3240" spans="1:3" x14ac:dyDescent="0.2">
      <c r="A3240" s="76"/>
      <c r="C3240" s="76"/>
    </row>
    <row r="3241" spans="1:3" x14ac:dyDescent="0.2">
      <c r="A3241" s="76"/>
      <c r="C3241" s="76"/>
    </row>
    <row r="3242" spans="1:3" x14ac:dyDescent="0.2">
      <c r="A3242" s="76"/>
      <c r="C3242" s="76"/>
    </row>
    <row r="3243" spans="1:3" x14ac:dyDescent="0.2">
      <c r="A3243" s="76"/>
      <c r="C3243" s="76"/>
    </row>
    <row r="3244" spans="1:3" x14ac:dyDescent="0.2">
      <c r="A3244" s="76"/>
      <c r="C3244" s="76"/>
    </row>
    <row r="3245" spans="1:3" x14ac:dyDescent="0.2">
      <c r="A3245" s="76"/>
      <c r="C3245" s="76"/>
    </row>
    <row r="3246" spans="1:3" x14ac:dyDescent="0.2">
      <c r="A3246" s="76"/>
      <c r="C3246" s="76"/>
    </row>
    <row r="3247" spans="1:3" x14ac:dyDescent="0.2">
      <c r="A3247" s="76"/>
      <c r="C3247" s="76"/>
    </row>
    <row r="3248" spans="1:3" x14ac:dyDescent="0.2">
      <c r="A3248" s="76"/>
      <c r="C3248" s="76"/>
    </row>
    <row r="3249" spans="1:3" x14ac:dyDescent="0.2">
      <c r="A3249" s="76"/>
      <c r="C3249" s="76"/>
    </row>
    <row r="3250" spans="1:3" x14ac:dyDescent="0.2">
      <c r="A3250" s="76"/>
      <c r="C3250" s="76"/>
    </row>
    <row r="3251" spans="1:3" x14ac:dyDescent="0.2">
      <c r="A3251" s="76"/>
      <c r="C3251" s="76"/>
    </row>
    <row r="3252" spans="1:3" x14ac:dyDescent="0.2">
      <c r="A3252" s="76"/>
      <c r="C3252" s="76"/>
    </row>
    <row r="3253" spans="1:3" x14ac:dyDescent="0.2">
      <c r="A3253" s="76"/>
      <c r="C3253" s="76"/>
    </row>
    <row r="3254" spans="1:3" x14ac:dyDescent="0.2">
      <c r="A3254" s="76"/>
      <c r="C3254" s="76"/>
    </row>
    <row r="3255" spans="1:3" x14ac:dyDescent="0.2">
      <c r="A3255" s="76"/>
      <c r="C3255" s="76"/>
    </row>
    <row r="3256" spans="1:3" x14ac:dyDescent="0.2">
      <c r="A3256" s="76"/>
      <c r="C3256" s="76"/>
    </row>
    <row r="3257" spans="1:3" x14ac:dyDescent="0.2">
      <c r="A3257" s="76"/>
      <c r="C3257" s="76"/>
    </row>
    <row r="3258" spans="1:3" x14ac:dyDescent="0.2">
      <c r="A3258" s="76"/>
      <c r="C3258" s="76"/>
    </row>
    <row r="3259" spans="1:3" x14ac:dyDescent="0.2">
      <c r="A3259" s="76"/>
      <c r="C3259" s="76"/>
    </row>
    <row r="3260" spans="1:3" x14ac:dyDescent="0.2">
      <c r="A3260" s="76"/>
      <c r="C3260" s="76"/>
    </row>
    <row r="3261" spans="1:3" x14ac:dyDescent="0.2">
      <c r="A3261" s="76"/>
      <c r="C3261" s="76"/>
    </row>
    <row r="3262" spans="1:3" x14ac:dyDescent="0.2">
      <c r="A3262" s="76"/>
      <c r="C3262" s="76"/>
    </row>
    <row r="3263" spans="1:3" x14ac:dyDescent="0.2">
      <c r="A3263" s="76"/>
      <c r="C3263" s="76"/>
    </row>
    <row r="3264" spans="1:3" x14ac:dyDescent="0.2">
      <c r="A3264" s="76"/>
      <c r="C3264" s="76"/>
    </row>
    <row r="3265" spans="1:3" x14ac:dyDescent="0.2">
      <c r="A3265" s="76"/>
      <c r="C3265" s="76"/>
    </row>
    <row r="3266" spans="1:3" x14ac:dyDescent="0.2">
      <c r="A3266" s="76"/>
      <c r="C3266" s="76"/>
    </row>
    <row r="3267" spans="1:3" x14ac:dyDescent="0.2">
      <c r="A3267" s="76"/>
      <c r="C3267" s="76"/>
    </row>
    <row r="3268" spans="1:3" x14ac:dyDescent="0.2">
      <c r="A3268" s="76"/>
      <c r="C3268" s="76"/>
    </row>
    <row r="3269" spans="1:3" x14ac:dyDescent="0.2">
      <c r="A3269" s="76"/>
      <c r="C3269" s="76"/>
    </row>
    <row r="3270" spans="1:3" x14ac:dyDescent="0.2">
      <c r="A3270" s="76"/>
      <c r="C3270" s="76"/>
    </row>
    <row r="3271" spans="1:3" x14ac:dyDescent="0.2">
      <c r="A3271" s="76"/>
      <c r="C3271" s="76"/>
    </row>
    <row r="3272" spans="1:3" x14ac:dyDescent="0.2">
      <c r="A3272" s="76"/>
      <c r="C3272" s="76"/>
    </row>
    <row r="3273" spans="1:3" x14ac:dyDescent="0.2">
      <c r="A3273" s="76"/>
      <c r="C3273" s="76"/>
    </row>
    <row r="3274" spans="1:3" x14ac:dyDescent="0.2">
      <c r="A3274" s="76"/>
      <c r="C3274" s="76"/>
    </row>
    <row r="3275" spans="1:3" x14ac:dyDescent="0.2">
      <c r="A3275" s="76"/>
      <c r="C3275" s="76"/>
    </row>
    <row r="3276" spans="1:3" x14ac:dyDescent="0.2">
      <c r="A3276" s="76"/>
      <c r="C3276" s="76"/>
    </row>
    <row r="3277" spans="1:3" x14ac:dyDescent="0.2">
      <c r="A3277" s="76"/>
      <c r="C3277" s="76"/>
    </row>
    <row r="3278" spans="1:3" x14ac:dyDescent="0.2">
      <c r="A3278" s="76"/>
      <c r="C3278" s="76"/>
    </row>
    <row r="3279" spans="1:3" x14ac:dyDescent="0.2">
      <c r="A3279" s="76"/>
      <c r="C3279" s="76"/>
    </row>
    <row r="3280" spans="1:3" x14ac:dyDescent="0.2">
      <c r="A3280" s="76"/>
      <c r="C3280" s="76"/>
    </row>
    <row r="3281" spans="1:3" x14ac:dyDescent="0.2">
      <c r="A3281" s="76"/>
      <c r="C3281" s="76"/>
    </row>
    <row r="3282" spans="1:3" x14ac:dyDescent="0.2">
      <c r="A3282" s="76"/>
      <c r="C3282" s="76"/>
    </row>
    <row r="3283" spans="1:3" x14ac:dyDescent="0.2">
      <c r="A3283" s="76"/>
      <c r="C3283" s="76"/>
    </row>
    <row r="3284" spans="1:3" x14ac:dyDescent="0.2">
      <c r="A3284" s="76"/>
      <c r="C3284" s="76"/>
    </row>
    <row r="3285" spans="1:3" x14ac:dyDescent="0.2">
      <c r="A3285" s="76"/>
      <c r="C3285" s="76"/>
    </row>
    <row r="3286" spans="1:3" x14ac:dyDescent="0.2">
      <c r="A3286" s="76"/>
      <c r="C3286" s="76"/>
    </row>
    <row r="3287" spans="1:3" x14ac:dyDescent="0.2">
      <c r="A3287" s="76"/>
      <c r="C3287" s="76"/>
    </row>
    <row r="3288" spans="1:3" x14ac:dyDescent="0.2">
      <c r="A3288" s="76"/>
      <c r="C3288" s="76"/>
    </row>
    <row r="3289" spans="1:3" x14ac:dyDescent="0.2">
      <c r="A3289" s="76"/>
      <c r="C3289" s="76"/>
    </row>
    <row r="3290" spans="1:3" x14ac:dyDescent="0.2">
      <c r="A3290" s="76"/>
      <c r="C3290" s="76"/>
    </row>
    <row r="3291" spans="1:3" x14ac:dyDescent="0.2">
      <c r="A3291" s="76"/>
      <c r="C3291" s="76"/>
    </row>
    <row r="3292" spans="1:3" x14ac:dyDescent="0.2">
      <c r="A3292" s="76"/>
      <c r="C3292" s="76"/>
    </row>
    <row r="3293" spans="1:3" x14ac:dyDescent="0.2">
      <c r="A3293" s="76"/>
      <c r="C3293" s="76"/>
    </row>
    <row r="3294" spans="1:3" x14ac:dyDescent="0.2">
      <c r="A3294" s="76"/>
      <c r="C3294" s="76"/>
    </row>
    <row r="3295" spans="1:3" x14ac:dyDescent="0.2">
      <c r="A3295" s="76"/>
      <c r="C3295" s="76"/>
    </row>
    <row r="3296" spans="1:3" x14ac:dyDescent="0.2">
      <c r="A3296" s="76"/>
      <c r="C3296" s="76"/>
    </row>
    <row r="3297" spans="1:3" x14ac:dyDescent="0.2">
      <c r="A3297" s="76"/>
      <c r="C3297" s="76"/>
    </row>
    <row r="3298" spans="1:3" x14ac:dyDescent="0.2">
      <c r="A3298" s="76"/>
      <c r="C3298" s="76"/>
    </row>
    <row r="3299" spans="1:3" x14ac:dyDescent="0.2">
      <c r="A3299" s="76"/>
      <c r="C3299" s="76"/>
    </row>
    <row r="3300" spans="1:3" x14ac:dyDescent="0.2">
      <c r="A3300" s="76"/>
      <c r="C3300" s="76"/>
    </row>
    <row r="3301" spans="1:3" x14ac:dyDescent="0.2">
      <c r="A3301" s="76"/>
      <c r="C3301" s="76"/>
    </row>
    <row r="3302" spans="1:3" x14ac:dyDescent="0.2">
      <c r="A3302" s="76"/>
      <c r="C3302" s="76"/>
    </row>
    <row r="3303" spans="1:3" x14ac:dyDescent="0.2">
      <c r="A3303" s="76"/>
      <c r="C3303" s="76"/>
    </row>
    <row r="3304" spans="1:3" x14ac:dyDescent="0.2">
      <c r="A3304" s="76"/>
      <c r="C3304" s="76"/>
    </row>
    <row r="3305" spans="1:3" x14ac:dyDescent="0.2">
      <c r="A3305" s="76"/>
      <c r="C3305" s="76"/>
    </row>
    <row r="3306" spans="1:3" x14ac:dyDescent="0.2">
      <c r="A3306" s="76"/>
      <c r="C3306" s="76"/>
    </row>
    <row r="3307" spans="1:3" x14ac:dyDescent="0.2">
      <c r="A3307" s="76"/>
      <c r="C3307" s="76"/>
    </row>
    <row r="3308" spans="1:3" x14ac:dyDescent="0.2">
      <c r="A3308" s="76"/>
      <c r="C3308" s="76"/>
    </row>
    <row r="3309" spans="1:3" x14ac:dyDescent="0.2">
      <c r="A3309" s="76"/>
      <c r="C3309" s="76"/>
    </row>
    <row r="3310" spans="1:3" x14ac:dyDescent="0.2">
      <c r="A3310" s="76"/>
      <c r="C3310" s="76"/>
    </row>
    <row r="3311" spans="1:3" x14ac:dyDescent="0.2">
      <c r="A3311" s="76"/>
      <c r="C3311" s="76"/>
    </row>
    <row r="3312" spans="1:3" x14ac:dyDescent="0.2">
      <c r="A3312" s="76"/>
      <c r="C3312" s="76"/>
    </row>
    <row r="3313" spans="1:3" x14ac:dyDescent="0.2">
      <c r="A3313" s="76"/>
      <c r="C3313" s="76"/>
    </row>
    <row r="3314" spans="1:3" x14ac:dyDescent="0.2">
      <c r="A3314" s="76"/>
      <c r="C3314" s="76"/>
    </row>
    <row r="3315" spans="1:3" x14ac:dyDescent="0.2">
      <c r="A3315" s="76"/>
      <c r="C3315" s="76"/>
    </row>
    <row r="3316" spans="1:3" x14ac:dyDescent="0.2">
      <c r="A3316" s="76"/>
      <c r="C3316" s="76"/>
    </row>
    <row r="3317" spans="1:3" x14ac:dyDescent="0.2">
      <c r="A3317" s="76"/>
      <c r="C3317" s="76"/>
    </row>
    <row r="3318" spans="1:3" x14ac:dyDescent="0.2">
      <c r="A3318" s="76"/>
      <c r="C3318" s="76"/>
    </row>
    <row r="3319" spans="1:3" x14ac:dyDescent="0.2">
      <c r="A3319" s="76"/>
      <c r="C3319" s="76"/>
    </row>
    <row r="3320" spans="1:3" x14ac:dyDescent="0.2">
      <c r="A3320" s="76"/>
      <c r="C3320" s="76"/>
    </row>
    <row r="3321" spans="1:3" x14ac:dyDescent="0.2">
      <c r="A3321" s="76"/>
      <c r="C3321" s="76"/>
    </row>
    <row r="3322" spans="1:3" x14ac:dyDescent="0.2">
      <c r="A3322" s="76"/>
      <c r="C3322" s="76"/>
    </row>
    <row r="3323" spans="1:3" x14ac:dyDescent="0.2">
      <c r="A3323" s="76"/>
      <c r="C3323" s="76"/>
    </row>
    <row r="3324" spans="1:3" x14ac:dyDescent="0.2">
      <c r="A3324" s="76"/>
      <c r="C3324" s="76"/>
    </row>
    <row r="3325" spans="1:3" x14ac:dyDescent="0.2">
      <c r="A3325" s="76"/>
      <c r="C3325" s="76"/>
    </row>
    <row r="3326" spans="1:3" x14ac:dyDescent="0.2">
      <c r="A3326" s="76"/>
      <c r="C3326" s="76"/>
    </row>
    <row r="3327" spans="1:3" x14ac:dyDescent="0.2">
      <c r="A3327" s="76"/>
      <c r="C3327" s="76"/>
    </row>
    <row r="3328" spans="1:3" x14ac:dyDescent="0.2">
      <c r="A3328" s="76"/>
      <c r="C3328" s="76"/>
    </row>
    <row r="3329" spans="1:3" x14ac:dyDescent="0.2">
      <c r="A3329" s="76"/>
      <c r="C3329" s="76"/>
    </row>
    <row r="3330" spans="1:3" x14ac:dyDescent="0.2">
      <c r="A3330" s="76"/>
      <c r="C3330" s="76"/>
    </row>
    <row r="3331" spans="1:3" x14ac:dyDescent="0.2">
      <c r="A3331" s="76"/>
      <c r="C3331" s="76"/>
    </row>
    <row r="3332" spans="1:3" x14ac:dyDescent="0.2">
      <c r="A3332" s="76"/>
      <c r="C3332" s="76"/>
    </row>
    <row r="3333" spans="1:3" x14ac:dyDescent="0.2">
      <c r="A3333" s="76"/>
      <c r="C3333" s="76"/>
    </row>
    <row r="3334" spans="1:3" x14ac:dyDescent="0.2">
      <c r="A3334" s="76"/>
      <c r="C3334" s="76"/>
    </row>
    <row r="3335" spans="1:3" x14ac:dyDescent="0.2">
      <c r="A3335" s="76"/>
      <c r="C3335" s="76"/>
    </row>
    <row r="3336" spans="1:3" x14ac:dyDescent="0.2">
      <c r="A3336" s="76"/>
      <c r="C3336" s="76"/>
    </row>
    <row r="3337" spans="1:3" x14ac:dyDescent="0.2">
      <c r="A3337" s="76"/>
      <c r="C3337" s="76"/>
    </row>
    <row r="3338" spans="1:3" x14ac:dyDescent="0.2">
      <c r="A3338" s="76"/>
      <c r="C3338" s="76"/>
    </row>
    <row r="3339" spans="1:3" x14ac:dyDescent="0.2">
      <c r="A3339" s="76"/>
      <c r="C3339" s="76"/>
    </row>
    <row r="3340" spans="1:3" x14ac:dyDescent="0.2">
      <c r="A3340" s="76"/>
      <c r="C3340" s="76"/>
    </row>
    <row r="3341" spans="1:3" x14ac:dyDescent="0.2">
      <c r="A3341" s="76"/>
      <c r="C3341" s="76"/>
    </row>
    <row r="3342" spans="1:3" x14ac:dyDescent="0.2">
      <c r="A3342" s="76"/>
      <c r="C3342" s="76"/>
    </row>
    <row r="3343" spans="1:3" x14ac:dyDescent="0.2">
      <c r="A3343" s="76"/>
      <c r="C3343" s="76"/>
    </row>
    <row r="3344" spans="1:3" x14ac:dyDescent="0.2">
      <c r="A3344" s="76"/>
      <c r="C3344" s="76"/>
    </row>
    <row r="3345" spans="1:3" x14ac:dyDescent="0.2">
      <c r="A3345" s="76"/>
      <c r="C3345" s="76"/>
    </row>
    <row r="3346" spans="1:3" x14ac:dyDescent="0.2">
      <c r="A3346" s="76"/>
      <c r="C3346" s="76"/>
    </row>
    <row r="3347" spans="1:3" x14ac:dyDescent="0.2">
      <c r="A3347" s="76"/>
      <c r="C3347" s="76"/>
    </row>
    <row r="3348" spans="1:3" x14ac:dyDescent="0.2">
      <c r="A3348" s="76"/>
      <c r="C3348" s="76"/>
    </row>
    <row r="3349" spans="1:3" x14ac:dyDescent="0.2">
      <c r="A3349" s="76"/>
      <c r="C3349" s="76"/>
    </row>
    <row r="3350" spans="1:3" x14ac:dyDescent="0.2">
      <c r="A3350" s="76"/>
      <c r="C3350" s="76"/>
    </row>
    <row r="3351" spans="1:3" x14ac:dyDescent="0.2">
      <c r="A3351" s="76"/>
      <c r="C3351" s="76"/>
    </row>
    <row r="3352" spans="1:3" x14ac:dyDescent="0.2">
      <c r="A3352" s="76"/>
      <c r="C3352" s="76"/>
    </row>
    <row r="3353" spans="1:3" x14ac:dyDescent="0.2">
      <c r="A3353" s="76"/>
      <c r="C3353" s="76"/>
    </row>
    <row r="3354" spans="1:3" x14ac:dyDescent="0.2">
      <c r="A3354" s="76"/>
      <c r="C3354" s="76"/>
    </row>
    <row r="3355" spans="1:3" x14ac:dyDescent="0.2">
      <c r="A3355" s="76"/>
      <c r="C3355" s="76"/>
    </row>
    <row r="3356" spans="1:3" x14ac:dyDescent="0.2">
      <c r="A3356" s="76"/>
      <c r="C3356" s="76"/>
    </row>
    <row r="3357" spans="1:3" x14ac:dyDescent="0.2">
      <c r="A3357" s="76"/>
      <c r="C3357" s="76"/>
    </row>
    <row r="3358" spans="1:3" x14ac:dyDescent="0.2">
      <c r="A3358" s="76"/>
      <c r="C3358" s="76"/>
    </row>
    <row r="3359" spans="1:3" x14ac:dyDescent="0.2">
      <c r="A3359" s="76"/>
      <c r="C3359" s="76"/>
    </row>
    <row r="3360" spans="1:3" x14ac:dyDescent="0.2">
      <c r="A3360" s="76"/>
      <c r="C3360" s="76"/>
    </row>
    <row r="3361" spans="1:3" x14ac:dyDescent="0.2">
      <c r="A3361" s="76"/>
      <c r="C3361" s="76"/>
    </row>
    <row r="3362" spans="1:3" x14ac:dyDescent="0.2">
      <c r="A3362" s="76"/>
      <c r="C3362" s="76"/>
    </row>
    <row r="3363" spans="1:3" x14ac:dyDescent="0.2">
      <c r="A3363" s="76"/>
      <c r="C3363" s="76"/>
    </row>
    <row r="3364" spans="1:3" x14ac:dyDescent="0.2">
      <c r="A3364" s="76"/>
      <c r="C3364" s="76"/>
    </row>
    <row r="3365" spans="1:3" x14ac:dyDescent="0.2">
      <c r="A3365" s="76"/>
      <c r="C3365" s="76"/>
    </row>
    <row r="3366" spans="1:3" x14ac:dyDescent="0.2">
      <c r="A3366" s="76"/>
      <c r="C3366" s="76"/>
    </row>
    <row r="3367" spans="1:3" x14ac:dyDescent="0.2">
      <c r="A3367" s="76"/>
      <c r="C3367" s="76"/>
    </row>
    <row r="3368" spans="1:3" x14ac:dyDescent="0.2">
      <c r="A3368" s="76"/>
      <c r="C3368" s="76"/>
    </row>
    <row r="3369" spans="1:3" x14ac:dyDescent="0.2">
      <c r="A3369" s="76"/>
      <c r="C3369" s="76"/>
    </row>
    <row r="3370" spans="1:3" x14ac:dyDescent="0.2">
      <c r="A3370" s="76"/>
      <c r="C3370" s="76"/>
    </row>
    <row r="3371" spans="1:3" x14ac:dyDescent="0.2">
      <c r="A3371" s="76"/>
      <c r="C3371" s="76"/>
    </row>
    <row r="3372" spans="1:3" x14ac:dyDescent="0.2">
      <c r="A3372" s="76"/>
      <c r="C3372" s="76"/>
    </row>
    <row r="3373" spans="1:3" x14ac:dyDescent="0.2">
      <c r="A3373" s="76"/>
      <c r="C3373" s="76"/>
    </row>
    <row r="3374" spans="1:3" x14ac:dyDescent="0.2">
      <c r="A3374" s="76"/>
      <c r="C3374" s="76"/>
    </row>
    <row r="3375" spans="1:3" x14ac:dyDescent="0.2">
      <c r="A3375" s="76"/>
      <c r="C3375" s="76"/>
    </row>
    <row r="3376" spans="1:3" x14ac:dyDescent="0.2">
      <c r="A3376" s="76"/>
      <c r="C3376" s="76"/>
    </row>
    <row r="3377" spans="1:3" x14ac:dyDescent="0.2">
      <c r="A3377" s="76"/>
      <c r="C3377" s="76"/>
    </row>
    <row r="3378" spans="1:3" x14ac:dyDescent="0.2">
      <c r="A3378" s="76"/>
      <c r="C3378" s="76"/>
    </row>
    <row r="3379" spans="1:3" x14ac:dyDescent="0.2">
      <c r="A3379" s="76"/>
      <c r="C3379" s="76"/>
    </row>
    <row r="3380" spans="1:3" x14ac:dyDescent="0.2">
      <c r="A3380" s="76"/>
      <c r="C3380" s="76"/>
    </row>
    <row r="3381" spans="1:3" x14ac:dyDescent="0.2">
      <c r="A3381" s="76"/>
      <c r="C3381" s="76"/>
    </row>
    <row r="3382" spans="1:3" x14ac:dyDescent="0.2">
      <c r="A3382" s="76"/>
      <c r="C3382" s="76"/>
    </row>
    <row r="3383" spans="1:3" x14ac:dyDescent="0.2">
      <c r="A3383" s="76"/>
      <c r="C3383" s="76"/>
    </row>
    <row r="3384" spans="1:3" x14ac:dyDescent="0.2">
      <c r="A3384" s="76"/>
      <c r="C3384" s="76"/>
    </row>
    <row r="3385" spans="1:3" x14ac:dyDescent="0.2">
      <c r="A3385" s="76"/>
      <c r="C3385" s="76"/>
    </row>
    <row r="3386" spans="1:3" x14ac:dyDescent="0.2">
      <c r="A3386" s="76"/>
      <c r="C3386" s="76"/>
    </row>
    <row r="3387" spans="1:3" x14ac:dyDescent="0.2">
      <c r="A3387" s="76"/>
      <c r="C3387" s="76"/>
    </row>
    <row r="3388" spans="1:3" x14ac:dyDescent="0.2">
      <c r="A3388" s="76"/>
      <c r="C3388" s="76"/>
    </row>
    <row r="3389" spans="1:3" x14ac:dyDescent="0.2">
      <c r="A3389" s="76"/>
      <c r="C3389" s="76"/>
    </row>
    <row r="3390" spans="1:3" x14ac:dyDescent="0.2">
      <c r="A3390" s="76"/>
      <c r="C3390" s="76"/>
    </row>
    <row r="3391" spans="1:3" x14ac:dyDescent="0.2">
      <c r="A3391" s="76"/>
      <c r="C3391" s="76"/>
    </row>
    <row r="3392" spans="1:3" x14ac:dyDescent="0.2">
      <c r="A3392" s="76"/>
      <c r="C3392" s="76"/>
    </row>
    <row r="3393" spans="1:3" x14ac:dyDescent="0.2">
      <c r="A3393" s="76"/>
      <c r="C3393" s="76"/>
    </row>
    <row r="3394" spans="1:3" x14ac:dyDescent="0.2">
      <c r="A3394" s="76"/>
      <c r="C3394" s="76"/>
    </row>
    <row r="3395" spans="1:3" x14ac:dyDescent="0.2">
      <c r="A3395" s="76"/>
      <c r="C3395" s="76"/>
    </row>
    <row r="3396" spans="1:3" x14ac:dyDescent="0.2">
      <c r="A3396" s="76"/>
      <c r="C3396" s="76"/>
    </row>
    <row r="3397" spans="1:3" x14ac:dyDescent="0.2">
      <c r="A3397" s="76"/>
      <c r="C3397" s="76"/>
    </row>
    <row r="3398" spans="1:3" x14ac:dyDescent="0.2">
      <c r="A3398" s="76"/>
      <c r="C3398" s="76"/>
    </row>
    <row r="3399" spans="1:3" x14ac:dyDescent="0.2">
      <c r="A3399" s="76"/>
      <c r="C3399" s="76"/>
    </row>
    <row r="3400" spans="1:3" x14ac:dyDescent="0.2">
      <c r="A3400" s="76"/>
      <c r="C3400" s="76"/>
    </row>
    <row r="3401" spans="1:3" x14ac:dyDescent="0.2">
      <c r="A3401" s="76"/>
      <c r="C3401" s="76"/>
    </row>
    <row r="3402" spans="1:3" x14ac:dyDescent="0.2">
      <c r="A3402" s="76"/>
      <c r="C3402" s="76"/>
    </row>
    <row r="3403" spans="1:3" x14ac:dyDescent="0.2">
      <c r="A3403" s="76"/>
      <c r="C3403" s="76"/>
    </row>
    <row r="3404" spans="1:3" x14ac:dyDescent="0.2">
      <c r="A3404" s="76"/>
      <c r="C3404" s="76"/>
    </row>
    <row r="3405" spans="1:3" x14ac:dyDescent="0.2">
      <c r="A3405" s="76"/>
      <c r="C3405" s="76"/>
    </row>
    <row r="3406" spans="1:3" x14ac:dyDescent="0.2">
      <c r="A3406" s="76"/>
      <c r="C3406" s="76"/>
    </row>
    <row r="3407" spans="1:3" x14ac:dyDescent="0.2">
      <c r="A3407" s="76"/>
      <c r="C3407" s="76"/>
    </row>
    <row r="3408" spans="1:3" x14ac:dyDescent="0.2">
      <c r="A3408" s="76"/>
      <c r="C3408" s="76"/>
    </row>
    <row r="3409" spans="1:3" x14ac:dyDescent="0.2">
      <c r="A3409" s="76"/>
      <c r="C3409" s="76"/>
    </row>
    <row r="3410" spans="1:3" x14ac:dyDescent="0.2">
      <c r="A3410" s="76"/>
      <c r="C3410" s="76"/>
    </row>
    <row r="3411" spans="1:3" x14ac:dyDescent="0.2">
      <c r="A3411" s="76"/>
      <c r="C3411" s="76"/>
    </row>
    <row r="3412" spans="1:3" x14ac:dyDescent="0.2">
      <c r="A3412" s="76"/>
      <c r="C3412" s="76"/>
    </row>
    <row r="3413" spans="1:3" x14ac:dyDescent="0.2">
      <c r="A3413" s="76"/>
      <c r="C3413" s="76"/>
    </row>
    <row r="3414" spans="1:3" x14ac:dyDescent="0.2">
      <c r="A3414" s="76"/>
      <c r="C3414" s="76"/>
    </row>
    <row r="3415" spans="1:3" x14ac:dyDescent="0.2">
      <c r="A3415" s="76"/>
      <c r="C3415" s="76"/>
    </row>
    <row r="3416" spans="1:3" x14ac:dyDescent="0.2">
      <c r="A3416" s="76"/>
      <c r="C3416" s="76"/>
    </row>
    <row r="3417" spans="1:3" x14ac:dyDescent="0.2">
      <c r="A3417" s="76"/>
      <c r="C3417" s="76"/>
    </row>
    <row r="3418" spans="1:3" x14ac:dyDescent="0.2">
      <c r="A3418" s="76"/>
      <c r="C3418" s="76"/>
    </row>
    <row r="3419" spans="1:3" x14ac:dyDescent="0.2">
      <c r="A3419" s="76"/>
      <c r="C3419" s="76"/>
    </row>
    <row r="3420" spans="1:3" x14ac:dyDescent="0.2">
      <c r="A3420" s="76"/>
      <c r="C3420" s="76"/>
    </row>
    <row r="3421" spans="1:3" x14ac:dyDescent="0.2">
      <c r="A3421" s="76"/>
      <c r="C3421" s="76"/>
    </row>
    <row r="3422" spans="1:3" x14ac:dyDescent="0.2">
      <c r="A3422" s="76"/>
      <c r="C3422" s="76"/>
    </row>
    <row r="3423" spans="1:3" x14ac:dyDescent="0.2">
      <c r="A3423" s="76"/>
      <c r="C3423" s="76"/>
    </row>
    <row r="3424" spans="1:3" x14ac:dyDescent="0.2">
      <c r="A3424" s="76"/>
      <c r="C3424" s="76"/>
    </row>
    <row r="3425" spans="1:3" x14ac:dyDescent="0.2">
      <c r="A3425" s="76"/>
      <c r="C3425" s="76"/>
    </row>
    <row r="3426" spans="1:3" x14ac:dyDescent="0.2">
      <c r="A3426" s="76"/>
      <c r="C3426" s="76"/>
    </row>
    <row r="3427" spans="1:3" x14ac:dyDescent="0.2">
      <c r="A3427" s="76"/>
      <c r="C3427" s="76"/>
    </row>
    <row r="3428" spans="1:3" x14ac:dyDescent="0.2">
      <c r="A3428" s="76"/>
      <c r="C3428" s="76"/>
    </row>
    <row r="3429" spans="1:3" x14ac:dyDescent="0.2">
      <c r="A3429" s="76"/>
      <c r="C3429" s="76"/>
    </row>
    <row r="3430" spans="1:3" x14ac:dyDescent="0.2">
      <c r="A3430" s="76"/>
      <c r="C3430" s="76"/>
    </row>
    <row r="3431" spans="1:3" x14ac:dyDescent="0.2">
      <c r="A3431" s="76"/>
      <c r="C3431" s="76"/>
    </row>
    <row r="3432" spans="1:3" x14ac:dyDescent="0.2">
      <c r="A3432" s="76"/>
      <c r="C3432" s="76"/>
    </row>
    <row r="3433" spans="1:3" x14ac:dyDescent="0.2">
      <c r="A3433" s="76"/>
      <c r="C3433" s="76"/>
    </row>
    <row r="3434" spans="1:3" x14ac:dyDescent="0.2">
      <c r="A3434" s="76"/>
      <c r="C3434" s="76"/>
    </row>
    <row r="3435" spans="1:3" x14ac:dyDescent="0.2">
      <c r="A3435" s="76"/>
      <c r="C3435" s="76"/>
    </row>
    <row r="3436" spans="1:3" x14ac:dyDescent="0.2">
      <c r="A3436" s="76"/>
      <c r="C3436" s="76"/>
    </row>
    <row r="3437" spans="1:3" x14ac:dyDescent="0.2">
      <c r="A3437" s="76"/>
      <c r="C3437" s="76"/>
    </row>
    <row r="3438" spans="1:3" x14ac:dyDescent="0.2">
      <c r="A3438" s="76"/>
      <c r="C3438" s="76"/>
    </row>
    <row r="3439" spans="1:3" x14ac:dyDescent="0.2">
      <c r="A3439" s="76"/>
      <c r="C3439" s="76"/>
    </row>
    <row r="3440" spans="1:3" x14ac:dyDescent="0.2">
      <c r="A3440" s="76"/>
      <c r="C3440" s="76"/>
    </row>
    <row r="3441" spans="1:3" x14ac:dyDescent="0.2">
      <c r="A3441" s="76"/>
      <c r="C3441" s="76"/>
    </row>
    <row r="3442" spans="1:3" x14ac:dyDescent="0.2">
      <c r="A3442" s="76"/>
      <c r="C3442" s="76"/>
    </row>
    <row r="3443" spans="1:3" x14ac:dyDescent="0.2">
      <c r="A3443" s="76"/>
      <c r="C3443" s="76"/>
    </row>
    <row r="3444" spans="1:3" x14ac:dyDescent="0.2">
      <c r="A3444" s="76"/>
      <c r="C3444" s="76"/>
    </row>
    <row r="3445" spans="1:3" x14ac:dyDescent="0.2">
      <c r="A3445" s="76"/>
      <c r="C3445" s="76"/>
    </row>
    <row r="3446" spans="1:3" x14ac:dyDescent="0.2">
      <c r="A3446" s="76"/>
      <c r="C3446" s="76"/>
    </row>
    <row r="3447" spans="1:3" x14ac:dyDescent="0.2">
      <c r="A3447" s="76"/>
      <c r="C3447" s="76"/>
    </row>
    <row r="3448" spans="1:3" x14ac:dyDescent="0.2">
      <c r="A3448" s="76"/>
      <c r="C3448" s="76"/>
    </row>
    <row r="3449" spans="1:3" x14ac:dyDescent="0.2">
      <c r="A3449" s="76"/>
      <c r="C3449" s="76"/>
    </row>
    <row r="3450" spans="1:3" x14ac:dyDescent="0.2">
      <c r="A3450" s="76"/>
      <c r="C3450" s="76"/>
    </row>
    <row r="3451" spans="1:3" x14ac:dyDescent="0.2">
      <c r="A3451" s="76"/>
      <c r="C3451" s="76"/>
    </row>
    <row r="3452" spans="1:3" x14ac:dyDescent="0.2">
      <c r="A3452" s="76"/>
      <c r="C3452" s="76"/>
    </row>
    <row r="3453" spans="1:3" x14ac:dyDescent="0.2">
      <c r="A3453" s="76"/>
      <c r="C3453" s="76"/>
    </row>
    <row r="3454" spans="1:3" x14ac:dyDescent="0.2">
      <c r="A3454" s="76"/>
      <c r="C3454" s="76"/>
    </row>
    <row r="3455" spans="1:3" x14ac:dyDescent="0.2">
      <c r="A3455" s="76"/>
      <c r="C3455" s="76"/>
    </row>
    <row r="3456" spans="1:3" x14ac:dyDescent="0.2">
      <c r="A3456" s="76"/>
      <c r="C3456" s="76"/>
    </row>
    <row r="3457" spans="1:3" x14ac:dyDescent="0.2">
      <c r="A3457" s="76"/>
      <c r="C3457" s="76"/>
    </row>
    <row r="3458" spans="1:3" x14ac:dyDescent="0.2">
      <c r="A3458" s="76"/>
      <c r="C3458" s="76"/>
    </row>
    <row r="3459" spans="1:3" x14ac:dyDescent="0.2">
      <c r="A3459" s="76"/>
      <c r="C3459" s="76"/>
    </row>
    <row r="3460" spans="1:3" x14ac:dyDescent="0.2">
      <c r="A3460" s="76"/>
      <c r="C3460" s="76"/>
    </row>
    <row r="3461" spans="1:3" x14ac:dyDescent="0.2">
      <c r="A3461" s="76"/>
      <c r="C3461" s="76"/>
    </row>
    <row r="3462" spans="1:3" x14ac:dyDescent="0.2">
      <c r="A3462" s="76"/>
      <c r="C3462" s="76"/>
    </row>
    <row r="3463" spans="1:3" x14ac:dyDescent="0.2">
      <c r="A3463" s="76"/>
      <c r="C3463" s="76"/>
    </row>
    <row r="3464" spans="1:3" x14ac:dyDescent="0.2">
      <c r="A3464" s="76"/>
      <c r="C3464" s="76"/>
    </row>
    <row r="3465" spans="1:3" x14ac:dyDescent="0.2">
      <c r="A3465" s="76"/>
      <c r="C3465" s="76"/>
    </row>
    <row r="3466" spans="1:3" x14ac:dyDescent="0.2">
      <c r="A3466" s="76"/>
      <c r="C3466" s="76"/>
    </row>
    <row r="3467" spans="1:3" x14ac:dyDescent="0.2">
      <c r="A3467" s="76"/>
      <c r="C3467" s="76"/>
    </row>
    <row r="3468" spans="1:3" x14ac:dyDescent="0.2">
      <c r="A3468" s="76"/>
      <c r="C3468" s="76"/>
    </row>
    <row r="3469" spans="1:3" x14ac:dyDescent="0.2">
      <c r="A3469" s="76"/>
      <c r="C3469" s="76"/>
    </row>
    <row r="3470" spans="1:3" x14ac:dyDescent="0.2">
      <c r="A3470" s="76"/>
      <c r="C3470" s="76"/>
    </row>
    <row r="3471" spans="1:3" x14ac:dyDescent="0.2">
      <c r="A3471" s="76"/>
      <c r="C3471" s="76"/>
    </row>
    <row r="3472" spans="1:3" x14ac:dyDescent="0.2">
      <c r="A3472" s="76"/>
      <c r="C3472" s="76"/>
    </row>
    <row r="3473" spans="1:3" x14ac:dyDescent="0.2">
      <c r="A3473" s="76"/>
      <c r="C3473" s="76"/>
    </row>
    <row r="3474" spans="1:3" x14ac:dyDescent="0.2">
      <c r="A3474" s="76"/>
      <c r="C3474" s="76"/>
    </row>
    <row r="3475" spans="1:3" x14ac:dyDescent="0.2">
      <c r="A3475" s="76"/>
      <c r="C3475" s="76"/>
    </row>
    <row r="3476" spans="1:3" x14ac:dyDescent="0.2">
      <c r="A3476" s="76"/>
      <c r="C3476" s="76"/>
    </row>
    <row r="3477" spans="1:3" x14ac:dyDescent="0.2">
      <c r="A3477" s="76"/>
      <c r="C3477" s="76"/>
    </row>
    <row r="3478" spans="1:3" x14ac:dyDescent="0.2">
      <c r="A3478" s="76"/>
      <c r="C3478" s="76"/>
    </row>
    <row r="3479" spans="1:3" x14ac:dyDescent="0.2">
      <c r="A3479" s="76"/>
      <c r="C3479" s="76"/>
    </row>
    <row r="3480" spans="1:3" x14ac:dyDescent="0.2">
      <c r="A3480" s="76"/>
      <c r="C3480" s="76"/>
    </row>
    <row r="3481" spans="1:3" x14ac:dyDescent="0.2">
      <c r="A3481" s="76"/>
      <c r="C3481" s="76"/>
    </row>
    <row r="3482" spans="1:3" x14ac:dyDescent="0.2">
      <c r="A3482" s="76"/>
      <c r="C3482" s="76"/>
    </row>
    <row r="3483" spans="1:3" x14ac:dyDescent="0.2">
      <c r="A3483" s="76"/>
      <c r="C3483" s="76"/>
    </row>
    <row r="3484" spans="1:3" x14ac:dyDescent="0.2">
      <c r="A3484" s="76"/>
      <c r="C3484" s="76"/>
    </row>
    <row r="3485" spans="1:3" x14ac:dyDescent="0.2">
      <c r="A3485" s="76"/>
      <c r="C3485" s="76"/>
    </row>
    <row r="3486" spans="1:3" x14ac:dyDescent="0.2">
      <c r="A3486" s="76"/>
      <c r="C3486" s="76"/>
    </row>
    <row r="3487" spans="1:3" x14ac:dyDescent="0.2">
      <c r="A3487" s="76"/>
      <c r="C3487" s="76"/>
    </row>
    <row r="3488" spans="1:3" x14ac:dyDescent="0.2">
      <c r="A3488" s="76"/>
      <c r="C3488" s="76"/>
    </row>
    <row r="3489" spans="1:3" x14ac:dyDescent="0.2">
      <c r="A3489" s="76"/>
      <c r="C3489" s="76"/>
    </row>
    <row r="3490" spans="1:3" x14ac:dyDescent="0.2">
      <c r="A3490" s="76"/>
      <c r="C3490" s="76"/>
    </row>
    <row r="3491" spans="1:3" x14ac:dyDescent="0.2">
      <c r="A3491" s="76"/>
      <c r="C3491" s="76"/>
    </row>
    <row r="3492" spans="1:3" x14ac:dyDescent="0.2">
      <c r="A3492" s="76"/>
      <c r="C3492" s="76"/>
    </row>
    <row r="3493" spans="1:3" x14ac:dyDescent="0.2">
      <c r="A3493" s="76"/>
      <c r="C3493" s="76"/>
    </row>
    <row r="3494" spans="1:3" x14ac:dyDescent="0.2">
      <c r="A3494" s="76"/>
      <c r="C3494" s="76"/>
    </row>
    <row r="3495" spans="1:3" x14ac:dyDescent="0.2">
      <c r="A3495" s="76"/>
      <c r="C3495" s="76"/>
    </row>
    <row r="3496" spans="1:3" x14ac:dyDescent="0.2">
      <c r="A3496" s="76"/>
      <c r="C3496" s="76"/>
    </row>
    <row r="3497" spans="1:3" x14ac:dyDescent="0.2">
      <c r="A3497" s="76"/>
      <c r="C3497" s="76"/>
    </row>
    <row r="3498" spans="1:3" x14ac:dyDescent="0.2">
      <c r="A3498" s="76"/>
      <c r="C3498" s="76"/>
    </row>
    <row r="3499" spans="1:3" x14ac:dyDescent="0.2">
      <c r="A3499" s="76"/>
      <c r="C3499" s="76"/>
    </row>
    <row r="3500" spans="1:3" x14ac:dyDescent="0.2">
      <c r="A3500" s="76"/>
      <c r="C3500" s="76"/>
    </row>
    <row r="3501" spans="1:3" x14ac:dyDescent="0.2">
      <c r="A3501" s="76"/>
      <c r="C3501" s="76"/>
    </row>
    <row r="3502" spans="1:3" x14ac:dyDescent="0.2">
      <c r="A3502" s="76"/>
      <c r="C3502" s="76"/>
    </row>
    <row r="3503" spans="1:3" x14ac:dyDescent="0.2">
      <c r="A3503" s="76"/>
      <c r="C3503" s="76"/>
    </row>
    <row r="3504" spans="1:3" x14ac:dyDescent="0.2">
      <c r="A3504" s="76"/>
      <c r="C3504" s="76"/>
    </row>
    <row r="3505" spans="1:3" x14ac:dyDescent="0.2">
      <c r="A3505" s="76"/>
      <c r="C3505" s="76"/>
    </row>
    <row r="3506" spans="1:3" x14ac:dyDescent="0.2">
      <c r="A3506" s="76"/>
      <c r="C3506" s="76"/>
    </row>
    <row r="3507" spans="1:3" x14ac:dyDescent="0.2">
      <c r="A3507" s="76"/>
      <c r="C3507" s="76"/>
    </row>
    <row r="3508" spans="1:3" x14ac:dyDescent="0.2">
      <c r="A3508" s="76"/>
      <c r="C3508" s="76"/>
    </row>
    <row r="3509" spans="1:3" x14ac:dyDescent="0.2">
      <c r="A3509" s="76"/>
      <c r="C3509" s="76"/>
    </row>
    <row r="3510" spans="1:3" x14ac:dyDescent="0.2">
      <c r="A3510" s="76"/>
      <c r="C3510" s="76"/>
    </row>
    <row r="3511" spans="1:3" x14ac:dyDescent="0.2">
      <c r="A3511" s="76"/>
      <c r="C3511" s="76"/>
    </row>
    <row r="3512" spans="1:3" x14ac:dyDescent="0.2">
      <c r="A3512" s="76"/>
      <c r="C3512" s="76"/>
    </row>
    <row r="3513" spans="1:3" x14ac:dyDescent="0.2">
      <c r="A3513" s="76"/>
      <c r="C3513" s="76"/>
    </row>
    <row r="3514" spans="1:3" x14ac:dyDescent="0.2">
      <c r="A3514" s="76"/>
      <c r="C3514" s="76"/>
    </row>
    <row r="3515" spans="1:3" x14ac:dyDescent="0.2">
      <c r="A3515" s="76"/>
      <c r="C3515" s="76"/>
    </row>
    <row r="3516" spans="1:3" x14ac:dyDescent="0.2">
      <c r="A3516" s="76"/>
      <c r="C3516" s="76"/>
    </row>
    <row r="3517" spans="1:3" x14ac:dyDescent="0.2">
      <c r="A3517" s="76"/>
      <c r="C3517" s="76"/>
    </row>
    <row r="3518" spans="1:3" x14ac:dyDescent="0.2">
      <c r="A3518" s="76"/>
      <c r="C3518" s="76"/>
    </row>
    <row r="3519" spans="1:3" x14ac:dyDescent="0.2">
      <c r="A3519" s="76"/>
      <c r="C3519" s="76"/>
    </row>
    <row r="3520" spans="1:3" x14ac:dyDescent="0.2">
      <c r="A3520" s="76"/>
      <c r="C3520" s="76"/>
    </row>
    <row r="3521" spans="1:3" x14ac:dyDescent="0.2">
      <c r="A3521" s="76"/>
      <c r="C3521" s="76"/>
    </row>
    <row r="3522" spans="1:3" x14ac:dyDescent="0.2">
      <c r="A3522" s="76"/>
      <c r="C3522" s="76"/>
    </row>
    <row r="3523" spans="1:3" x14ac:dyDescent="0.2">
      <c r="A3523" s="76"/>
      <c r="C3523" s="76"/>
    </row>
    <row r="3524" spans="1:3" x14ac:dyDescent="0.2">
      <c r="A3524" s="76"/>
      <c r="C3524" s="76"/>
    </row>
    <row r="3525" spans="1:3" x14ac:dyDescent="0.2">
      <c r="A3525" s="76"/>
      <c r="C3525" s="76"/>
    </row>
    <row r="3526" spans="1:3" x14ac:dyDescent="0.2">
      <c r="A3526" s="76"/>
      <c r="C3526" s="76"/>
    </row>
    <row r="3527" spans="1:3" x14ac:dyDescent="0.2">
      <c r="A3527" s="76"/>
      <c r="C3527" s="76"/>
    </row>
    <row r="3528" spans="1:3" x14ac:dyDescent="0.2">
      <c r="A3528" s="76"/>
      <c r="C3528" s="76"/>
    </row>
    <row r="3529" spans="1:3" x14ac:dyDescent="0.2">
      <c r="A3529" s="76"/>
      <c r="C3529" s="76"/>
    </row>
    <row r="3530" spans="1:3" x14ac:dyDescent="0.2">
      <c r="A3530" s="76"/>
      <c r="C3530" s="76"/>
    </row>
    <row r="3531" spans="1:3" x14ac:dyDescent="0.2">
      <c r="A3531" s="76"/>
      <c r="C3531" s="76"/>
    </row>
    <row r="3532" spans="1:3" x14ac:dyDescent="0.2">
      <c r="A3532" s="76"/>
      <c r="C3532" s="76"/>
    </row>
    <row r="3533" spans="1:3" x14ac:dyDescent="0.2">
      <c r="A3533" s="76"/>
      <c r="C3533" s="76"/>
    </row>
    <row r="3534" spans="1:3" x14ac:dyDescent="0.2">
      <c r="A3534" s="76"/>
      <c r="C3534" s="76"/>
    </row>
    <row r="3535" spans="1:3" x14ac:dyDescent="0.2">
      <c r="A3535" s="76"/>
      <c r="C3535" s="76"/>
    </row>
    <row r="3536" spans="1:3" x14ac:dyDescent="0.2">
      <c r="A3536" s="76"/>
      <c r="C3536" s="76"/>
    </row>
    <row r="3537" spans="1:3" x14ac:dyDescent="0.2">
      <c r="A3537" s="76"/>
      <c r="C3537" s="76"/>
    </row>
    <row r="3538" spans="1:3" x14ac:dyDescent="0.2">
      <c r="A3538" s="76"/>
      <c r="C3538" s="76"/>
    </row>
    <row r="3539" spans="1:3" x14ac:dyDescent="0.2">
      <c r="A3539" s="76"/>
      <c r="C3539" s="76"/>
    </row>
    <row r="3540" spans="1:3" x14ac:dyDescent="0.2">
      <c r="A3540" s="76"/>
      <c r="C3540" s="76"/>
    </row>
    <row r="3541" spans="1:3" x14ac:dyDescent="0.2">
      <c r="A3541" s="76"/>
      <c r="C3541" s="76"/>
    </row>
    <row r="3542" spans="1:3" x14ac:dyDescent="0.2">
      <c r="A3542" s="76"/>
      <c r="C3542" s="76"/>
    </row>
    <row r="3543" spans="1:3" x14ac:dyDescent="0.2">
      <c r="A3543" s="76"/>
      <c r="C3543" s="76"/>
    </row>
    <row r="3544" spans="1:3" x14ac:dyDescent="0.2">
      <c r="A3544" s="76"/>
      <c r="C3544" s="76"/>
    </row>
    <row r="3545" spans="1:3" x14ac:dyDescent="0.2">
      <c r="A3545" s="76"/>
      <c r="C3545" s="76"/>
    </row>
    <row r="3546" spans="1:3" x14ac:dyDescent="0.2">
      <c r="A3546" s="76"/>
      <c r="C3546" s="76"/>
    </row>
    <row r="3547" spans="1:3" x14ac:dyDescent="0.2">
      <c r="A3547" s="76"/>
      <c r="C3547" s="76"/>
    </row>
    <row r="3548" spans="1:3" x14ac:dyDescent="0.2">
      <c r="A3548" s="76"/>
      <c r="C3548" s="76"/>
    </row>
    <row r="3549" spans="1:3" x14ac:dyDescent="0.2">
      <c r="A3549" s="76"/>
      <c r="C3549" s="76"/>
    </row>
    <row r="3550" spans="1:3" x14ac:dyDescent="0.2">
      <c r="A3550" s="76"/>
      <c r="C3550" s="76"/>
    </row>
    <row r="3551" spans="1:3" x14ac:dyDescent="0.2">
      <c r="A3551" s="76"/>
      <c r="C3551" s="76"/>
    </row>
    <row r="3552" spans="1:3" x14ac:dyDescent="0.2">
      <c r="A3552" s="76"/>
      <c r="C3552" s="76"/>
    </row>
    <row r="3553" spans="1:3" x14ac:dyDescent="0.2">
      <c r="A3553" s="76"/>
      <c r="C3553" s="76"/>
    </row>
    <row r="3554" spans="1:3" x14ac:dyDescent="0.2">
      <c r="A3554" s="76"/>
      <c r="C3554" s="76"/>
    </row>
    <row r="3555" spans="1:3" x14ac:dyDescent="0.2">
      <c r="A3555" s="76"/>
      <c r="C3555" s="76"/>
    </row>
    <row r="3556" spans="1:3" x14ac:dyDescent="0.2">
      <c r="A3556" s="76"/>
      <c r="C3556" s="76"/>
    </row>
    <row r="3557" spans="1:3" x14ac:dyDescent="0.2">
      <c r="A3557" s="76"/>
      <c r="C3557" s="76"/>
    </row>
    <row r="3558" spans="1:3" x14ac:dyDescent="0.2">
      <c r="A3558" s="76"/>
      <c r="C3558" s="76"/>
    </row>
    <row r="3559" spans="1:3" x14ac:dyDescent="0.2">
      <c r="A3559" s="76"/>
      <c r="C3559" s="76"/>
    </row>
    <row r="3560" spans="1:3" x14ac:dyDescent="0.2">
      <c r="A3560" s="76"/>
      <c r="C3560" s="76"/>
    </row>
    <row r="3561" spans="1:3" x14ac:dyDescent="0.2">
      <c r="A3561" s="76"/>
      <c r="C3561" s="76"/>
    </row>
    <row r="3562" spans="1:3" x14ac:dyDescent="0.2">
      <c r="A3562" s="76"/>
      <c r="C3562" s="76"/>
    </row>
    <row r="3563" spans="1:3" x14ac:dyDescent="0.2">
      <c r="A3563" s="76"/>
      <c r="C3563" s="76"/>
    </row>
    <row r="3564" spans="1:3" x14ac:dyDescent="0.2">
      <c r="A3564" s="76"/>
      <c r="C3564" s="76"/>
    </row>
    <row r="3565" spans="1:3" x14ac:dyDescent="0.2">
      <c r="A3565" s="76"/>
      <c r="C3565" s="76"/>
    </row>
    <row r="3566" spans="1:3" x14ac:dyDescent="0.2">
      <c r="A3566" s="76"/>
      <c r="C3566" s="76"/>
    </row>
    <row r="3567" spans="1:3" x14ac:dyDescent="0.2">
      <c r="A3567" s="76"/>
      <c r="C3567" s="76"/>
    </row>
    <row r="3568" spans="1:3" x14ac:dyDescent="0.2">
      <c r="A3568" s="76"/>
      <c r="C3568" s="76"/>
    </row>
    <row r="3569" spans="1:3" x14ac:dyDescent="0.2">
      <c r="A3569" s="76"/>
      <c r="C3569" s="76"/>
    </row>
    <row r="3570" spans="1:3" x14ac:dyDescent="0.2">
      <c r="A3570" s="76"/>
      <c r="C3570" s="76"/>
    </row>
    <row r="3571" spans="1:3" x14ac:dyDescent="0.2">
      <c r="A3571" s="76"/>
      <c r="C3571" s="76"/>
    </row>
    <row r="3572" spans="1:3" x14ac:dyDescent="0.2">
      <c r="A3572" s="76"/>
      <c r="C3572" s="76"/>
    </row>
    <row r="3573" spans="1:3" x14ac:dyDescent="0.2">
      <c r="A3573" s="76"/>
      <c r="C3573" s="76"/>
    </row>
    <row r="3574" spans="1:3" x14ac:dyDescent="0.2">
      <c r="A3574" s="76"/>
      <c r="C3574" s="76"/>
    </row>
    <row r="3575" spans="1:3" x14ac:dyDescent="0.2">
      <c r="A3575" s="76"/>
      <c r="C3575" s="76"/>
    </row>
    <row r="3576" spans="1:3" x14ac:dyDescent="0.2">
      <c r="A3576" s="76"/>
      <c r="C3576" s="76"/>
    </row>
    <row r="3577" spans="1:3" x14ac:dyDescent="0.2">
      <c r="A3577" s="76"/>
      <c r="C3577" s="76"/>
    </row>
    <row r="3578" spans="1:3" x14ac:dyDescent="0.2">
      <c r="A3578" s="76"/>
      <c r="C3578" s="76"/>
    </row>
    <row r="3579" spans="1:3" x14ac:dyDescent="0.2">
      <c r="A3579" s="76"/>
      <c r="C3579" s="76"/>
    </row>
    <row r="3580" spans="1:3" x14ac:dyDescent="0.2">
      <c r="A3580" s="76"/>
      <c r="C3580" s="76"/>
    </row>
    <row r="3581" spans="1:3" x14ac:dyDescent="0.2">
      <c r="A3581" s="76"/>
      <c r="C3581" s="76"/>
    </row>
    <row r="3582" spans="1:3" x14ac:dyDescent="0.2">
      <c r="A3582" s="76"/>
      <c r="C3582" s="76"/>
    </row>
    <row r="3583" spans="1:3" x14ac:dyDescent="0.2">
      <c r="A3583" s="76"/>
      <c r="C3583" s="76"/>
    </row>
    <row r="3584" spans="1:3" x14ac:dyDescent="0.2">
      <c r="A3584" s="76"/>
      <c r="C3584" s="76"/>
    </row>
    <row r="3585" spans="1:3" x14ac:dyDescent="0.2">
      <c r="A3585" s="76"/>
      <c r="C3585" s="76"/>
    </row>
    <row r="3586" spans="1:3" x14ac:dyDescent="0.2">
      <c r="A3586" s="76"/>
      <c r="C3586" s="76"/>
    </row>
    <row r="3587" spans="1:3" x14ac:dyDescent="0.2">
      <c r="A3587" s="76"/>
      <c r="C3587" s="76"/>
    </row>
    <row r="3588" spans="1:3" x14ac:dyDescent="0.2">
      <c r="A3588" s="76"/>
      <c r="C3588" s="76"/>
    </row>
    <row r="3589" spans="1:3" x14ac:dyDescent="0.2">
      <c r="A3589" s="76"/>
      <c r="C3589" s="76"/>
    </row>
    <row r="3590" spans="1:3" x14ac:dyDescent="0.2">
      <c r="A3590" s="76"/>
      <c r="C3590" s="76"/>
    </row>
    <row r="3591" spans="1:3" x14ac:dyDescent="0.2">
      <c r="A3591" s="76"/>
      <c r="C3591" s="76"/>
    </row>
    <row r="3592" spans="1:3" x14ac:dyDescent="0.2">
      <c r="A3592" s="76"/>
      <c r="C3592" s="76"/>
    </row>
    <row r="3593" spans="1:3" x14ac:dyDescent="0.2">
      <c r="A3593" s="76"/>
      <c r="C3593" s="76"/>
    </row>
    <row r="3594" spans="1:3" x14ac:dyDescent="0.2">
      <c r="A3594" s="76"/>
      <c r="C3594" s="76"/>
    </row>
    <row r="3595" spans="1:3" x14ac:dyDescent="0.2">
      <c r="A3595" s="76"/>
      <c r="C3595" s="76"/>
    </row>
    <row r="3596" spans="1:3" x14ac:dyDescent="0.2">
      <c r="A3596" s="76"/>
      <c r="C3596" s="76"/>
    </row>
    <row r="3597" spans="1:3" x14ac:dyDescent="0.2">
      <c r="A3597" s="76"/>
      <c r="C3597" s="76"/>
    </row>
    <row r="3598" spans="1:3" x14ac:dyDescent="0.2">
      <c r="A3598" s="76"/>
      <c r="C3598" s="76"/>
    </row>
    <row r="3599" spans="1:3" x14ac:dyDescent="0.2">
      <c r="A3599" s="76"/>
      <c r="C3599" s="76"/>
    </row>
    <row r="3600" spans="1:3" x14ac:dyDescent="0.2">
      <c r="A3600" s="76"/>
      <c r="C3600" s="76"/>
    </row>
    <row r="3601" spans="1:3" x14ac:dyDescent="0.2">
      <c r="A3601" s="76"/>
      <c r="C3601" s="76"/>
    </row>
    <row r="3602" spans="1:3" x14ac:dyDescent="0.2">
      <c r="A3602" s="76"/>
      <c r="C3602" s="76"/>
    </row>
    <row r="3603" spans="1:3" x14ac:dyDescent="0.2">
      <c r="A3603" s="76"/>
      <c r="C3603" s="76"/>
    </row>
    <row r="3604" spans="1:3" x14ac:dyDescent="0.2">
      <c r="A3604" s="76"/>
      <c r="C3604" s="76"/>
    </row>
    <row r="3605" spans="1:3" x14ac:dyDescent="0.2">
      <c r="A3605" s="76"/>
      <c r="C3605" s="76"/>
    </row>
    <row r="3606" spans="1:3" x14ac:dyDescent="0.2">
      <c r="A3606" s="76"/>
      <c r="C3606" s="76"/>
    </row>
    <row r="3607" spans="1:3" x14ac:dyDescent="0.2">
      <c r="A3607" s="76"/>
      <c r="C3607" s="76"/>
    </row>
    <row r="3608" spans="1:3" x14ac:dyDescent="0.2">
      <c r="A3608" s="76"/>
      <c r="C3608" s="76"/>
    </row>
    <row r="3609" spans="1:3" x14ac:dyDescent="0.2">
      <c r="A3609" s="76"/>
      <c r="C3609" s="76"/>
    </row>
    <row r="3610" spans="1:3" x14ac:dyDescent="0.2">
      <c r="A3610" s="76"/>
      <c r="C3610" s="76"/>
    </row>
    <row r="3611" spans="1:3" x14ac:dyDescent="0.2">
      <c r="A3611" s="76"/>
      <c r="C3611" s="76"/>
    </row>
    <row r="3612" spans="1:3" x14ac:dyDescent="0.2">
      <c r="A3612" s="76"/>
      <c r="C3612" s="76"/>
    </row>
    <row r="3613" spans="1:3" x14ac:dyDescent="0.2">
      <c r="A3613" s="76"/>
      <c r="C3613" s="76"/>
    </row>
    <row r="3614" spans="1:3" x14ac:dyDescent="0.2">
      <c r="A3614" s="76"/>
      <c r="C3614" s="76"/>
    </row>
    <row r="3615" spans="1:3" x14ac:dyDescent="0.2">
      <c r="A3615" s="76"/>
      <c r="C3615" s="76"/>
    </row>
    <row r="3616" spans="1:3" x14ac:dyDescent="0.2">
      <c r="A3616" s="76"/>
      <c r="C3616" s="76"/>
    </row>
    <row r="3617" spans="1:3" x14ac:dyDescent="0.2">
      <c r="A3617" s="76"/>
      <c r="C3617" s="76"/>
    </row>
    <row r="3618" spans="1:3" x14ac:dyDescent="0.2">
      <c r="A3618" s="76"/>
      <c r="C3618" s="76"/>
    </row>
    <row r="3619" spans="1:3" x14ac:dyDescent="0.2">
      <c r="A3619" s="76"/>
      <c r="C3619" s="76"/>
    </row>
    <row r="3620" spans="1:3" x14ac:dyDescent="0.2">
      <c r="A3620" s="76"/>
      <c r="C3620" s="76"/>
    </row>
    <row r="3621" spans="1:3" x14ac:dyDescent="0.2">
      <c r="A3621" s="76"/>
      <c r="C3621" s="76"/>
    </row>
    <row r="3622" spans="1:3" x14ac:dyDescent="0.2">
      <c r="A3622" s="76"/>
      <c r="C3622" s="76"/>
    </row>
    <row r="3623" spans="1:3" x14ac:dyDescent="0.2">
      <c r="A3623" s="76"/>
      <c r="C3623" s="76"/>
    </row>
    <row r="3624" spans="1:3" x14ac:dyDescent="0.2">
      <c r="A3624" s="76"/>
      <c r="C3624" s="76"/>
    </row>
    <row r="3625" spans="1:3" x14ac:dyDescent="0.2">
      <c r="A3625" s="76"/>
      <c r="C3625" s="76"/>
    </row>
    <row r="3626" spans="1:3" x14ac:dyDescent="0.2">
      <c r="A3626" s="76"/>
      <c r="C3626" s="76"/>
    </row>
    <row r="3627" spans="1:3" x14ac:dyDescent="0.2">
      <c r="A3627" s="76"/>
      <c r="C3627" s="76"/>
    </row>
    <row r="3628" spans="1:3" x14ac:dyDescent="0.2">
      <c r="A3628" s="76"/>
      <c r="C3628" s="76"/>
    </row>
    <row r="3629" spans="1:3" x14ac:dyDescent="0.2">
      <c r="A3629" s="76"/>
      <c r="C3629" s="76"/>
    </row>
    <row r="3630" spans="1:3" x14ac:dyDescent="0.2">
      <c r="A3630" s="76"/>
      <c r="C3630" s="76"/>
    </row>
    <row r="3631" spans="1:3" x14ac:dyDescent="0.2">
      <c r="A3631" s="76"/>
      <c r="C3631" s="76"/>
    </row>
    <row r="3632" spans="1:3" x14ac:dyDescent="0.2">
      <c r="A3632" s="76"/>
      <c r="C3632" s="76"/>
    </row>
    <row r="3633" spans="1:3" x14ac:dyDescent="0.2">
      <c r="A3633" s="76"/>
      <c r="C3633" s="76"/>
    </row>
    <row r="3634" spans="1:3" x14ac:dyDescent="0.2">
      <c r="A3634" s="76"/>
      <c r="C3634" s="76"/>
    </row>
    <row r="3635" spans="1:3" x14ac:dyDescent="0.2">
      <c r="A3635" s="76"/>
      <c r="C3635" s="76"/>
    </row>
    <row r="3636" spans="1:3" x14ac:dyDescent="0.2">
      <c r="A3636" s="76"/>
      <c r="C3636" s="76"/>
    </row>
    <row r="3637" spans="1:3" x14ac:dyDescent="0.2">
      <c r="A3637" s="76"/>
      <c r="C3637" s="76"/>
    </row>
    <row r="3638" spans="1:3" x14ac:dyDescent="0.2">
      <c r="A3638" s="76"/>
      <c r="C3638" s="76"/>
    </row>
    <row r="3639" spans="1:3" x14ac:dyDescent="0.2">
      <c r="A3639" s="76"/>
      <c r="C3639" s="76"/>
    </row>
    <row r="3640" spans="1:3" x14ac:dyDescent="0.2">
      <c r="A3640" s="76"/>
      <c r="C3640" s="76"/>
    </row>
    <row r="3641" spans="1:3" x14ac:dyDescent="0.2">
      <c r="A3641" s="76"/>
      <c r="C3641" s="76"/>
    </row>
    <row r="3642" spans="1:3" x14ac:dyDescent="0.2">
      <c r="A3642" s="76"/>
      <c r="C3642" s="76"/>
    </row>
    <row r="3643" spans="1:3" x14ac:dyDescent="0.2">
      <c r="A3643" s="76"/>
      <c r="C3643" s="76"/>
    </row>
    <row r="3644" spans="1:3" x14ac:dyDescent="0.2">
      <c r="A3644" s="76"/>
      <c r="C3644" s="76"/>
    </row>
    <row r="3645" spans="1:3" x14ac:dyDescent="0.2">
      <c r="A3645" s="76"/>
      <c r="C3645" s="76"/>
    </row>
    <row r="3646" spans="1:3" x14ac:dyDescent="0.2">
      <c r="A3646" s="76"/>
      <c r="C3646" s="76"/>
    </row>
    <row r="3647" spans="1:3" x14ac:dyDescent="0.2">
      <c r="A3647" s="76"/>
      <c r="C3647" s="76"/>
    </row>
    <row r="3648" spans="1:3" x14ac:dyDescent="0.2">
      <c r="A3648" s="76"/>
      <c r="C3648" s="76"/>
    </row>
    <row r="3649" spans="1:3" x14ac:dyDescent="0.2">
      <c r="A3649" s="76"/>
      <c r="C3649" s="76"/>
    </row>
    <row r="3650" spans="1:3" x14ac:dyDescent="0.2">
      <c r="A3650" s="76"/>
      <c r="C3650" s="76"/>
    </row>
    <row r="3651" spans="1:3" x14ac:dyDescent="0.2">
      <c r="A3651" s="76"/>
      <c r="C3651" s="76"/>
    </row>
    <row r="3652" spans="1:3" x14ac:dyDescent="0.2">
      <c r="A3652" s="76"/>
      <c r="C3652" s="76"/>
    </row>
    <row r="3653" spans="1:3" x14ac:dyDescent="0.2">
      <c r="A3653" s="76"/>
      <c r="C3653" s="76"/>
    </row>
    <row r="3654" spans="1:3" x14ac:dyDescent="0.2">
      <c r="A3654" s="76"/>
      <c r="C3654" s="76"/>
    </row>
    <row r="3655" spans="1:3" x14ac:dyDescent="0.2">
      <c r="A3655" s="76"/>
      <c r="C3655" s="76"/>
    </row>
    <row r="3656" spans="1:3" x14ac:dyDescent="0.2">
      <c r="A3656" s="76"/>
      <c r="C3656" s="76"/>
    </row>
    <row r="3657" spans="1:3" x14ac:dyDescent="0.2">
      <c r="A3657" s="76"/>
      <c r="C3657" s="76"/>
    </row>
    <row r="3658" spans="1:3" x14ac:dyDescent="0.2">
      <c r="A3658" s="76"/>
      <c r="C3658" s="76"/>
    </row>
    <row r="3659" spans="1:3" x14ac:dyDescent="0.2">
      <c r="A3659" s="76"/>
      <c r="C3659" s="76"/>
    </row>
    <row r="3660" spans="1:3" x14ac:dyDescent="0.2">
      <c r="A3660" s="76"/>
      <c r="C3660" s="76"/>
    </row>
    <row r="3661" spans="1:3" x14ac:dyDescent="0.2">
      <c r="A3661" s="76"/>
      <c r="C3661" s="76"/>
    </row>
    <row r="3662" spans="1:3" x14ac:dyDescent="0.2">
      <c r="A3662" s="76"/>
      <c r="C3662" s="76"/>
    </row>
    <row r="3663" spans="1:3" x14ac:dyDescent="0.2">
      <c r="A3663" s="76"/>
      <c r="C3663" s="76"/>
    </row>
    <row r="3664" spans="1:3" x14ac:dyDescent="0.2">
      <c r="A3664" s="76"/>
      <c r="C3664" s="76"/>
    </row>
    <row r="3665" spans="1:3" x14ac:dyDescent="0.2">
      <c r="A3665" s="76"/>
      <c r="C3665" s="76"/>
    </row>
    <row r="3666" spans="1:3" x14ac:dyDescent="0.2">
      <c r="A3666" s="76"/>
      <c r="C3666" s="76"/>
    </row>
    <row r="3667" spans="1:3" x14ac:dyDescent="0.2">
      <c r="A3667" s="76"/>
      <c r="C3667" s="76"/>
    </row>
    <row r="3668" spans="1:3" x14ac:dyDescent="0.2">
      <c r="A3668" s="76"/>
      <c r="C3668" s="76"/>
    </row>
    <row r="3669" spans="1:3" x14ac:dyDescent="0.2">
      <c r="A3669" s="76"/>
      <c r="C3669" s="76"/>
    </row>
    <row r="3670" spans="1:3" x14ac:dyDescent="0.2">
      <c r="A3670" s="76"/>
      <c r="C3670" s="76"/>
    </row>
    <row r="3671" spans="1:3" x14ac:dyDescent="0.2">
      <c r="A3671" s="76"/>
      <c r="C3671" s="76"/>
    </row>
    <row r="3672" spans="1:3" x14ac:dyDescent="0.2">
      <c r="A3672" s="76"/>
      <c r="C3672" s="76"/>
    </row>
    <row r="3673" spans="1:3" x14ac:dyDescent="0.2">
      <c r="A3673" s="76"/>
      <c r="C3673" s="76"/>
    </row>
    <row r="3674" spans="1:3" x14ac:dyDescent="0.2">
      <c r="A3674" s="76"/>
      <c r="C3674" s="76"/>
    </row>
    <row r="3675" spans="1:3" x14ac:dyDescent="0.2">
      <c r="A3675" s="76"/>
      <c r="C3675" s="76"/>
    </row>
    <row r="3676" spans="1:3" x14ac:dyDescent="0.2">
      <c r="A3676" s="76"/>
      <c r="C3676" s="76"/>
    </row>
    <row r="3677" spans="1:3" x14ac:dyDescent="0.2">
      <c r="A3677" s="76"/>
      <c r="C3677" s="76"/>
    </row>
    <row r="3678" spans="1:3" x14ac:dyDescent="0.2">
      <c r="A3678" s="76"/>
      <c r="C3678" s="76"/>
    </row>
    <row r="3679" spans="1:3" x14ac:dyDescent="0.2">
      <c r="A3679" s="76"/>
      <c r="C3679" s="76"/>
    </row>
    <row r="3680" spans="1:3" x14ac:dyDescent="0.2">
      <c r="A3680" s="76"/>
      <c r="C3680" s="76"/>
    </row>
    <row r="3681" spans="1:3" x14ac:dyDescent="0.2">
      <c r="A3681" s="76"/>
      <c r="C3681" s="76"/>
    </row>
    <row r="3682" spans="1:3" x14ac:dyDescent="0.2">
      <c r="A3682" s="76"/>
      <c r="C3682" s="76"/>
    </row>
    <row r="3683" spans="1:3" x14ac:dyDescent="0.2">
      <c r="A3683" s="76"/>
      <c r="C3683" s="76"/>
    </row>
    <row r="3684" spans="1:3" x14ac:dyDescent="0.2">
      <c r="A3684" s="76"/>
      <c r="C3684" s="76"/>
    </row>
    <row r="3685" spans="1:3" x14ac:dyDescent="0.2">
      <c r="A3685" s="76"/>
      <c r="C3685" s="76"/>
    </row>
    <row r="3686" spans="1:3" x14ac:dyDescent="0.2">
      <c r="A3686" s="76"/>
      <c r="C3686" s="76"/>
    </row>
    <row r="3687" spans="1:3" x14ac:dyDescent="0.2">
      <c r="A3687" s="76"/>
      <c r="C3687" s="76"/>
    </row>
    <row r="3688" spans="1:3" x14ac:dyDescent="0.2">
      <c r="A3688" s="76"/>
      <c r="C3688" s="76"/>
    </row>
    <row r="3689" spans="1:3" x14ac:dyDescent="0.2">
      <c r="A3689" s="76"/>
      <c r="C3689" s="76"/>
    </row>
    <row r="3690" spans="1:3" x14ac:dyDescent="0.2">
      <c r="A3690" s="76"/>
      <c r="C3690" s="76"/>
    </row>
    <row r="3691" spans="1:3" x14ac:dyDescent="0.2">
      <c r="A3691" s="76"/>
      <c r="C3691" s="76"/>
    </row>
    <row r="3692" spans="1:3" x14ac:dyDescent="0.2">
      <c r="A3692" s="76"/>
      <c r="C3692" s="76"/>
    </row>
    <row r="3693" spans="1:3" x14ac:dyDescent="0.2">
      <c r="A3693" s="76"/>
      <c r="C3693" s="76"/>
    </row>
    <row r="3694" spans="1:3" x14ac:dyDescent="0.2">
      <c r="A3694" s="76"/>
      <c r="C3694" s="76"/>
    </row>
    <row r="3695" spans="1:3" x14ac:dyDescent="0.2">
      <c r="A3695" s="76"/>
      <c r="C3695" s="76"/>
    </row>
    <row r="3696" spans="1:3" x14ac:dyDescent="0.2">
      <c r="A3696" s="76"/>
      <c r="C3696" s="76"/>
    </row>
    <row r="3697" spans="1:3" x14ac:dyDescent="0.2">
      <c r="A3697" s="76"/>
      <c r="C3697" s="76"/>
    </row>
    <row r="3698" spans="1:3" x14ac:dyDescent="0.2">
      <c r="A3698" s="76"/>
      <c r="C3698" s="76"/>
    </row>
    <row r="3699" spans="1:3" x14ac:dyDescent="0.2">
      <c r="A3699" s="76"/>
      <c r="C3699" s="76"/>
    </row>
    <row r="3700" spans="1:3" x14ac:dyDescent="0.2">
      <c r="A3700" s="76"/>
      <c r="C3700" s="76"/>
    </row>
    <row r="3701" spans="1:3" x14ac:dyDescent="0.2">
      <c r="A3701" s="76"/>
      <c r="C3701" s="76"/>
    </row>
    <row r="3702" spans="1:3" x14ac:dyDescent="0.2">
      <c r="A3702" s="76"/>
      <c r="C3702" s="76"/>
    </row>
    <row r="3703" spans="1:3" x14ac:dyDescent="0.2">
      <c r="A3703" s="76"/>
      <c r="C3703" s="76"/>
    </row>
    <row r="3704" spans="1:3" x14ac:dyDescent="0.2">
      <c r="A3704" s="76"/>
      <c r="C3704" s="76"/>
    </row>
    <row r="3705" spans="1:3" x14ac:dyDescent="0.2">
      <c r="A3705" s="76"/>
      <c r="C3705" s="76"/>
    </row>
    <row r="3706" spans="1:3" x14ac:dyDescent="0.2">
      <c r="A3706" s="76"/>
      <c r="C3706" s="76"/>
    </row>
    <row r="3707" spans="1:3" x14ac:dyDescent="0.2">
      <c r="A3707" s="76"/>
      <c r="C3707" s="76"/>
    </row>
    <row r="3708" spans="1:3" x14ac:dyDescent="0.2">
      <c r="A3708" s="76"/>
      <c r="C3708" s="76"/>
    </row>
    <row r="3709" spans="1:3" x14ac:dyDescent="0.2">
      <c r="A3709" s="76"/>
      <c r="C3709" s="76"/>
    </row>
    <row r="3710" spans="1:3" x14ac:dyDescent="0.2">
      <c r="A3710" s="76"/>
      <c r="C3710" s="76"/>
    </row>
    <row r="3711" spans="1:3" x14ac:dyDescent="0.2">
      <c r="A3711" s="76"/>
      <c r="C3711" s="76"/>
    </row>
    <row r="3712" spans="1:3" x14ac:dyDescent="0.2">
      <c r="A3712" s="76"/>
      <c r="C3712" s="76"/>
    </row>
    <row r="3713" spans="1:3" x14ac:dyDescent="0.2">
      <c r="A3713" s="76"/>
      <c r="C3713" s="76"/>
    </row>
    <row r="3714" spans="1:3" x14ac:dyDescent="0.2">
      <c r="A3714" s="76"/>
      <c r="C3714" s="76"/>
    </row>
    <row r="3715" spans="1:3" x14ac:dyDescent="0.2">
      <c r="A3715" s="76"/>
      <c r="C3715" s="76"/>
    </row>
    <row r="3716" spans="1:3" x14ac:dyDescent="0.2">
      <c r="A3716" s="76"/>
      <c r="C3716" s="76"/>
    </row>
    <row r="3717" spans="1:3" x14ac:dyDescent="0.2">
      <c r="A3717" s="76"/>
      <c r="C3717" s="76"/>
    </row>
    <row r="3718" spans="1:3" x14ac:dyDescent="0.2">
      <c r="A3718" s="76"/>
      <c r="C3718" s="76"/>
    </row>
    <row r="3719" spans="1:3" x14ac:dyDescent="0.2">
      <c r="A3719" s="76"/>
      <c r="C3719" s="76"/>
    </row>
    <row r="3720" spans="1:3" x14ac:dyDescent="0.2">
      <c r="A3720" s="76"/>
      <c r="C3720" s="76"/>
    </row>
    <row r="3721" spans="1:3" x14ac:dyDescent="0.2">
      <c r="A3721" s="76"/>
      <c r="C3721" s="76"/>
    </row>
    <row r="3722" spans="1:3" x14ac:dyDescent="0.2">
      <c r="A3722" s="76"/>
      <c r="C3722" s="76"/>
    </row>
    <row r="3723" spans="1:3" x14ac:dyDescent="0.2">
      <c r="A3723" s="76"/>
      <c r="C3723" s="76"/>
    </row>
    <row r="3724" spans="1:3" x14ac:dyDescent="0.2">
      <c r="A3724" s="76"/>
      <c r="C3724" s="76"/>
    </row>
    <row r="3725" spans="1:3" x14ac:dyDescent="0.2">
      <c r="A3725" s="76"/>
      <c r="C3725" s="76"/>
    </row>
    <row r="3726" spans="1:3" x14ac:dyDescent="0.2">
      <c r="A3726" s="76"/>
      <c r="C3726" s="76"/>
    </row>
    <row r="3727" spans="1:3" x14ac:dyDescent="0.2">
      <c r="A3727" s="76"/>
      <c r="C3727" s="76"/>
    </row>
    <row r="3728" spans="1:3" x14ac:dyDescent="0.2">
      <c r="A3728" s="76"/>
      <c r="C3728" s="76"/>
    </row>
    <row r="3729" spans="1:3" x14ac:dyDescent="0.2">
      <c r="A3729" s="76"/>
      <c r="C3729" s="76"/>
    </row>
    <row r="3730" spans="1:3" x14ac:dyDescent="0.2">
      <c r="A3730" s="76"/>
      <c r="C3730" s="76"/>
    </row>
    <row r="3731" spans="1:3" x14ac:dyDescent="0.2">
      <c r="A3731" s="76"/>
      <c r="C3731" s="76"/>
    </row>
    <row r="3732" spans="1:3" x14ac:dyDescent="0.2">
      <c r="A3732" s="76"/>
      <c r="C3732" s="76"/>
    </row>
    <row r="3733" spans="1:3" x14ac:dyDescent="0.2">
      <c r="A3733" s="76"/>
      <c r="C3733" s="76"/>
    </row>
    <row r="3734" spans="1:3" x14ac:dyDescent="0.2">
      <c r="A3734" s="76"/>
      <c r="C3734" s="76"/>
    </row>
    <row r="3735" spans="1:3" x14ac:dyDescent="0.2">
      <c r="A3735" s="76"/>
      <c r="C3735" s="76"/>
    </row>
    <row r="3736" spans="1:3" x14ac:dyDescent="0.2">
      <c r="A3736" s="76"/>
      <c r="C3736" s="76"/>
    </row>
    <row r="3737" spans="1:3" x14ac:dyDescent="0.2">
      <c r="A3737" s="76"/>
      <c r="C3737" s="76"/>
    </row>
    <row r="3738" spans="1:3" x14ac:dyDescent="0.2">
      <c r="A3738" s="76"/>
      <c r="C3738" s="76"/>
    </row>
    <row r="3739" spans="1:3" x14ac:dyDescent="0.2">
      <c r="A3739" s="76"/>
      <c r="C3739" s="76"/>
    </row>
    <row r="3740" spans="1:3" x14ac:dyDescent="0.2">
      <c r="A3740" s="76"/>
      <c r="C3740" s="76"/>
    </row>
    <row r="3741" spans="1:3" x14ac:dyDescent="0.2">
      <c r="A3741" s="76"/>
      <c r="C3741" s="76"/>
    </row>
    <row r="3742" spans="1:3" x14ac:dyDescent="0.2">
      <c r="A3742" s="76"/>
      <c r="C3742" s="76"/>
    </row>
    <row r="3743" spans="1:3" x14ac:dyDescent="0.2">
      <c r="A3743" s="76"/>
      <c r="C3743" s="76"/>
    </row>
    <row r="3744" spans="1:3" x14ac:dyDescent="0.2">
      <c r="A3744" s="76"/>
      <c r="C3744" s="76"/>
    </row>
    <row r="3745" spans="1:3" x14ac:dyDescent="0.2">
      <c r="A3745" s="76"/>
      <c r="C3745" s="76"/>
    </row>
    <row r="3746" spans="1:3" x14ac:dyDescent="0.2">
      <c r="A3746" s="76"/>
      <c r="C3746" s="76"/>
    </row>
    <row r="3747" spans="1:3" x14ac:dyDescent="0.2">
      <c r="A3747" s="76"/>
      <c r="C3747" s="76"/>
    </row>
    <row r="3748" spans="1:3" x14ac:dyDescent="0.2">
      <c r="A3748" s="76"/>
      <c r="C3748" s="76"/>
    </row>
    <row r="3749" spans="1:3" x14ac:dyDescent="0.2">
      <c r="A3749" s="76"/>
      <c r="C3749" s="76"/>
    </row>
    <row r="3750" spans="1:3" x14ac:dyDescent="0.2">
      <c r="A3750" s="76"/>
      <c r="C3750" s="76"/>
    </row>
    <row r="3751" spans="1:3" x14ac:dyDescent="0.2">
      <c r="A3751" s="76"/>
      <c r="C3751" s="76"/>
    </row>
    <row r="3752" spans="1:3" x14ac:dyDescent="0.2">
      <c r="A3752" s="76"/>
      <c r="C3752" s="76"/>
    </row>
    <row r="3753" spans="1:3" x14ac:dyDescent="0.2">
      <c r="A3753" s="76"/>
      <c r="C3753" s="76"/>
    </row>
    <row r="3754" spans="1:3" x14ac:dyDescent="0.2">
      <c r="A3754" s="76"/>
      <c r="C3754" s="76"/>
    </row>
    <row r="3755" spans="1:3" x14ac:dyDescent="0.2">
      <c r="A3755" s="76"/>
      <c r="C3755" s="76"/>
    </row>
    <row r="3756" spans="1:3" x14ac:dyDescent="0.2">
      <c r="A3756" s="76"/>
      <c r="C3756" s="76"/>
    </row>
    <row r="3757" spans="1:3" x14ac:dyDescent="0.2">
      <c r="A3757" s="76"/>
      <c r="C3757" s="76"/>
    </row>
    <row r="3758" spans="1:3" x14ac:dyDescent="0.2">
      <c r="A3758" s="76"/>
      <c r="C3758" s="76"/>
    </row>
    <row r="3759" spans="1:3" x14ac:dyDescent="0.2">
      <c r="A3759" s="76"/>
      <c r="C3759" s="76"/>
    </row>
    <row r="3760" spans="1:3" x14ac:dyDescent="0.2">
      <c r="A3760" s="76"/>
      <c r="C3760" s="76"/>
    </row>
    <row r="3761" spans="1:3" x14ac:dyDescent="0.2">
      <c r="A3761" s="76"/>
      <c r="C3761" s="76"/>
    </row>
    <row r="3762" spans="1:3" x14ac:dyDescent="0.2">
      <c r="A3762" s="76"/>
      <c r="C3762" s="76"/>
    </row>
    <row r="3763" spans="1:3" x14ac:dyDescent="0.2">
      <c r="A3763" s="76"/>
      <c r="C3763" s="76"/>
    </row>
    <row r="3764" spans="1:3" x14ac:dyDescent="0.2">
      <c r="A3764" s="76"/>
      <c r="C3764" s="76"/>
    </row>
    <row r="3765" spans="1:3" x14ac:dyDescent="0.2">
      <c r="A3765" s="76"/>
      <c r="C3765" s="76"/>
    </row>
    <row r="3766" spans="1:3" x14ac:dyDescent="0.2">
      <c r="A3766" s="76"/>
      <c r="C3766" s="76"/>
    </row>
    <row r="3767" spans="1:3" x14ac:dyDescent="0.2">
      <c r="A3767" s="76"/>
      <c r="C3767" s="76"/>
    </row>
    <row r="3768" spans="1:3" x14ac:dyDescent="0.2">
      <c r="A3768" s="76"/>
      <c r="C3768" s="76"/>
    </row>
    <row r="3769" spans="1:3" x14ac:dyDescent="0.2">
      <c r="A3769" s="76"/>
      <c r="C3769" s="76"/>
    </row>
    <row r="3770" spans="1:3" x14ac:dyDescent="0.2">
      <c r="A3770" s="76"/>
      <c r="C3770" s="76"/>
    </row>
    <row r="3771" spans="1:3" x14ac:dyDescent="0.2">
      <c r="A3771" s="76"/>
      <c r="C3771" s="76"/>
    </row>
    <row r="3772" spans="1:3" x14ac:dyDescent="0.2">
      <c r="A3772" s="76"/>
      <c r="C3772" s="76"/>
    </row>
    <row r="3773" spans="1:3" x14ac:dyDescent="0.2">
      <c r="A3773" s="76"/>
      <c r="C3773" s="76"/>
    </row>
    <row r="3774" spans="1:3" x14ac:dyDescent="0.2">
      <c r="A3774" s="76"/>
      <c r="C3774" s="76"/>
    </row>
    <row r="3775" spans="1:3" x14ac:dyDescent="0.2">
      <c r="A3775" s="76"/>
      <c r="C3775" s="76"/>
    </row>
    <row r="3776" spans="1:3" x14ac:dyDescent="0.2">
      <c r="A3776" s="76"/>
      <c r="C3776" s="76"/>
    </row>
    <row r="3777" spans="1:3" x14ac:dyDescent="0.2">
      <c r="A3777" s="76"/>
      <c r="C3777" s="76"/>
    </row>
    <row r="3778" spans="1:3" x14ac:dyDescent="0.2">
      <c r="A3778" s="76"/>
      <c r="C3778" s="76"/>
    </row>
    <row r="3779" spans="1:3" x14ac:dyDescent="0.2">
      <c r="A3779" s="76"/>
      <c r="C3779" s="76"/>
    </row>
    <row r="3780" spans="1:3" x14ac:dyDescent="0.2">
      <c r="A3780" s="76"/>
      <c r="C3780" s="76"/>
    </row>
    <row r="3781" spans="1:3" x14ac:dyDescent="0.2">
      <c r="A3781" s="76"/>
      <c r="C3781" s="76"/>
    </row>
    <row r="3782" spans="1:3" x14ac:dyDescent="0.2">
      <c r="A3782" s="76"/>
      <c r="C3782" s="76"/>
    </row>
    <row r="3783" spans="1:3" x14ac:dyDescent="0.2">
      <c r="A3783" s="76"/>
      <c r="C3783" s="76"/>
    </row>
    <row r="3784" spans="1:3" x14ac:dyDescent="0.2">
      <c r="A3784" s="76"/>
      <c r="C3784" s="76"/>
    </row>
    <row r="3785" spans="1:3" x14ac:dyDescent="0.2">
      <c r="A3785" s="76"/>
      <c r="C3785" s="76"/>
    </row>
    <row r="3786" spans="1:3" x14ac:dyDescent="0.2">
      <c r="A3786" s="76"/>
      <c r="C3786" s="76"/>
    </row>
    <row r="3787" spans="1:3" x14ac:dyDescent="0.2">
      <c r="A3787" s="76"/>
      <c r="C3787" s="76"/>
    </row>
    <row r="3788" spans="1:3" x14ac:dyDescent="0.2">
      <c r="A3788" s="76"/>
      <c r="C3788" s="76"/>
    </row>
    <row r="3789" spans="1:3" x14ac:dyDescent="0.2">
      <c r="A3789" s="76"/>
      <c r="C3789" s="76"/>
    </row>
    <row r="3790" spans="1:3" x14ac:dyDescent="0.2">
      <c r="A3790" s="76"/>
      <c r="C3790" s="76"/>
    </row>
    <row r="3791" spans="1:3" x14ac:dyDescent="0.2">
      <c r="A3791" s="76"/>
      <c r="C3791" s="76"/>
    </row>
    <row r="3792" spans="1:3" x14ac:dyDescent="0.2">
      <c r="A3792" s="76"/>
      <c r="C3792" s="76"/>
    </row>
    <row r="3793" spans="1:3" x14ac:dyDescent="0.2">
      <c r="A3793" s="76"/>
      <c r="C3793" s="76"/>
    </row>
    <row r="3794" spans="1:3" x14ac:dyDescent="0.2">
      <c r="A3794" s="76"/>
      <c r="C3794" s="76"/>
    </row>
    <row r="3795" spans="1:3" x14ac:dyDescent="0.2">
      <c r="A3795" s="76"/>
      <c r="C3795" s="76"/>
    </row>
    <row r="3796" spans="1:3" x14ac:dyDescent="0.2">
      <c r="A3796" s="76"/>
      <c r="C3796" s="76"/>
    </row>
    <row r="3797" spans="1:3" x14ac:dyDescent="0.2">
      <c r="A3797" s="76"/>
      <c r="C3797" s="76"/>
    </row>
    <row r="3798" spans="1:3" x14ac:dyDescent="0.2">
      <c r="A3798" s="76"/>
      <c r="C3798" s="76"/>
    </row>
    <row r="3799" spans="1:3" x14ac:dyDescent="0.2">
      <c r="A3799" s="76"/>
      <c r="C3799" s="76"/>
    </row>
    <row r="3800" spans="1:3" x14ac:dyDescent="0.2">
      <c r="A3800" s="76"/>
      <c r="C3800" s="76"/>
    </row>
    <row r="3801" spans="1:3" x14ac:dyDescent="0.2">
      <c r="A3801" s="76"/>
      <c r="C3801" s="76"/>
    </row>
    <row r="3802" spans="1:3" x14ac:dyDescent="0.2">
      <c r="A3802" s="76"/>
      <c r="C3802" s="76"/>
    </row>
    <row r="3803" spans="1:3" x14ac:dyDescent="0.2">
      <c r="A3803" s="76"/>
      <c r="C3803" s="76"/>
    </row>
    <row r="3804" spans="1:3" x14ac:dyDescent="0.2">
      <c r="A3804" s="76"/>
      <c r="C3804" s="76"/>
    </row>
    <row r="3805" spans="1:3" x14ac:dyDescent="0.2">
      <c r="A3805" s="76"/>
      <c r="C3805" s="76"/>
    </row>
    <row r="3806" spans="1:3" x14ac:dyDescent="0.2">
      <c r="A3806" s="76"/>
      <c r="C3806" s="76"/>
    </row>
    <row r="3807" spans="1:3" x14ac:dyDescent="0.2">
      <c r="A3807" s="76"/>
      <c r="C3807" s="76"/>
    </row>
    <row r="3808" spans="1:3" x14ac:dyDescent="0.2">
      <c r="A3808" s="76"/>
      <c r="C3808" s="76"/>
    </row>
    <row r="3809" spans="1:3" x14ac:dyDescent="0.2">
      <c r="A3809" s="76"/>
      <c r="C3809" s="76"/>
    </row>
    <row r="3810" spans="1:3" x14ac:dyDescent="0.2">
      <c r="A3810" s="76"/>
      <c r="C3810" s="76"/>
    </row>
    <row r="3811" spans="1:3" x14ac:dyDescent="0.2">
      <c r="A3811" s="76"/>
      <c r="C3811" s="76"/>
    </row>
    <row r="3812" spans="1:3" x14ac:dyDescent="0.2">
      <c r="A3812" s="76"/>
      <c r="C3812" s="76"/>
    </row>
    <row r="3813" spans="1:3" x14ac:dyDescent="0.2">
      <c r="A3813" s="76"/>
      <c r="C3813" s="76"/>
    </row>
    <row r="3814" spans="1:3" x14ac:dyDescent="0.2">
      <c r="A3814" s="76"/>
      <c r="C3814" s="76"/>
    </row>
    <row r="3815" spans="1:3" x14ac:dyDescent="0.2">
      <c r="A3815" s="76"/>
      <c r="C3815" s="76"/>
    </row>
    <row r="3816" spans="1:3" x14ac:dyDescent="0.2">
      <c r="A3816" s="76"/>
      <c r="C3816" s="76"/>
    </row>
    <row r="3817" spans="1:3" x14ac:dyDescent="0.2">
      <c r="A3817" s="76"/>
      <c r="C3817" s="76"/>
    </row>
    <row r="3818" spans="1:3" x14ac:dyDescent="0.2">
      <c r="A3818" s="76"/>
      <c r="C3818" s="76"/>
    </row>
    <row r="3819" spans="1:3" x14ac:dyDescent="0.2">
      <c r="A3819" s="76"/>
      <c r="C3819" s="76"/>
    </row>
    <row r="3820" spans="1:3" x14ac:dyDescent="0.2">
      <c r="A3820" s="76"/>
      <c r="C3820" s="76"/>
    </row>
    <row r="3821" spans="1:3" x14ac:dyDescent="0.2">
      <c r="A3821" s="76"/>
      <c r="C3821" s="76"/>
    </row>
    <row r="3822" spans="1:3" x14ac:dyDescent="0.2">
      <c r="A3822" s="76"/>
      <c r="C3822" s="76"/>
    </row>
    <row r="3823" spans="1:3" x14ac:dyDescent="0.2">
      <c r="A3823" s="76"/>
      <c r="C3823" s="76"/>
    </row>
    <row r="3824" spans="1:3" x14ac:dyDescent="0.2">
      <c r="A3824" s="76"/>
      <c r="C3824" s="76"/>
    </row>
    <row r="3825" spans="1:3" x14ac:dyDescent="0.2">
      <c r="A3825" s="76"/>
      <c r="C3825" s="76"/>
    </row>
    <row r="3826" spans="1:3" x14ac:dyDescent="0.2">
      <c r="A3826" s="76"/>
      <c r="C3826" s="76"/>
    </row>
    <row r="3827" spans="1:3" x14ac:dyDescent="0.2">
      <c r="A3827" s="76"/>
      <c r="C3827" s="76"/>
    </row>
    <row r="3828" spans="1:3" x14ac:dyDescent="0.2">
      <c r="A3828" s="76"/>
      <c r="C3828" s="76"/>
    </row>
    <row r="3829" spans="1:3" x14ac:dyDescent="0.2">
      <c r="A3829" s="76"/>
      <c r="C3829" s="76"/>
    </row>
    <row r="3830" spans="1:3" x14ac:dyDescent="0.2">
      <c r="A3830" s="76"/>
      <c r="C3830" s="76"/>
    </row>
    <row r="3831" spans="1:3" x14ac:dyDescent="0.2">
      <c r="A3831" s="76"/>
      <c r="C3831" s="76"/>
    </row>
    <row r="3832" spans="1:3" x14ac:dyDescent="0.2">
      <c r="A3832" s="76"/>
      <c r="C3832" s="76"/>
    </row>
    <row r="3833" spans="1:3" x14ac:dyDescent="0.2">
      <c r="A3833" s="76"/>
      <c r="C3833" s="76"/>
    </row>
    <row r="3834" spans="1:3" x14ac:dyDescent="0.2">
      <c r="A3834" s="76"/>
      <c r="C3834" s="76"/>
    </row>
    <row r="3835" spans="1:3" x14ac:dyDescent="0.2">
      <c r="A3835" s="76"/>
      <c r="C3835" s="76"/>
    </row>
    <row r="3836" spans="1:3" x14ac:dyDescent="0.2">
      <c r="A3836" s="76"/>
      <c r="C3836" s="76"/>
    </row>
    <row r="3837" spans="1:3" x14ac:dyDescent="0.2">
      <c r="A3837" s="76"/>
      <c r="C3837" s="76"/>
    </row>
    <row r="3838" spans="1:3" x14ac:dyDescent="0.2">
      <c r="A3838" s="76"/>
      <c r="C3838" s="76"/>
    </row>
    <row r="3839" spans="1:3" x14ac:dyDescent="0.2">
      <c r="A3839" s="76"/>
      <c r="C3839" s="76"/>
    </row>
    <row r="3840" spans="1:3" x14ac:dyDescent="0.2">
      <c r="A3840" s="76"/>
      <c r="C3840" s="76"/>
    </row>
    <row r="3841" spans="1:3" x14ac:dyDescent="0.2">
      <c r="A3841" s="76"/>
      <c r="C3841" s="76"/>
    </row>
    <row r="3842" spans="1:3" x14ac:dyDescent="0.2">
      <c r="A3842" s="76"/>
      <c r="C3842" s="76"/>
    </row>
    <row r="3843" spans="1:3" x14ac:dyDescent="0.2">
      <c r="A3843" s="76"/>
      <c r="C3843" s="76"/>
    </row>
    <row r="3844" spans="1:3" x14ac:dyDescent="0.2">
      <c r="A3844" s="76"/>
      <c r="C3844" s="76"/>
    </row>
    <row r="3845" spans="1:3" x14ac:dyDescent="0.2">
      <c r="A3845" s="76"/>
      <c r="C3845" s="76"/>
    </row>
    <row r="3846" spans="1:3" x14ac:dyDescent="0.2">
      <c r="A3846" s="76"/>
      <c r="C3846" s="76"/>
    </row>
    <row r="3847" spans="1:3" x14ac:dyDescent="0.2">
      <c r="A3847" s="76"/>
      <c r="C3847" s="76"/>
    </row>
    <row r="3848" spans="1:3" x14ac:dyDescent="0.2">
      <c r="A3848" s="76"/>
      <c r="C3848" s="76"/>
    </row>
    <row r="3849" spans="1:3" x14ac:dyDescent="0.2">
      <c r="A3849" s="76"/>
      <c r="C3849" s="76"/>
    </row>
    <row r="3850" spans="1:3" x14ac:dyDescent="0.2">
      <c r="A3850" s="76"/>
      <c r="C3850" s="76"/>
    </row>
    <row r="3851" spans="1:3" x14ac:dyDescent="0.2">
      <c r="A3851" s="76"/>
      <c r="C3851" s="76"/>
    </row>
    <row r="3852" spans="1:3" x14ac:dyDescent="0.2">
      <c r="A3852" s="76"/>
      <c r="C3852" s="76"/>
    </row>
    <row r="3853" spans="1:3" x14ac:dyDescent="0.2">
      <c r="A3853" s="76"/>
      <c r="C3853" s="76"/>
    </row>
    <row r="3854" spans="1:3" x14ac:dyDescent="0.2">
      <c r="A3854" s="76"/>
      <c r="C3854" s="76"/>
    </row>
    <row r="3855" spans="1:3" x14ac:dyDescent="0.2">
      <c r="A3855" s="76"/>
      <c r="C3855" s="76"/>
    </row>
    <row r="3856" spans="1:3" x14ac:dyDescent="0.2">
      <c r="A3856" s="76"/>
      <c r="C3856" s="76"/>
    </row>
    <row r="3857" spans="1:3" x14ac:dyDescent="0.2">
      <c r="A3857" s="76"/>
      <c r="C3857" s="76"/>
    </row>
    <row r="3858" spans="1:3" x14ac:dyDescent="0.2">
      <c r="A3858" s="76"/>
      <c r="C3858" s="76"/>
    </row>
    <row r="3859" spans="1:3" x14ac:dyDescent="0.2">
      <c r="A3859" s="76"/>
      <c r="C3859" s="76"/>
    </row>
    <row r="3860" spans="1:3" x14ac:dyDescent="0.2">
      <c r="A3860" s="76"/>
      <c r="C3860" s="76"/>
    </row>
    <row r="3861" spans="1:3" x14ac:dyDescent="0.2">
      <c r="A3861" s="76"/>
      <c r="C3861" s="76"/>
    </row>
    <row r="3862" spans="1:3" x14ac:dyDescent="0.2">
      <c r="A3862" s="76"/>
      <c r="C3862" s="76"/>
    </row>
    <row r="3863" spans="1:3" x14ac:dyDescent="0.2">
      <c r="A3863" s="76"/>
      <c r="C3863" s="76"/>
    </row>
    <row r="3864" spans="1:3" x14ac:dyDescent="0.2">
      <c r="A3864" s="76"/>
      <c r="C3864" s="76"/>
    </row>
    <row r="3865" spans="1:3" x14ac:dyDescent="0.2">
      <c r="A3865" s="76"/>
      <c r="C3865" s="76"/>
    </row>
    <row r="3866" spans="1:3" x14ac:dyDescent="0.2">
      <c r="A3866" s="76"/>
      <c r="C3866" s="76"/>
    </row>
    <row r="3867" spans="1:3" x14ac:dyDescent="0.2">
      <c r="A3867" s="76"/>
      <c r="C3867" s="76"/>
    </row>
    <row r="3868" spans="1:3" x14ac:dyDescent="0.2">
      <c r="A3868" s="76"/>
      <c r="C3868" s="76"/>
    </row>
    <row r="3869" spans="1:3" x14ac:dyDescent="0.2">
      <c r="A3869" s="76"/>
      <c r="C3869" s="76"/>
    </row>
    <row r="3870" spans="1:3" x14ac:dyDescent="0.2">
      <c r="A3870" s="76"/>
      <c r="C3870" s="76"/>
    </row>
    <row r="3871" spans="1:3" x14ac:dyDescent="0.2">
      <c r="A3871" s="76"/>
      <c r="C3871" s="76"/>
    </row>
    <row r="3872" spans="1:3" x14ac:dyDescent="0.2">
      <c r="A3872" s="76"/>
      <c r="C3872" s="76"/>
    </row>
    <row r="3873" spans="1:3" x14ac:dyDescent="0.2">
      <c r="A3873" s="76"/>
      <c r="C3873" s="76"/>
    </row>
    <row r="3874" spans="1:3" x14ac:dyDescent="0.2">
      <c r="A3874" s="76"/>
      <c r="C3874" s="76"/>
    </row>
    <row r="3875" spans="1:3" x14ac:dyDescent="0.2">
      <c r="A3875" s="76"/>
      <c r="C3875" s="76"/>
    </row>
    <row r="3876" spans="1:3" x14ac:dyDescent="0.2">
      <c r="A3876" s="76"/>
      <c r="C3876" s="76"/>
    </row>
    <row r="3877" spans="1:3" x14ac:dyDescent="0.2">
      <c r="A3877" s="76"/>
      <c r="C3877" s="76"/>
    </row>
    <row r="3878" spans="1:3" x14ac:dyDescent="0.2">
      <c r="A3878" s="76"/>
      <c r="C3878" s="76"/>
    </row>
    <row r="3879" spans="1:3" x14ac:dyDescent="0.2">
      <c r="A3879" s="76"/>
      <c r="C3879" s="76"/>
    </row>
    <row r="3880" spans="1:3" x14ac:dyDescent="0.2">
      <c r="A3880" s="76"/>
      <c r="C3880" s="76"/>
    </row>
    <row r="3881" spans="1:3" x14ac:dyDescent="0.2">
      <c r="A3881" s="76"/>
      <c r="C3881" s="76"/>
    </row>
    <row r="3882" spans="1:3" x14ac:dyDescent="0.2">
      <c r="A3882" s="76"/>
      <c r="C3882" s="76"/>
    </row>
    <row r="3883" spans="1:3" x14ac:dyDescent="0.2">
      <c r="A3883" s="76"/>
      <c r="C3883" s="76"/>
    </row>
    <row r="3884" spans="1:3" x14ac:dyDescent="0.2">
      <c r="A3884" s="76"/>
      <c r="C3884" s="76"/>
    </row>
    <row r="3885" spans="1:3" x14ac:dyDescent="0.2">
      <c r="A3885" s="76"/>
      <c r="C3885" s="76"/>
    </row>
    <row r="3886" spans="1:3" x14ac:dyDescent="0.2">
      <c r="A3886" s="76"/>
      <c r="C3886" s="76"/>
    </row>
    <row r="3887" spans="1:3" x14ac:dyDescent="0.2">
      <c r="A3887" s="76"/>
      <c r="C3887" s="76"/>
    </row>
    <row r="3888" spans="1:3" x14ac:dyDescent="0.2">
      <c r="A3888" s="76"/>
      <c r="C3888" s="76"/>
    </row>
    <row r="3889" spans="1:3" x14ac:dyDescent="0.2">
      <c r="A3889" s="76"/>
      <c r="C3889" s="76"/>
    </row>
    <row r="3890" spans="1:3" x14ac:dyDescent="0.2">
      <c r="A3890" s="76"/>
      <c r="C3890" s="76"/>
    </row>
    <row r="3891" spans="1:3" x14ac:dyDescent="0.2">
      <c r="A3891" s="76"/>
      <c r="C3891" s="76"/>
    </row>
    <row r="3892" spans="1:3" x14ac:dyDescent="0.2">
      <c r="A3892" s="76"/>
      <c r="C3892" s="76"/>
    </row>
    <row r="3893" spans="1:3" x14ac:dyDescent="0.2">
      <c r="A3893" s="76"/>
      <c r="C3893" s="76"/>
    </row>
    <row r="3894" spans="1:3" x14ac:dyDescent="0.2">
      <c r="A3894" s="76"/>
      <c r="C3894" s="76"/>
    </row>
    <row r="3895" spans="1:3" x14ac:dyDescent="0.2">
      <c r="A3895" s="76"/>
      <c r="C3895" s="76"/>
    </row>
    <row r="3896" spans="1:3" x14ac:dyDescent="0.2">
      <c r="A3896" s="76"/>
      <c r="C3896" s="76"/>
    </row>
    <row r="3897" spans="1:3" x14ac:dyDescent="0.2">
      <c r="A3897" s="76"/>
      <c r="C3897" s="76"/>
    </row>
    <row r="3898" spans="1:3" x14ac:dyDescent="0.2">
      <c r="A3898" s="76"/>
      <c r="C3898" s="76"/>
    </row>
    <row r="3899" spans="1:3" x14ac:dyDescent="0.2">
      <c r="A3899" s="76"/>
      <c r="C3899" s="76"/>
    </row>
    <row r="3900" spans="1:3" x14ac:dyDescent="0.2">
      <c r="A3900" s="76"/>
      <c r="C3900" s="76"/>
    </row>
    <row r="3901" spans="1:3" x14ac:dyDescent="0.2">
      <c r="A3901" s="76"/>
      <c r="C3901" s="76"/>
    </row>
    <row r="3902" spans="1:3" x14ac:dyDescent="0.2">
      <c r="A3902" s="76"/>
      <c r="C3902" s="76"/>
    </row>
    <row r="3903" spans="1:3" x14ac:dyDescent="0.2">
      <c r="A3903" s="76"/>
      <c r="C3903" s="76"/>
    </row>
    <row r="3904" spans="1:3" x14ac:dyDescent="0.2">
      <c r="A3904" s="76"/>
      <c r="C3904" s="76"/>
    </row>
    <row r="3905" spans="1:3" x14ac:dyDescent="0.2">
      <c r="A3905" s="76"/>
      <c r="C3905" s="76"/>
    </row>
    <row r="3906" spans="1:3" x14ac:dyDescent="0.2">
      <c r="A3906" s="76"/>
      <c r="C3906" s="76"/>
    </row>
    <row r="3907" spans="1:3" x14ac:dyDescent="0.2">
      <c r="A3907" s="76"/>
      <c r="C3907" s="76"/>
    </row>
    <row r="3908" spans="1:3" x14ac:dyDescent="0.2">
      <c r="A3908" s="76"/>
      <c r="C3908" s="76"/>
    </row>
    <row r="3909" spans="1:3" x14ac:dyDescent="0.2">
      <c r="A3909" s="76"/>
      <c r="C3909" s="76"/>
    </row>
    <row r="3910" spans="1:3" x14ac:dyDescent="0.2">
      <c r="A3910" s="76"/>
      <c r="C3910" s="76"/>
    </row>
    <row r="3911" spans="1:3" x14ac:dyDescent="0.2">
      <c r="A3911" s="76"/>
      <c r="C3911" s="76"/>
    </row>
    <row r="3912" spans="1:3" x14ac:dyDescent="0.2">
      <c r="A3912" s="76"/>
      <c r="C3912" s="76"/>
    </row>
    <row r="3913" spans="1:3" x14ac:dyDescent="0.2">
      <c r="A3913" s="76"/>
      <c r="C3913" s="76"/>
    </row>
    <row r="3914" spans="1:3" x14ac:dyDescent="0.2">
      <c r="A3914" s="76"/>
      <c r="C3914" s="76"/>
    </row>
    <row r="3915" spans="1:3" x14ac:dyDescent="0.2">
      <c r="A3915" s="76"/>
      <c r="C3915" s="76"/>
    </row>
    <row r="3916" spans="1:3" x14ac:dyDescent="0.2">
      <c r="A3916" s="76"/>
      <c r="C3916" s="76"/>
    </row>
    <row r="3917" spans="1:3" x14ac:dyDescent="0.2">
      <c r="A3917" s="76"/>
      <c r="C3917" s="76"/>
    </row>
    <row r="3918" spans="1:3" x14ac:dyDescent="0.2">
      <c r="A3918" s="76"/>
      <c r="C3918" s="76"/>
    </row>
    <row r="3919" spans="1:3" x14ac:dyDescent="0.2">
      <c r="A3919" s="76"/>
      <c r="C3919" s="76"/>
    </row>
    <row r="3920" spans="1:3" x14ac:dyDescent="0.2">
      <c r="A3920" s="76"/>
      <c r="C3920" s="76"/>
    </row>
    <row r="3921" spans="1:3" x14ac:dyDescent="0.2">
      <c r="A3921" s="76"/>
      <c r="C3921" s="76"/>
    </row>
    <row r="3922" spans="1:3" x14ac:dyDescent="0.2">
      <c r="A3922" s="76"/>
      <c r="C3922" s="76"/>
    </row>
    <row r="3923" spans="1:3" x14ac:dyDescent="0.2">
      <c r="A3923" s="76"/>
      <c r="C3923" s="76"/>
    </row>
    <row r="3924" spans="1:3" x14ac:dyDescent="0.2">
      <c r="A3924" s="76"/>
      <c r="C3924" s="76"/>
    </row>
    <row r="3925" spans="1:3" x14ac:dyDescent="0.2">
      <c r="A3925" s="76"/>
      <c r="C3925" s="76"/>
    </row>
    <row r="3926" spans="1:3" x14ac:dyDescent="0.2">
      <c r="A3926" s="76"/>
      <c r="C3926" s="76"/>
    </row>
    <row r="3927" spans="1:3" x14ac:dyDescent="0.2">
      <c r="A3927" s="76"/>
      <c r="C3927" s="76"/>
    </row>
    <row r="3928" spans="1:3" x14ac:dyDescent="0.2">
      <c r="A3928" s="76"/>
      <c r="C3928" s="76"/>
    </row>
    <row r="3929" spans="1:3" x14ac:dyDescent="0.2">
      <c r="A3929" s="76"/>
      <c r="C3929" s="76"/>
    </row>
    <row r="3930" spans="1:3" x14ac:dyDescent="0.2">
      <c r="A3930" s="76"/>
      <c r="C3930" s="76"/>
    </row>
    <row r="3931" spans="1:3" x14ac:dyDescent="0.2">
      <c r="A3931" s="76"/>
      <c r="C3931" s="76"/>
    </row>
    <row r="3932" spans="1:3" x14ac:dyDescent="0.2">
      <c r="A3932" s="76"/>
      <c r="C3932" s="76"/>
    </row>
    <row r="3933" spans="1:3" x14ac:dyDescent="0.2">
      <c r="A3933" s="76"/>
      <c r="C3933" s="76"/>
    </row>
    <row r="3934" spans="1:3" x14ac:dyDescent="0.2">
      <c r="A3934" s="76"/>
      <c r="C3934" s="76"/>
    </row>
    <row r="3935" spans="1:3" x14ac:dyDescent="0.2">
      <c r="A3935" s="76"/>
      <c r="C3935" s="76"/>
    </row>
    <row r="3936" spans="1:3" x14ac:dyDescent="0.2">
      <c r="A3936" s="76"/>
      <c r="C3936" s="76"/>
    </row>
    <row r="3937" spans="1:3" x14ac:dyDescent="0.2">
      <c r="A3937" s="76"/>
      <c r="C3937" s="76"/>
    </row>
    <row r="3938" spans="1:3" x14ac:dyDescent="0.2">
      <c r="A3938" s="76"/>
      <c r="C3938" s="76"/>
    </row>
    <row r="3939" spans="1:3" x14ac:dyDescent="0.2">
      <c r="A3939" s="76"/>
      <c r="C3939" s="76"/>
    </row>
    <row r="3940" spans="1:3" x14ac:dyDescent="0.2">
      <c r="A3940" s="76"/>
      <c r="C3940" s="76"/>
    </row>
    <row r="3941" spans="1:3" x14ac:dyDescent="0.2">
      <c r="A3941" s="76"/>
      <c r="C3941" s="76"/>
    </row>
    <row r="3942" spans="1:3" x14ac:dyDescent="0.2">
      <c r="A3942" s="76"/>
      <c r="C3942" s="76"/>
    </row>
    <row r="3943" spans="1:3" x14ac:dyDescent="0.2">
      <c r="A3943" s="76"/>
      <c r="C3943" s="76"/>
    </row>
    <row r="3944" spans="1:3" x14ac:dyDescent="0.2">
      <c r="A3944" s="76"/>
      <c r="C3944" s="76"/>
    </row>
    <row r="3945" spans="1:3" x14ac:dyDescent="0.2">
      <c r="A3945" s="76"/>
      <c r="C3945" s="76"/>
    </row>
    <row r="3946" spans="1:3" x14ac:dyDescent="0.2">
      <c r="A3946" s="76"/>
      <c r="C3946" s="76"/>
    </row>
    <row r="3947" spans="1:3" x14ac:dyDescent="0.2">
      <c r="A3947" s="76"/>
      <c r="C3947" s="76"/>
    </row>
    <row r="3948" spans="1:3" x14ac:dyDescent="0.2">
      <c r="A3948" s="76"/>
      <c r="C3948" s="76"/>
    </row>
    <row r="3949" spans="1:3" x14ac:dyDescent="0.2">
      <c r="A3949" s="76"/>
      <c r="C3949" s="76"/>
    </row>
    <row r="3950" spans="1:3" x14ac:dyDescent="0.2">
      <c r="A3950" s="76"/>
      <c r="C3950" s="76"/>
    </row>
    <row r="3951" spans="1:3" x14ac:dyDescent="0.2">
      <c r="A3951" s="76"/>
      <c r="C3951" s="76"/>
    </row>
    <row r="3952" spans="1:3" x14ac:dyDescent="0.2">
      <c r="A3952" s="76"/>
      <c r="C3952" s="76"/>
    </row>
    <row r="3953" spans="1:3" x14ac:dyDescent="0.2">
      <c r="A3953" s="76"/>
      <c r="C3953" s="76"/>
    </row>
    <row r="3954" spans="1:3" x14ac:dyDescent="0.2">
      <c r="A3954" s="76"/>
      <c r="C3954" s="76"/>
    </row>
    <row r="3955" spans="1:3" x14ac:dyDescent="0.2">
      <c r="A3955" s="76"/>
      <c r="C3955" s="76"/>
    </row>
    <row r="3956" spans="1:3" x14ac:dyDescent="0.2">
      <c r="A3956" s="76"/>
      <c r="C3956" s="76"/>
    </row>
    <row r="3957" spans="1:3" x14ac:dyDescent="0.2">
      <c r="A3957" s="76"/>
      <c r="C3957" s="76"/>
    </row>
    <row r="3958" spans="1:3" x14ac:dyDescent="0.2">
      <c r="A3958" s="76"/>
      <c r="C3958" s="76"/>
    </row>
    <row r="3959" spans="1:3" x14ac:dyDescent="0.2">
      <c r="A3959" s="76"/>
      <c r="C3959" s="76"/>
    </row>
    <row r="3960" spans="1:3" x14ac:dyDescent="0.2">
      <c r="A3960" s="76"/>
      <c r="C3960" s="76"/>
    </row>
    <row r="3961" spans="1:3" x14ac:dyDescent="0.2">
      <c r="A3961" s="76"/>
      <c r="C3961" s="76"/>
    </row>
    <row r="3962" spans="1:3" x14ac:dyDescent="0.2">
      <c r="A3962" s="76"/>
      <c r="C3962" s="76"/>
    </row>
    <row r="3963" spans="1:3" x14ac:dyDescent="0.2">
      <c r="A3963" s="76"/>
      <c r="C3963" s="76"/>
    </row>
    <row r="3964" spans="1:3" x14ac:dyDescent="0.2">
      <c r="A3964" s="76"/>
      <c r="C3964" s="76"/>
    </row>
    <row r="3965" spans="1:3" x14ac:dyDescent="0.2">
      <c r="A3965" s="76"/>
      <c r="C3965" s="76"/>
    </row>
    <row r="3966" spans="1:3" x14ac:dyDescent="0.2">
      <c r="A3966" s="76"/>
      <c r="C3966" s="76"/>
    </row>
    <row r="3967" spans="1:3" x14ac:dyDescent="0.2">
      <c r="A3967" s="76"/>
      <c r="C3967" s="76"/>
    </row>
    <row r="3968" spans="1:3" x14ac:dyDescent="0.2">
      <c r="A3968" s="76"/>
      <c r="C3968" s="76"/>
    </row>
    <row r="3969" spans="1:3" x14ac:dyDescent="0.2">
      <c r="A3969" s="76"/>
      <c r="C3969" s="76"/>
    </row>
    <row r="3970" spans="1:3" x14ac:dyDescent="0.2">
      <c r="A3970" s="76"/>
      <c r="C3970" s="76"/>
    </row>
    <row r="3971" spans="1:3" x14ac:dyDescent="0.2">
      <c r="A3971" s="76"/>
      <c r="C3971" s="76"/>
    </row>
    <row r="3972" spans="1:3" x14ac:dyDescent="0.2">
      <c r="A3972" s="76"/>
      <c r="C3972" s="76"/>
    </row>
    <row r="3973" spans="1:3" x14ac:dyDescent="0.2">
      <c r="A3973" s="76"/>
      <c r="C3973" s="76"/>
    </row>
    <row r="3974" spans="1:3" x14ac:dyDescent="0.2">
      <c r="A3974" s="76"/>
      <c r="C3974" s="76"/>
    </row>
    <row r="3975" spans="1:3" x14ac:dyDescent="0.2">
      <c r="A3975" s="76"/>
      <c r="C3975" s="76"/>
    </row>
    <row r="3976" spans="1:3" x14ac:dyDescent="0.2">
      <c r="A3976" s="76"/>
      <c r="C3976" s="76"/>
    </row>
    <row r="3977" spans="1:3" x14ac:dyDescent="0.2">
      <c r="A3977" s="76"/>
      <c r="C3977" s="76"/>
    </row>
    <row r="3978" spans="1:3" x14ac:dyDescent="0.2">
      <c r="A3978" s="76"/>
      <c r="C3978" s="76"/>
    </row>
    <row r="3979" spans="1:3" x14ac:dyDescent="0.2">
      <c r="A3979" s="76"/>
      <c r="C3979" s="76"/>
    </row>
    <row r="3980" spans="1:3" x14ac:dyDescent="0.2">
      <c r="A3980" s="76"/>
      <c r="C3980" s="76"/>
    </row>
    <row r="3981" spans="1:3" x14ac:dyDescent="0.2">
      <c r="A3981" s="76"/>
      <c r="C3981" s="76"/>
    </row>
    <row r="3982" spans="1:3" x14ac:dyDescent="0.2">
      <c r="A3982" s="76"/>
      <c r="C3982" s="76"/>
    </row>
    <row r="3983" spans="1:3" x14ac:dyDescent="0.2">
      <c r="A3983" s="76"/>
      <c r="C3983" s="76"/>
    </row>
    <row r="3984" spans="1:3" x14ac:dyDescent="0.2">
      <c r="A3984" s="76"/>
      <c r="C3984" s="76"/>
    </row>
    <row r="3985" spans="1:3" x14ac:dyDescent="0.2">
      <c r="A3985" s="76"/>
      <c r="C3985" s="76"/>
    </row>
    <row r="3986" spans="1:3" x14ac:dyDescent="0.2">
      <c r="A3986" s="76"/>
      <c r="C3986" s="76"/>
    </row>
    <row r="3987" spans="1:3" x14ac:dyDescent="0.2">
      <c r="A3987" s="76"/>
      <c r="C3987" s="76"/>
    </row>
    <row r="3988" spans="1:3" x14ac:dyDescent="0.2">
      <c r="A3988" s="76"/>
      <c r="C3988" s="76"/>
    </row>
    <row r="3989" spans="1:3" x14ac:dyDescent="0.2">
      <c r="A3989" s="76"/>
      <c r="C3989" s="76"/>
    </row>
    <row r="3990" spans="1:3" x14ac:dyDescent="0.2">
      <c r="A3990" s="76"/>
      <c r="C3990" s="76"/>
    </row>
    <row r="3991" spans="1:3" x14ac:dyDescent="0.2">
      <c r="A3991" s="76"/>
      <c r="C3991" s="76"/>
    </row>
    <row r="3992" spans="1:3" x14ac:dyDescent="0.2">
      <c r="A3992" s="76"/>
      <c r="C3992" s="76"/>
    </row>
    <row r="3993" spans="1:3" x14ac:dyDescent="0.2">
      <c r="A3993" s="76"/>
      <c r="C3993" s="76"/>
    </row>
    <row r="3994" spans="1:3" x14ac:dyDescent="0.2">
      <c r="A3994" s="76"/>
      <c r="C3994" s="76"/>
    </row>
    <row r="3995" spans="1:3" x14ac:dyDescent="0.2">
      <c r="A3995" s="76"/>
      <c r="C3995" s="76"/>
    </row>
    <row r="3996" spans="1:3" x14ac:dyDescent="0.2">
      <c r="A3996" s="76"/>
      <c r="C3996" s="76"/>
    </row>
    <row r="3997" spans="1:3" x14ac:dyDescent="0.2">
      <c r="A3997" s="76"/>
      <c r="C3997" s="76"/>
    </row>
    <row r="3998" spans="1:3" x14ac:dyDescent="0.2">
      <c r="A3998" s="76"/>
      <c r="C3998" s="76"/>
    </row>
    <row r="3999" spans="1:3" x14ac:dyDescent="0.2">
      <c r="A3999" s="76"/>
      <c r="C3999" s="76"/>
    </row>
    <row r="4000" spans="1:3" x14ac:dyDescent="0.2">
      <c r="A4000" s="76"/>
      <c r="C4000" s="76"/>
    </row>
    <row r="4001" spans="1:3" x14ac:dyDescent="0.2">
      <c r="A4001" s="76"/>
      <c r="C4001" s="76"/>
    </row>
    <row r="4002" spans="1:3" x14ac:dyDescent="0.2">
      <c r="A4002" s="76"/>
      <c r="C4002" s="76"/>
    </row>
    <row r="4003" spans="1:3" x14ac:dyDescent="0.2">
      <c r="A4003" s="76"/>
      <c r="C4003" s="76"/>
    </row>
    <row r="4004" spans="1:3" x14ac:dyDescent="0.2">
      <c r="A4004" s="76"/>
      <c r="C4004" s="76"/>
    </row>
    <row r="4005" spans="1:3" x14ac:dyDescent="0.2">
      <c r="A4005" s="76"/>
      <c r="C4005" s="76"/>
    </row>
    <row r="4006" spans="1:3" x14ac:dyDescent="0.2">
      <c r="A4006" s="76"/>
      <c r="C4006" s="76"/>
    </row>
    <row r="4007" spans="1:3" x14ac:dyDescent="0.2">
      <c r="A4007" s="76"/>
      <c r="C4007" s="76"/>
    </row>
    <row r="4008" spans="1:3" x14ac:dyDescent="0.2">
      <c r="A4008" s="76"/>
      <c r="C4008" s="76"/>
    </row>
    <row r="4009" spans="1:3" x14ac:dyDescent="0.2">
      <c r="A4009" s="76"/>
      <c r="C4009" s="76"/>
    </row>
    <row r="4010" spans="1:3" x14ac:dyDescent="0.2">
      <c r="A4010" s="76"/>
      <c r="C4010" s="76"/>
    </row>
    <row r="4011" spans="1:3" x14ac:dyDescent="0.2">
      <c r="A4011" s="76"/>
      <c r="C4011" s="76"/>
    </row>
    <row r="4012" spans="1:3" x14ac:dyDescent="0.2">
      <c r="A4012" s="76"/>
      <c r="C4012" s="76"/>
    </row>
    <row r="4013" spans="1:3" x14ac:dyDescent="0.2">
      <c r="A4013" s="76"/>
      <c r="C4013" s="76"/>
    </row>
    <row r="4014" spans="1:3" x14ac:dyDescent="0.2">
      <c r="A4014" s="76"/>
      <c r="C4014" s="76"/>
    </row>
    <row r="4015" spans="1:3" x14ac:dyDescent="0.2">
      <c r="A4015" s="76"/>
      <c r="C4015" s="76"/>
    </row>
    <row r="4016" spans="1:3" x14ac:dyDescent="0.2">
      <c r="A4016" s="76"/>
      <c r="C4016" s="76"/>
    </row>
    <row r="4017" spans="1:3" x14ac:dyDescent="0.2">
      <c r="A4017" s="76"/>
      <c r="C4017" s="76"/>
    </row>
    <row r="4018" spans="1:3" x14ac:dyDescent="0.2">
      <c r="A4018" s="76"/>
      <c r="C4018" s="76"/>
    </row>
    <row r="4019" spans="1:3" x14ac:dyDescent="0.2">
      <c r="A4019" s="76"/>
      <c r="C4019" s="76"/>
    </row>
    <row r="4020" spans="1:3" x14ac:dyDescent="0.2">
      <c r="A4020" s="76"/>
      <c r="C4020" s="76"/>
    </row>
    <row r="4021" spans="1:3" x14ac:dyDescent="0.2">
      <c r="A4021" s="76"/>
      <c r="C4021" s="76"/>
    </row>
    <row r="4022" spans="1:3" x14ac:dyDescent="0.2">
      <c r="A4022" s="76"/>
      <c r="C4022" s="76"/>
    </row>
    <row r="4023" spans="1:3" x14ac:dyDescent="0.2">
      <c r="A4023" s="76"/>
      <c r="C4023" s="76"/>
    </row>
    <row r="4024" spans="1:3" x14ac:dyDescent="0.2">
      <c r="A4024" s="76"/>
      <c r="C4024" s="76"/>
    </row>
    <row r="4025" spans="1:3" x14ac:dyDescent="0.2">
      <c r="A4025" s="76"/>
      <c r="C4025" s="76"/>
    </row>
    <row r="4026" spans="1:3" x14ac:dyDescent="0.2">
      <c r="A4026" s="76"/>
      <c r="C4026" s="76"/>
    </row>
    <row r="4027" spans="1:3" x14ac:dyDescent="0.2">
      <c r="A4027" s="76"/>
      <c r="C4027" s="76"/>
    </row>
    <row r="4028" spans="1:3" x14ac:dyDescent="0.2">
      <c r="A4028" s="76"/>
      <c r="C4028" s="76"/>
    </row>
    <row r="4029" spans="1:3" x14ac:dyDescent="0.2">
      <c r="A4029" s="76"/>
      <c r="C4029" s="76"/>
    </row>
    <row r="4030" spans="1:3" x14ac:dyDescent="0.2">
      <c r="A4030" s="76"/>
      <c r="C4030" s="76"/>
    </row>
    <row r="4031" spans="1:3" x14ac:dyDescent="0.2">
      <c r="A4031" s="76"/>
      <c r="C4031" s="76"/>
    </row>
    <row r="4032" spans="1:3" x14ac:dyDescent="0.2">
      <c r="A4032" s="76"/>
      <c r="C4032" s="76"/>
    </row>
    <row r="4033" spans="1:3" x14ac:dyDescent="0.2">
      <c r="A4033" s="76"/>
      <c r="C4033" s="76"/>
    </row>
    <row r="4034" spans="1:3" x14ac:dyDescent="0.2">
      <c r="A4034" s="76"/>
      <c r="C4034" s="76"/>
    </row>
    <row r="4035" spans="1:3" x14ac:dyDescent="0.2">
      <c r="A4035" s="76"/>
      <c r="C4035" s="76"/>
    </row>
    <row r="4036" spans="1:3" x14ac:dyDescent="0.2">
      <c r="A4036" s="76"/>
      <c r="C4036" s="76"/>
    </row>
    <row r="4037" spans="1:3" x14ac:dyDescent="0.2">
      <c r="A4037" s="76"/>
      <c r="C4037" s="76"/>
    </row>
    <row r="4038" spans="1:3" x14ac:dyDescent="0.2">
      <c r="A4038" s="76"/>
      <c r="C4038" s="76"/>
    </row>
    <row r="4039" spans="1:3" x14ac:dyDescent="0.2">
      <c r="A4039" s="76"/>
      <c r="C4039" s="76"/>
    </row>
    <row r="4040" spans="1:3" x14ac:dyDescent="0.2">
      <c r="A4040" s="76"/>
      <c r="C4040" s="76"/>
    </row>
    <row r="4041" spans="1:3" x14ac:dyDescent="0.2">
      <c r="A4041" s="76"/>
      <c r="C4041" s="76"/>
    </row>
    <row r="4042" spans="1:3" x14ac:dyDescent="0.2">
      <c r="A4042" s="76"/>
      <c r="C4042" s="76"/>
    </row>
    <row r="4043" spans="1:3" x14ac:dyDescent="0.2">
      <c r="A4043" s="76"/>
      <c r="C4043" s="76"/>
    </row>
    <row r="4044" spans="1:3" x14ac:dyDescent="0.2">
      <c r="A4044" s="76"/>
      <c r="C4044" s="76"/>
    </row>
    <row r="4045" spans="1:3" x14ac:dyDescent="0.2">
      <c r="A4045" s="76"/>
      <c r="C4045" s="76"/>
    </row>
    <row r="4046" spans="1:3" x14ac:dyDescent="0.2">
      <c r="A4046" s="76"/>
      <c r="C4046" s="76"/>
    </row>
    <row r="4047" spans="1:3" x14ac:dyDescent="0.2">
      <c r="A4047" s="76"/>
      <c r="C4047" s="76"/>
    </row>
    <row r="4048" spans="1:3" x14ac:dyDescent="0.2">
      <c r="A4048" s="76"/>
      <c r="C4048" s="76"/>
    </row>
    <row r="4049" spans="1:3" x14ac:dyDescent="0.2">
      <c r="A4049" s="76"/>
      <c r="C4049" s="76"/>
    </row>
    <row r="4050" spans="1:3" x14ac:dyDescent="0.2">
      <c r="A4050" s="76"/>
      <c r="C4050" s="76"/>
    </row>
    <row r="4051" spans="1:3" x14ac:dyDescent="0.2">
      <c r="A4051" s="76"/>
      <c r="C4051" s="76"/>
    </row>
    <row r="4052" spans="1:3" x14ac:dyDescent="0.2">
      <c r="A4052" s="76"/>
      <c r="C4052" s="76"/>
    </row>
    <row r="4053" spans="1:3" x14ac:dyDescent="0.2">
      <c r="A4053" s="76"/>
      <c r="C4053" s="76"/>
    </row>
    <row r="4054" spans="1:3" x14ac:dyDescent="0.2">
      <c r="A4054" s="76"/>
      <c r="C4054" s="76"/>
    </row>
    <row r="4055" spans="1:3" x14ac:dyDescent="0.2">
      <c r="A4055" s="76"/>
      <c r="C4055" s="76"/>
    </row>
    <row r="4056" spans="1:3" x14ac:dyDescent="0.2">
      <c r="A4056" s="76"/>
      <c r="C4056" s="76"/>
    </row>
    <row r="4057" spans="1:3" x14ac:dyDescent="0.2">
      <c r="A4057" s="76"/>
      <c r="C4057" s="76"/>
    </row>
    <row r="4058" spans="1:3" x14ac:dyDescent="0.2">
      <c r="A4058" s="76"/>
      <c r="C4058" s="76"/>
    </row>
    <row r="4059" spans="1:3" x14ac:dyDescent="0.2">
      <c r="A4059" s="76"/>
      <c r="C4059" s="76"/>
    </row>
    <row r="4060" spans="1:3" x14ac:dyDescent="0.2">
      <c r="A4060" s="76"/>
      <c r="C4060" s="76"/>
    </row>
    <row r="4061" spans="1:3" x14ac:dyDescent="0.2">
      <c r="A4061" s="76"/>
      <c r="C4061" s="76"/>
    </row>
    <row r="4062" spans="1:3" x14ac:dyDescent="0.2">
      <c r="A4062" s="76"/>
      <c r="C4062" s="76"/>
    </row>
    <row r="4063" spans="1:3" x14ac:dyDescent="0.2">
      <c r="A4063" s="76"/>
      <c r="C4063" s="76"/>
    </row>
    <row r="4064" spans="1:3" x14ac:dyDescent="0.2">
      <c r="A4064" s="76"/>
      <c r="C4064" s="76"/>
    </row>
    <row r="4065" spans="1:3" x14ac:dyDescent="0.2">
      <c r="A4065" s="76"/>
      <c r="C4065" s="76"/>
    </row>
    <row r="4066" spans="1:3" x14ac:dyDescent="0.2">
      <c r="A4066" s="76"/>
      <c r="C4066" s="76"/>
    </row>
    <row r="4067" spans="1:3" x14ac:dyDescent="0.2">
      <c r="A4067" s="76"/>
      <c r="C4067" s="76"/>
    </row>
    <row r="4068" spans="1:3" x14ac:dyDescent="0.2">
      <c r="A4068" s="76"/>
      <c r="C4068" s="76"/>
    </row>
    <row r="4069" spans="1:3" x14ac:dyDescent="0.2">
      <c r="A4069" s="76"/>
      <c r="C4069" s="76"/>
    </row>
    <row r="4070" spans="1:3" x14ac:dyDescent="0.2">
      <c r="A4070" s="76"/>
      <c r="C4070" s="76"/>
    </row>
    <row r="4071" spans="1:3" x14ac:dyDescent="0.2">
      <c r="A4071" s="76"/>
      <c r="C4071" s="76"/>
    </row>
    <row r="4072" spans="1:3" x14ac:dyDescent="0.2">
      <c r="A4072" s="76"/>
      <c r="C4072" s="76"/>
    </row>
    <row r="4073" spans="1:3" x14ac:dyDescent="0.2">
      <c r="A4073" s="76"/>
      <c r="C4073" s="76"/>
    </row>
    <row r="4074" spans="1:3" x14ac:dyDescent="0.2">
      <c r="A4074" s="76"/>
      <c r="C4074" s="76"/>
    </row>
    <row r="4075" spans="1:3" x14ac:dyDescent="0.2">
      <c r="A4075" s="76"/>
      <c r="C4075" s="76"/>
    </row>
    <row r="4076" spans="1:3" x14ac:dyDescent="0.2">
      <c r="A4076" s="76"/>
      <c r="C4076" s="76"/>
    </row>
    <row r="4077" spans="1:3" x14ac:dyDescent="0.2">
      <c r="A4077" s="76"/>
      <c r="C4077" s="76"/>
    </row>
    <row r="4078" spans="1:3" x14ac:dyDescent="0.2">
      <c r="A4078" s="76"/>
      <c r="C4078" s="76"/>
    </row>
    <row r="4079" spans="1:3" x14ac:dyDescent="0.2">
      <c r="A4079" s="76"/>
      <c r="C4079" s="76"/>
    </row>
    <row r="4080" spans="1:3" x14ac:dyDescent="0.2">
      <c r="A4080" s="76"/>
      <c r="C4080" s="76"/>
    </row>
    <row r="4081" spans="1:3" x14ac:dyDescent="0.2">
      <c r="A4081" s="76"/>
      <c r="C4081" s="76"/>
    </row>
    <row r="4082" spans="1:3" x14ac:dyDescent="0.2">
      <c r="A4082" s="76"/>
      <c r="C4082" s="76"/>
    </row>
    <row r="4083" spans="1:3" x14ac:dyDescent="0.2">
      <c r="A4083" s="76"/>
      <c r="C4083" s="76"/>
    </row>
    <row r="4084" spans="1:3" x14ac:dyDescent="0.2">
      <c r="A4084" s="76"/>
      <c r="C4084" s="76"/>
    </row>
    <row r="4085" spans="1:3" x14ac:dyDescent="0.2">
      <c r="A4085" s="76"/>
      <c r="C4085" s="76"/>
    </row>
    <row r="4086" spans="1:3" x14ac:dyDescent="0.2">
      <c r="A4086" s="76"/>
      <c r="C4086" s="76"/>
    </row>
    <row r="4087" spans="1:3" x14ac:dyDescent="0.2">
      <c r="A4087" s="76"/>
      <c r="C4087" s="76"/>
    </row>
    <row r="4088" spans="1:3" x14ac:dyDescent="0.2">
      <c r="A4088" s="76"/>
      <c r="C4088" s="76"/>
    </row>
    <row r="4089" spans="1:3" x14ac:dyDescent="0.2">
      <c r="A4089" s="76"/>
      <c r="C4089" s="76"/>
    </row>
    <row r="4090" spans="1:3" x14ac:dyDescent="0.2">
      <c r="A4090" s="76"/>
      <c r="C4090" s="76"/>
    </row>
    <row r="4091" spans="1:3" x14ac:dyDescent="0.2">
      <c r="A4091" s="76"/>
      <c r="C4091" s="76"/>
    </row>
    <row r="4092" spans="1:3" x14ac:dyDescent="0.2">
      <c r="A4092" s="76"/>
      <c r="C4092" s="76"/>
    </row>
    <row r="4093" spans="1:3" x14ac:dyDescent="0.2">
      <c r="A4093" s="76"/>
      <c r="C4093" s="76"/>
    </row>
    <row r="4094" spans="1:3" x14ac:dyDescent="0.2">
      <c r="A4094" s="76"/>
      <c r="C4094" s="76"/>
    </row>
    <row r="4095" spans="1:3" x14ac:dyDescent="0.2">
      <c r="A4095" s="76"/>
      <c r="C4095" s="76"/>
    </row>
    <row r="4096" spans="1:3" x14ac:dyDescent="0.2">
      <c r="A4096" s="76"/>
      <c r="C4096" s="76"/>
    </row>
    <row r="4097" spans="1:3" x14ac:dyDescent="0.2">
      <c r="A4097" s="76"/>
      <c r="C4097" s="76"/>
    </row>
    <row r="4098" spans="1:3" x14ac:dyDescent="0.2">
      <c r="A4098" s="76"/>
      <c r="C4098" s="76"/>
    </row>
    <row r="4099" spans="1:3" x14ac:dyDescent="0.2">
      <c r="A4099" s="76"/>
      <c r="C4099" s="76"/>
    </row>
    <row r="4100" spans="1:3" x14ac:dyDescent="0.2">
      <c r="A4100" s="76"/>
      <c r="C4100" s="76"/>
    </row>
    <row r="4101" spans="1:3" x14ac:dyDescent="0.2">
      <c r="A4101" s="76"/>
      <c r="C4101" s="76"/>
    </row>
    <row r="4102" spans="1:3" x14ac:dyDescent="0.2">
      <c r="A4102" s="76"/>
      <c r="C4102" s="76"/>
    </row>
    <row r="4103" spans="1:3" x14ac:dyDescent="0.2">
      <c r="A4103" s="76"/>
      <c r="C4103" s="76"/>
    </row>
    <row r="4104" spans="1:3" x14ac:dyDescent="0.2">
      <c r="A4104" s="76"/>
      <c r="C4104" s="76"/>
    </row>
    <row r="4105" spans="1:3" x14ac:dyDescent="0.2">
      <c r="A4105" s="76"/>
      <c r="C4105" s="76"/>
    </row>
    <row r="4106" spans="1:3" x14ac:dyDescent="0.2">
      <c r="A4106" s="76"/>
      <c r="C4106" s="76"/>
    </row>
    <row r="4107" spans="1:3" x14ac:dyDescent="0.2">
      <c r="A4107" s="76"/>
      <c r="C4107" s="76"/>
    </row>
    <row r="4108" spans="1:3" x14ac:dyDescent="0.2">
      <c r="A4108" s="76"/>
      <c r="C4108" s="76"/>
    </row>
    <row r="4109" spans="1:3" x14ac:dyDescent="0.2">
      <c r="A4109" s="76"/>
      <c r="C4109" s="76"/>
    </row>
    <row r="4110" spans="1:3" x14ac:dyDescent="0.2">
      <c r="A4110" s="76"/>
      <c r="C4110" s="76"/>
    </row>
    <row r="4111" spans="1:3" x14ac:dyDescent="0.2">
      <c r="A4111" s="76"/>
      <c r="C4111" s="76"/>
    </row>
    <row r="4112" spans="1:3" x14ac:dyDescent="0.2">
      <c r="A4112" s="76"/>
      <c r="C4112" s="76"/>
    </row>
    <row r="4113" spans="1:3" x14ac:dyDescent="0.2">
      <c r="A4113" s="76"/>
      <c r="C4113" s="76"/>
    </row>
    <row r="4114" spans="1:3" x14ac:dyDescent="0.2">
      <c r="A4114" s="76"/>
      <c r="C4114" s="76"/>
    </row>
    <row r="4115" spans="1:3" x14ac:dyDescent="0.2">
      <c r="A4115" s="76"/>
      <c r="C4115" s="76"/>
    </row>
    <row r="4116" spans="1:3" x14ac:dyDescent="0.2">
      <c r="A4116" s="76"/>
      <c r="C4116" s="76"/>
    </row>
    <row r="4117" spans="1:3" x14ac:dyDescent="0.2">
      <c r="A4117" s="76"/>
      <c r="C4117" s="76"/>
    </row>
    <row r="4118" spans="1:3" x14ac:dyDescent="0.2">
      <c r="A4118" s="76"/>
      <c r="C4118" s="76"/>
    </row>
    <row r="4119" spans="1:3" x14ac:dyDescent="0.2">
      <c r="A4119" s="76"/>
      <c r="C4119" s="76"/>
    </row>
    <row r="4120" spans="1:3" x14ac:dyDescent="0.2">
      <c r="A4120" s="76"/>
      <c r="C4120" s="76"/>
    </row>
    <row r="4121" spans="1:3" x14ac:dyDescent="0.2">
      <c r="A4121" s="76"/>
      <c r="C4121" s="76"/>
    </row>
    <row r="4122" spans="1:3" x14ac:dyDescent="0.2">
      <c r="A4122" s="76"/>
      <c r="C4122" s="76"/>
    </row>
    <row r="4123" spans="1:3" x14ac:dyDescent="0.2">
      <c r="A4123" s="76"/>
      <c r="C4123" s="76"/>
    </row>
    <row r="4124" spans="1:3" x14ac:dyDescent="0.2">
      <c r="A4124" s="76"/>
      <c r="C4124" s="76"/>
    </row>
    <row r="4125" spans="1:3" x14ac:dyDescent="0.2">
      <c r="A4125" s="76"/>
      <c r="C4125" s="76"/>
    </row>
    <row r="4126" spans="1:3" x14ac:dyDescent="0.2">
      <c r="A4126" s="76"/>
      <c r="C4126" s="76"/>
    </row>
    <row r="4127" spans="1:3" x14ac:dyDescent="0.2">
      <c r="A4127" s="76"/>
      <c r="C4127" s="76"/>
    </row>
    <row r="4128" spans="1:3" x14ac:dyDescent="0.2">
      <c r="A4128" s="76"/>
      <c r="C4128" s="76"/>
    </row>
    <row r="4129" spans="1:3" x14ac:dyDescent="0.2">
      <c r="A4129" s="76"/>
      <c r="C4129" s="76"/>
    </row>
    <row r="4130" spans="1:3" x14ac:dyDescent="0.2">
      <c r="A4130" s="76"/>
      <c r="C4130" s="76"/>
    </row>
    <row r="4131" spans="1:3" x14ac:dyDescent="0.2">
      <c r="A4131" s="76"/>
      <c r="C4131" s="76"/>
    </row>
    <row r="4132" spans="1:3" x14ac:dyDescent="0.2">
      <c r="A4132" s="76"/>
      <c r="C4132" s="76"/>
    </row>
    <row r="4133" spans="1:3" x14ac:dyDescent="0.2">
      <c r="A4133" s="76"/>
      <c r="C4133" s="76"/>
    </row>
    <row r="4134" spans="1:3" x14ac:dyDescent="0.2">
      <c r="A4134" s="76"/>
      <c r="C4134" s="76"/>
    </row>
    <row r="4135" spans="1:3" x14ac:dyDescent="0.2">
      <c r="A4135" s="76"/>
      <c r="C4135" s="76"/>
    </row>
    <row r="4136" spans="1:3" x14ac:dyDescent="0.2">
      <c r="A4136" s="76"/>
      <c r="C4136" s="76"/>
    </row>
    <row r="4137" spans="1:3" x14ac:dyDescent="0.2">
      <c r="A4137" s="76"/>
      <c r="C4137" s="76"/>
    </row>
    <row r="4138" spans="1:3" x14ac:dyDescent="0.2">
      <c r="A4138" s="76"/>
      <c r="C4138" s="76"/>
    </row>
    <row r="4139" spans="1:3" x14ac:dyDescent="0.2">
      <c r="A4139" s="76"/>
      <c r="C4139" s="76"/>
    </row>
    <row r="4140" spans="1:3" x14ac:dyDescent="0.2">
      <c r="A4140" s="76"/>
      <c r="C4140" s="76"/>
    </row>
    <row r="4141" spans="1:3" x14ac:dyDescent="0.2">
      <c r="A4141" s="76"/>
      <c r="C4141" s="76"/>
    </row>
    <row r="4142" spans="1:3" x14ac:dyDescent="0.2">
      <c r="A4142" s="76"/>
      <c r="C4142" s="76"/>
    </row>
    <row r="4143" spans="1:3" x14ac:dyDescent="0.2">
      <c r="A4143" s="76"/>
      <c r="C4143" s="76"/>
    </row>
    <row r="4144" spans="1:3" x14ac:dyDescent="0.2">
      <c r="A4144" s="76"/>
      <c r="C4144" s="76"/>
    </row>
    <row r="4145" spans="1:3" x14ac:dyDescent="0.2">
      <c r="A4145" s="76"/>
      <c r="C4145" s="76"/>
    </row>
    <row r="4146" spans="1:3" x14ac:dyDescent="0.2">
      <c r="A4146" s="76"/>
      <c r="C4146" s="76"/>
    </row>
    <row r="4147" spans="1:3" x14ac:dyDescent="0.2">
      <c r="A4147" s="76"/>
      <c r="C4147" s="76"/>
    </row>
    <row r="4148" spans="1:3" x14ac:dyDescent="0.2">
      <c r="A4148" s="76"/>
      <c r="C4148" s="76"/>
    </row>
    <row r="4149" spans="1:3" x14ac:dyDescent="0.2">
      <c r="A4149" s="76"/>
      <c r="C4149" s="76"/>
    </row>
    <row r="4150" spans="1:3" x14ac:dyDescent="0.2">
      <c r="A4150" s="76"/>
      <c r="C4150" s="76"/>
    </row>
    <row r="4151" spans="1:3" x14ac:dyDescent="0.2">
      <c r="A4151" s="76"/>
      <c r="C4151" s="76"/>
    </row>
    <row r="4152" spans="1:3" x14ac:dyDescent="0.2">
      <c r="A4152" s="76"/>
      <c r="C4152" s="76"/>
    </row>
    <row r="4153" spans="1:3" x14ac:dyDescent="0.2">
      <c r="A4153" s="76"/>
      <c r="C4153" s="76"/>
    </row>
    <row r="4154" spans="1:3" x14ac:dyDescent="0.2">
      <c r="A4154" s="76"/>
      <c r="C4154" s="76"/>
    </row>
    <row r="4155" spans="1:3" x14ac:dyDescent="0.2">
      <c r="A4155" s="76"/>
      <c r="C4155" s="76"/>
    </row>
    <row r="4156" spans="1:3" x14ac:dyDescent="0.2">
      <c r="A4156" s="76"/>
      <c r="C4156" s="76"/>
    </row>
    <row r="4157" spans="1:3" x14ac:dyDescent="0.2">
      <c r="A4157" s="76"/>
      <c r="C4157" s="76"/>
    </row>
    <row r="4158" spans="1:3" x14ac:dyDescent="0.2">
      <c r="A4158" s="76"/>
      <c r="C4158" s="76"/>
    </row>
    <row r="4159" spans="1:3" x14ac:dyDescent="0.2">
      <c r="A4159" s="76"/>
      <c r="C4159" s="76"/>
    </row>
    <row r="4160" spans="1:3" x14ac:dyDescent="0.2">
      <c r="A4160" s="76"/>
      <c r="C4160" s="76"/>
    </row>
    <row r="4161" spans="1:3" x14ac:dyDescent="0.2">
      <c r="A4161" s="76"/>
      <c r="C4161" s="76"/>
    </row>
    <row r="4162" spans="1:3" x14ac:dyDescent="0.2">
      <c r="A4162" s="76"/>
      <c r="C4162" s="76"/>
    </row>
    <row r="4163" spans="1:3" x14ac:dyDescent="0.2">
      <c r="A4163" s="76"/>
      <c r="C4163" s="76"/>
    </row>
    <row r="4164" spans="1:3" x14ac:dyDescent="0.2">
      <c r="A4164" s="76"/>
      <c r="C4164" s="76"/>
    </row>
    <row r="4165" spans="1:3" x14ac:dyDescent="0.2">
      <c r="A4165" s="76"/>
      <c r="C4165" s="76"/>
    </row>
    <row r="4166" spans="1:3" x14ac:dyDescent="0.2">
      <c r="A4166" s="76"/>
      <c r="C4166" s="76"/>
    </row>
    <row r="4167" spans="1:3" x14ac:dyDescent="0.2">
      <c r="A4167" s="76"/>
      <c r="C4167" s="76"/>
    </row>
    <row r="4168" spans="1:3" x14ac:dyDescent="0.2">
      <c r="A4168" s="76"/>
      <c r="C4168" s="76"/>
    </row>
    <row r="4169" spans="1:3" x14ac:dyDescent="0.2">
      <c r="A4169" s="76"/>
      <c r="C4169" s="76"/>
    </row>
    <row r="4170" spans="1:3" x14ac:dyDescent="0.2">
      <c r="A4170" s="76"/>
      <c r="C4170" s="76"/>
    </row>
    <row r="4171" spans="1:3" x14ac:dyDescent="0.2">
      <c r="A4171" s="76"/>
      <c r="C4171" s="76"/>
    </row>
    <row r="4172" spans="1:3" x14ac:dyDescent="0.2">
      <c r="A4172" s="76"/>
      <c r="C4172" s="76"/>
    </row>
    <row r="4173" spans="1:3" x14ac:dyDescent="0.2">
      <c r="A4173" s="76"/>
      <c r="C4173" s="76"/>
    </row>
    <row r="4174" spans="1:3" x14ac:dyDescent="0.2">
      <c r="A4174" s="76"/>
      <c r="C4174" s="76"/>
    </row>
    <row r="4175" spans="1:3" x14ac:dyDescent="0.2">
      <c r="A4175" s="76"/>
      <c r="C4175" s="76"/>
    </row>
    <row r="4176" spans="1:3" x14ac:dyDescent="0.2">
      <c r="A4176" s="76"/>
      <c r="C4176" s="76"/>
    </row>
    <row r="4177" spans="1:3" x14ac:dyDescent="0.2">
      <c r="A4177" s="76"/>
      <c r="C4177" s="76"/>
    </row>
    <row r="4178" spans="1:3" x14ac:dyDescent="0.2">
      <c r="A4178" s="76"/>
      <c r="C4178" s="76"/>
    </row>
    <row r="4179" spans="1:3" x14ac:dyDescent="0.2">
      <c r="A4179" s="76"/>
      <c r="C4179" s="76"/>
    </row>
    <row r="4180" spans="1:3" x14ac:dyDescent="0.2">
      <c r="A4180" s="76"/>
      <c r="C4180" s="76"/>
    </row>
    <row r="4181" spans="1:3" x14ac:dyDescent="0.2">
      <c r="A4181" s="76"/>
      <c r="C4181" s="76"/>
    </row>
    <row r="4182" spans="1:3" x14ac:dyDescent="0.2">
      <c r="A4182" s="76"/>
      <c r="C4182" s="76"/>
    </row>
    <row r="4183" spans="1:3" x14ac:dyDescent="0.2">
      <c r="A4183" s="76"/>
      <c r="C4183" s="76"/>
    </row>
    <row r="4184" spans="1:3" x14ac:dyDescent="0.2">
      <c r="A4184" s="76"/>
      <c r="C4184" s="76"/>
    </row>
    <row r="4185" spans="1:3" x14ac:dyDescent="0.2">
      <c r="A4185" s="76"/>
      <c r="C4185" s="76"/>
    </row>
    <row r="4186" spans="1:3" x14ac:dyDescent="0.2">
      <c r="A4186" s="76"/>
      <c r="C4186" s="76"/>
    </row>
    <row r="4187" spans="1:3" x14ac:dyDescent="0.2">
      <c r="A4187" s="76"/>
      <c r="C4187" s="76"/>
    </row>
    <row r="4188" spans="1:3" x14ac:dyDescent="0.2">
      <c r="A4188" s="76"/>
      <c r="C4188" s="76"/>
    </row>
    <row r="4189" spans="1:3" x14ac:dyDescent="0.2">
      <c r="A4189" s="76"/>
      <c r="C4189" s="76"/>
    </row>
    <row r="4190" spans="1:3" x14ac:dyDescent="0.2">
      <c r="A4190" s="76"/>
      <c r="C4190" s="76"/>
    </row>
    <row r="4191" spans="1:3" x14ac:dyDescent="0.2">
      <c r="A4191" s="76"/>
      <c r="C4191" s="76"/>
    </row>
    <row r="4192" spans="1:3" x14ac:dyDescent="0.2">
      <c r="A4192" s="76"/>
      <c r="C4192" s="76"/>
    </row>
    <row r="4193" spans="1:3" x14ac:dyDescent="0.2">
      <c r="A4193" s="76"/>
      <c r="C4193" s="76"/>
    </row>
    <row r="4194" spans="1:3" x14ac:dyDescent="0.2">
      <c r="A4194" s="76"/>
      <c r="C4194" s="76"/>
    </row>
    <row r="4195" spans="1:3" x14ac:dyDescent="0.2">
      <c r="A4195" s="76"/>
      <c r="C4195" s="76"/>
    </row>
    <row r="4196" spans="1:3" x14ac:dyDescent="0.2">
      <c r="A4196" s="76"/>
      <c r="C4196" s="76"/>
    </row>
    <row r="4197" spans="1:3" x14ac:dyDescent="0.2">
      <c r="A4197" s="76"/>
      <c r="C4197" s="76"/>
    </row>
    <row r="4198" spans="1:3" x14ac:dyDescent="0.2">
      <c r="A4198" s="76"/>
      <c r="C4198" s="76"/>
    </row>
    <row r="4199" spans="1:3" x14ac:dyDescent="0.2">
      <c r="A4199" s="76"/>
      <c r="C4199" s="76"/>
    </row>
    <row r="4200" spans="1:3" x14ac:dyDescent="0.2">
      <c r="A4200" s="76"/>
      <c r="C4200" s="76"/>
    </row>
    <row r="4201" spans="1:3" x14ac:dyDescent="0.2">
      <c r="A4201" s="76"/>
      <c r="C4201" s="76"/>
    </row>
    <row r="4202" spans="1:3" x14ac:dyDescent="0.2">
      <c r="A4202" s="76"/>
      <c r="C4202" s="76"/>
    </row>
    <row r="4203" spans="1:3" x14ac:dyDescent="0.2">
      <c r="A4203" s="76"/>
      <c r="C4203" s="76"/>
    </row>
    <row r="4204" spans="1:3" x14ac:dyDescent="0.2">
      <c r="A4204" s="76"/>
      <c r="C4204" s="76"/>
    </row>
    <row r="4205" spans="1:3" x14ac:dyDescent="0.2">
      <c r="A4205" s="76"/>
      <c r="C4205" s="76"/>
    </row>
    <row r="4206" spans="1:3" x14ac:dyDescent="0.2">
      <c r="A4206" s="76"/>
      <c r="C4206" s="76"/>
    </row>
    <row r="4207" spans="1:3" x14ac:dyDescent="0.2">
      <c r="A4207" s="76"/>
      <c r="C4207" s="76"/>
    </row>
    <row r="4208" spans="1:3" x14ac:dyDescent="0.2">
      <c r="A4208" s="76"/>
      <c r="C4208" s="76"/>
    </row>
    <row r="4209" spans="1:3" x14ac:dyDescent="0.2">
      <c r="A4209" s="76"/>
      <c r="C4209" s="76"/>
    </row>
    <row r="4210" spans="1:3" x14ac:dyDescent="0.2">
      <c r="A4210" s="76"/>
      <c r="C4210" s="76"/>
    </row>
    <row r="4211" spans="1:3" x14ac:dyDescent="0.2">
      <c r="A4211" s="76"/>
      <c r="C4211" s="76"/>
    </row>
    <row r="4212" spans="1:3" x14ac:dyDescent="0.2">
      <c r="A4212" s="76"/>
      <c r="C4212" s="76"/>
    </row>
    <row r="4213" spans="1:3" x14ac:dyDescent="0.2">
      <c r="A4213" s="76"/>
      <c r="C4213" s="76"/>
    </row>
    <row r="4214" spans="1:3" x14ac:dyDescent="0.2">
      <c r="A4214" s="76"/>
      <c r="C4214" s="76"/>
    </row>
    <row r="4215" spans="1:3" x14ac:dyDescent="0.2">
      <c r="A4215" s="76"/>
      <c r="C4215" s="76"/>
    </row>
    <row r="4216" spans="1:3" x14ac:dyDescent="0.2">
      <c r="A4216" s="76"/>
      <c r="C4216" s="76"/>
    </row>
    <row r="4217" spans="1:3" x14ac:dyDescent="0.2">
      <c r="A4217" s="76"/>
      <c r="C4217" s="76"/>
    </row>
    <row r="4218" spans="1:3" x14ac:dyDescent="0.2">
      <c r="A4218" s="76"/>
      <c r="C4218" s="76"/>
    </row>
    <row r="4219" spans="1:3" x14ac:dyDescent="0.2">
      <c r="A4219" s="76"/>
      <c r="C4219" s="76"/>
    </row>
    <row r="4220" spans="1:3" x14ac:dyDescent="0.2">
      <c r="A4220" s="76"/>
      <c r="C4220" s="76"/>
    </row>
    <row r="4221" spans="1:3" x14ac:dyDescent="0.2">
      <c r="A4221" s="76"/>
      <c r="C4221" s="76"/>
    </row>
    <row r="4222" spans="1:3" x14ac:dyDescent="0.2">
      <c r="A4222" s="76"/>
      <c r="C4222" s="76"/>
    </row>
    <row r="4223" spans="1:3" x14ac:dyDescent="0.2">
      <c r="A4223" s="76"/>
      <c r="C4223" s="76"/>
    </row>
    <row r="4224" spans="1:3" x14ac:dyDescent="0.2">
      <c r="A4224" s="76"/>
      <c r="C4224" s="76"/>
    </row>
    <row r="4225" spans="1:3" x14ac:dyDescent="0.2">
      <c r="A4225" s="76"/>
      <c r="C4225" s="76"/>
    </row>
    <row r="4226" spans="1:3" x14ac:dyDescent="0.2">
      <c r="A4226" s="76"/>
      <c r="C4226" s="76"/>
    </row>
    <row r="4227" spans="1:3" x14ac:dyDescent="0.2">
      <c r="A4227" s="76"/>
      <c r="C4227" s="76"/>
    </row>
    <row r="4228" spans="1:3" x14ac:dyDescent="0.2">
      <c r="A4228" s="76"/>
      <c r="C4228" s="76"/>
    </row>
    <row r="4229" spans="1:3" x14ac:dyDescent="0.2">
      <c r="A4229" s="76"/>
      <c r="C4229" s="76"/>
    </row>
    <row r="4230" spans="1:3" x14ac:dyDescent="0.2">
      <c r="A4230" s="76"/>
      <c r="C4230" s="76"/>
    </row>
    <row r="4231" spans="1:3" x14ac:dyDescent="0.2">
      <c r="A4231" s="76"/>
      <c r="C4231" s="76"/>
    </row>
    <row r="4232" spans="1:3" x14ac:dyDescent="0.2">
      <c r="A4232" s="76"/>
      <c r="C4232" s="76"/>
    </row>
    <row r="4233" spans="1:3" x14ac:dyDescent="0.2">
      <c r="A4233" s="76"/>
      <c r="C4233" s="76"/>
    </row>
    <row r="4234" spans="1:3" x14ac:dyDescent="0.2">
      <c r="A4234" s="76"/>
      <c r="C4234" s="76"/>
    </row>
    <row r="4235" spans="1:3" x14ac:dyDescent="0.2">
      <c r="A4235" s="76"/>
      <c r="C4235" s="76"/>
    </row>
    <row r="4236" spans="1:3" x14ac:dyDescent="0.2">
      <c r="A4236" s="76"/>
      <c r="C4236" s="76"/>
    </row>
    <row r="4237" spans="1:3" x14ac:dyDescent="0.2">
      <c r="A4237" s="76"/>
      <c r="C4237" s="76"/>
    </row>
    <row r="4238" spans="1:3" x14ac:dyDescent="0.2">
      <c r="A4238" s="76"/>
      <c r="C4238" s="76"/>
    </row>
    <row r="4239" spans="1:3" x14ac:dyDescent="0.2">
      <c r="A4239" s="76"/>
      <c r="C4239" s="76"/>
    </row>
    <row r="4240" spans="1:3" x14ac:dyDescent="0.2">
      <c r="A4240" s="76"/>
      <c r="C4240" s="76"/>
    </row>
    <row r="4241" spans="1:3" x14ac:dyDescent="0.2">
      <c r="A4241" s="76"/>
      <c r="C4241" s="76"/>
    </row>
    <row r="4242" spans="1:3" x14ac:dyDescent="0.2">
      <c r="A4242" s="76"/>
      <c r="C4242" s="76"/>
    </row>
    <row r="4243" spans="1:3" x14ac:dyDescent="0.2">
      <c r="A4243" s="76"/>
      <c r="C4243" s="76"/>
    </row>
    <row r="4244" spans="1:3" x14ac:dyDescent="0.2">
      <c r="A4244" s="76"/>
      <c r="C4244" s="76"/>
    </row>
    <row r="4245" spans="1:3" x14ac:dyDescent="0.2">
      <c r="A4245" s="76"/>
      <c r="C4245" s="76"/>
    </row>
    <row r="4246" spans="1:3" x14ac:dyDescent="0.2">
      <c r="A4246" s="76"/>
      <c r="C4246" s="76"/>
    </row>
    <row r="4247" spans="1:3" x14ac:dyDescent="0.2">
      <c r="A4247" s="76"/>
      <c r="C4247" s="76"/>
    </row>
    <row r="4248" spans="1:3" x14ac:dyDescent="0.2">
      <c r="A4248" s="76"/>
      <c r="C4248" s="76"/>
    </row>
    <row r="4249" spans="1:3" x14ac:dyDescent="0.2">
      <c r="A4249" s="76"/>
      <c r="C4249" s="76"/>
    </row>
    <row r="4250" spans="1:3" x14ac:dyDescent="0.2">
      <c r="A4250" s="76"/>
      <c r="C4250" s="76"/>
    </row>
    <row r="4251" spans="1:3" x14ac:dyDescent="0.2">
      <c r="A4251" s="76"/>
      <c r="C4251" s="76"/>
    </row>
    <row r="4252" spans="1:3" x14ac:dyDescent="0.2">
      <c r="A4252" s="76"/>
      <c r="C4252" s="76"/>
    </row>
    <row r="4253" spans="1:3" x14ac:dyDescent="0.2">
      <c r="A4253" s="76"/>
      <c r="C4253" s="76"/>
    </row>
    <row r="4254" spans="1:3" x14ac:dyDescent="0.2">
      <c r="A4254" s="76"/>
      <c r="C4254" s="76"/>
    </row>
    <row r="4255" spans="1:3" x14ac:dyDescent="0.2">
      <c r="A4255" s="76"/>
      <c r="C4255" s="76"/>
    </row>
    <row r="4256" spans="1:3" x14ac:dyDescent="0.2">
      <c r="A4256" s="76"/>
      <c r="C4256" s="76"/>
    </row>
    <row r="4257" spans="1:3" x14ac:dyDescent="0.2">
      <c r="A4257" s="76"/>
      <c r="C4257" s="76"/>
    </row>
    <row r="4258" spans="1:3" x14ac:dyDescent="0.2">
      <c r="A4258" s="76"/>
      <c r="C4258" s="76"/>
    </row>
    <row r="4259" spans="1:3" x14ac:dyDescent="0.2">
      <c r="A4259" s="76"/>
      <c r="C4259" s="76"/>
    </row>
    <row r="4260" spans="1:3" x14ac:dyDescent="0.2">
      <c r="A4260" s="76"/>
      <c r="C4260" s="76"/>
    </row>
    <row r="4261" spans="1:3" x14ac:dyDescent="0.2">
      <c r="A4261" s="76"/>
      <c r="C4261" s="76"/>
    </row>
    <row r="4262" spans="1:3" x14ac:dyDescent="0.2">
      <c r="A4262" s="76"/>
      <c r="C4262" s="76"/>
    </row>
    <row r="4263" spans="1:3" x14ac:dyDescent="0.2">
      <c r="A4263" s="76"/>
      <c r="C4263" s="76"/>
    </row>
    <row r="4264" spans="1:3" x14ac:dyDescent="0.2">
      <c r="A4264" s="76"/>
      <c r="C4264" s="76"/>
    </row>
    <row r="4265" spans="1:3" x14ac:dyDescent="0.2">
      <c r="A4265" s="76"/>
      <c r="C4265" s="76"/>
    </row>
    <row r="4266" spans="1:3" x14ac:dyDescent="0.2">
      <c r="A4266" s="76"/>
      <c r="C4266" s="76"/>
    </row>
    <row r="4267" spans="1:3" x14ac:dyDescent="0.2">
      <c r="A4267" s="76"/>
      <c r="C4267" s="76"/>
    </row>
    <row r="4268" spans="1:3" x14ac:dyDescent="0.2">
      <c r="A4268" s="76"/>
      <c r="C4268" s="76"/>
    </row>
    <row r="4269" spans="1:3" x14ac:dyDescent="0.2">
      <c r="A4269" s="76"/>
      <c r="C4269" s="76"/>
    </row>
    <row r="4270" spans="1:3" x14ac:dyDescent="0.2">
      <c r="A4270" s="76"/>
      <c r="C4270" s="76"/>
    </row>
    <row r="4271" spans="1:3" x14ac:dyDescent="0.2">
      <c r="A4271" s="76"/>
      <c r="C4271" s="76"/>
    </row>
    <row r="4272" spans="1:3" x14ac:dyDescent="0.2">
      <c r="A4272" s="76"/>
      <c r="C4272" s="76"/>
    </row>
    <row r="4273" spans="1:3" x14ac:dyDescent="0.2">
      <c r="A4273" s="76"/>
      <c r="C4273" s="76"/>
    </row>
    <row r="4274" spans="1:3" x14ac:dyDescent="0.2">
      <c r="A4274" s="76"/>
      <c r="C4274" s="76"/>
    </row>
    <row r="4275" spans="1:3" x14ac:dyDescent="0.2">
      <c r="A4275" s="76"/>
      <c r="C4275" s="76"/>
    </row>
    <row r="4276" spans="1:3" x14ac:dyDescent="0.2">
      <c r="A4276" s="76"/>
      <c r="C4276" s="76"/>
    </row>
    <row r="4277" spans="1:3" x14ac:dyDescent="0.2">
      <c r="A4277" s="76"/>
      <c r="C4277" s="76"/>
    </row>
    <row r="4278" spans="1:3" x14ac:dyDescent="0.2">
      <c r="A4278" s="76"/>
      <c r="C4278" s="76"/>
    </row>
    <row r="4279" spans="1:3" x14ac:dyDescent="0.2">
      <c r="A4279" s="76"/>
      <c r="C4279" s="76"/>
    </row>
    <row r="4280" spans="1:3" x14ac:dyDescent="0.2">
      <c r="A4280" s="76"/>
      <c r="C4280" s="76"/>
    </row>
    <row r="4281" spans="1:3" x14ac:dyDescent="0.2">
      <c r="A4281" s="76"/>
      <c r="C4281" s="76"/>
    </row>
    <row r="4282" spans="1:3" x14ac:dyDescent="0.2">
      <c r="A4282" s="76"/>
      <c r="C4282" s="76"/>
    </row>
    <row r="4283" spans="1:3" x14ac:dyDescent="0.2">
      <c r="A4283" s="76"/>
      <c r="C4283" s="76"/>
    </row>
    <row r="4284" spans="1:3" x14ac:dyDescent="0.2">
      <c r="A4284" s="76"/>
      <c r="C4284" s="76"/>
    </row>
    <row r="4285" spans="1:3" x14ac:dyDescent="0.2">
      <c r="A4285" s="76"/>
      <c r="C4285" s="76"/>
    </row>
    <row r="4286" spans="1:3" x14ac:dyDescent="0.2">
      <c r="A4286" s="76"/>
      <c r="C4286" s="76"/>
    </row>
    <row r="4287" spans="1:3" x14ac:dyDescent="0.2">
      <c r="A4287" s="76"/>
      <c r="C4287" s="76"/>
    </row>
    <row r="4288" spans="1:3" x14ac:dyDescent="0.2">
      <c r="A4288" s="76"/>
      <c r="C4288" s="76"/>
    </row>
    <row r="4289" spans="1:3" x14ac:dyDescent="0.2">
      <c r="A4289" s="76"/>
      <c r="C4289" s="76"/>
    </row>
    <row r="4290" spans="1:3" x14ac:dyDescent="0.2">
      <c r="A4290" s="76"/>
      <c r="C4290" s="76"/>
    </row>
    <row r="4291" spans="1:3" x14ac:dyDescent="0.2">
      <c r="A4291" s="76"/>
      <c r="C4291" s="76"/>
    </row>
    <row r="4292" spans="1:3" x14ac:dyDescent="0.2">
      <c r="A4292" s="76"/>
      <c r="C4292" s="76"/>
    </row>
    <row r="4293" spans="1:3" x14ac:dyDescent="0.2">
      <c r="A4293" s="76"/>
      <c r="C4293" s="76"/>
    </row>
    <row r="4294" spans="1:3" x14ac:dyDescent="0.2">
      <c r="A4294" s="76"/>
      <c r="C4294" s="76"/>
    </row>
    <row r="4295" spans="1:3" x14ac:dyDescent="0.2">
      <c r="A4295" s="76"/>
      <c r="C4295" s="76"/>
    </row>
    <row r="4296" spans="1:3" x14ac:dyDescent="0.2">
      <c r="A4296" s="76"/>
      <c r="C4296" s="76"/>
    </row>
    <row r="4297" spans="1:3" x14ac:dyDescent="0.2">
      <c r="A4297" s="76"/>
      <c r="C4297" s="76"/>
    </row>
    <row r="4298" spans="1:3" x14ac:dyDescent="0.2">
      <c r="A4298" s="76"/>
      <c r="C4298" s="76"/>
    </row>
    <row r="4299" spans="1:3" x14ac:dyDescent="0.2">
      <c r="A4299" s="76"/>
      <c r="C4299" s="76"/>
    </row>
    <row r="4300" spans="1:3" x14ac:dyDescent="0.2">
      <c r="A4300" s="76"/>
      <c r="C4300" s="76"/>
    </row>
    <row r="4301" spans="1:3" x14ac:dyDescent="0.2">
      <c r="A4301" s="76"/>
      <c r="C4301" s="76"/>
    </row>
    <row r="4302" spans="1:3" x14ac:dyDescent="0.2">
      <c r="A4302" s="76"/>
      <c r="C4302" s="76"/>
    </row>
    <row r="4303" spans="1:3" x14ac:dyDescent="0.2">
      <c r="A4303" s="76"/>
      <c r="C4303" s="76"/>
    </row>
    <row r="4304" spans="1:3" x14ac:dyDescent="0.2">
      <c r="A4304" s="76"/>
      <c r="C4304" s="76"/>
    </row>
    <row r="4305" spans="1:3" x14ac:dyDescent="0.2">
      <c r="A4305" s="76"/>
      <c r="C4305" s="76"/>
    </row>
    <row r="4306" spans="1:3" x14ac:dyDescent="0.2">
      <c r="A4306" s="76"/>
      <c r="C4306" s="76"/>
    </row>
    <row r="4307" spans="1:3" x14ac:dyDescent="0.2">
      <c r="A4307" s="76"/>
      <c r="C4307" s="76"/>
    </row>
    <row r="4308" spans="1:3" x14ac:dyDescent="0.2">
      <c r="A4308" s="76"/>
      <c r="C4308" s="76"/>
    </row>
    <row r="4309" spans="1:3" x14ac:dyDescent="0.2">
      <c r="A4309" s="76"/>
      <c r="C4309" s="76"/>
    </row>
    <row r="4310" spans="1:3" x14ac:dyDescent="0.2">
      <c r="A4310" s="76"/>
      <c r="C4310" s="76"/>
    </row>
    <row r="4311" spans="1:3" x14ac:dyDescent="0.2">
      <c r="A4311" s="76"/>
      <c r="C4311" s="76"/>
    </row>
    <row r="4312" spans="1:3" x14ac:dyDescent="0.2">
      <c r="A4312" s="76"/>
      <c r="C4312" s="76"/>
    </row>
    <row r="4313" spans="1:3" x14ac:dyDescent="0.2">
      <c r="A4313" s="76"/>
      <c r="C4313" s="76"/>
    </row>
    <row r="4314" spans="1:3" x14ac:dyDescent="0.2">
      <c r="A4314" s="76"/>
      <c r="C4314" s="76"/>
    </row>
    <row r="4315" spans="1:3" x14ac:dyDescent="0.2">
      <c r="A4315" s="76"/>
      <c r="C4315" s="76"/>
    </row>
    <row r="4316" spans="1:3" x14ac:dyDescent="0.2">
      <c r="A4316" s="76"/>
      <c r="C4316" s="76"/>
    </row>
    <row r="4317" spans="1:3" x14ac:dyDescent="0.2">
      <c r="A4317" s="76"/>
      <c r="C4317" s="76"/>
    </row>
    <row r="4318" spans="1:3" x14ac:dyDescent="0.2">
      <c r="A4318" s="76"/>
      <c r="C4318" s="76"/>
    </row>
    <row r="4319" spans="1:3" x14ac:dyDescent="0.2">
      <c r="A4319" s="76"/>
      <c r="C4319" s="76"/>
    </row>
    <row r="4320" spans="1:3" x14ac:dyDescent="0.2">
      <c r="A4320" s="76"/>
      <c r="C4320" s="76"/>
    </row>
    <row r="4321" spans="1:3" x14ac:dyDescent="0.2">
      <c r="A4321" s="76"/>
      <c r="C4321" s="76"/>
    </row>
    <row r="4322" spans="1:3" x14ac:dyDescent="0.2">
      <c r="A4322" s="76"/>
      <c r="C4322" s="76"/>
    </row>
    <row r="4323" spans="1:3" x14ac:dyDescent="0.2">
      <c r="A4323" s="76"/>
      <c r="C4323" s="76"/>
    </row>
    <row r="4324" spans="1:3" x14ac:dyDescent="0.2">
      <c r="A4324" s="76"/>
      <c r="C4324" s="76"/>
    </row>
    <row r="4325" spans="1:3" x14ac:dyDescent="0.2">
      <c r="A4325" s="76"/>
      <c r="C4325" s="76"/>
    </row>
    <row r="4326" spans="1:3" x14ac:dyDescent="0.2">
      <c r="A4326" s="76"/>
      <c r="C4326" s="76"/>
    </row>
    <row r="4327" spans="1:3" x14ac:dyDescent="0.2">
      <c r="A4327" s="76"/>
      <c r="C4327" s="76"/>
    </row>
    <row r="4328" spans="1:3" x14ac:dyDescent="0.2">
      <c r="A4328" s="76"/>
      <c r="C4328" s="76"/>
    </row>
    <row r="4329" spans="1:3" x14ac:dyDescent="0.2">
      <c r="A4329" s="76"/>
      <c r="C4329" s="76"/>
    </row>
    <row r="4330" spans="1:3" x14ac:dyDescent="0.2">
      <c r="A4330" s="76"/>
      <c r="C4330" s="76"/>
    </row>
    <row r="4331" spans="1:3" x14ac:dyDescent="0.2">
      <c r="A4331" s="76"/>
      <c r="C4331" s="76"/>
    </row>
    <row r="4332" spans="1:3" x14ac:dyDescent="0.2">
      <c r="A4332" s="76"/>
      <c r="C4332" s="76"/>
    </row>
    <row r="4333" spans="1:3" x14ac:dyDescent="0.2">
      <c r="A4333" s="76"/>
      <c r="C4333" s="76"/>
    </row>
    <row r="4334" spans="1:3" x14ac:dyDescent="0.2">
      <c r="A4334" s="76"/>
      <c r="C4334" s="76"/>
    </row>
    <row r="4335" spans="1:3" x14ac:dyDescent="0.2">
      <c r="A4335" s="76"/>
      <c r="C4335" s="76"/>
    </row>
    <row r="4336" spans="1:3" x14ac:dyDescent="0.2">
      <c r="A4336" s="76"/>
      <c r="C4336" s="76"/>
    </row>
    <row r="4337" spans="1:3" x14ac:dyDescent="0.2">
      <c r="A4337" s="76"/>
      <c r="C4337" s="76"/>
    </row>
    <row r="4338" spans="1:3" x14ac:dyDescent="0.2">
      <c r="A4338" s="76"/>
      <c r="C4338" s="76"/>
    </row>
    <row r="4339" spans="1:3" x14ac:dyDescent="0.2">
      <c r="A4339" s="76"/>
      <c r="C4339" s="76"/>
    </row>
    <row r="4340" spans="1:3" x14ac:dyDescent="0.2">
      <c r="A4340" s="76"/>
      <c r="C4340" s="76"/>
    </row>
    <row r="4341" spans="1:3" x14ac:dyDescent="0.2">
      <c r="A4341" s="76"/>
      <c r="C4341" s="76"/>
    </row>
    <row r="4342" spans="1:3" x14ac:dyDescent="0.2">
      <c r="A4342" s="76"/>
      <c r="C4342" s="76"/>
    </row>
    <row r="4343" spans="1:3" x14ac:dyDescent="0.2">
      <c r="A4343" s="76"/>
      <c r="C4343" s="76"/>
    </row>
    <row r="4344" spans="1:3" x14ac:dyDescent="0.2">
      <c r="A4344" s="76"/>
      <c r="C4344" s="76"/>
    </row>
    <row r="4345" spans="1:3" x14ac:dyDescent="0.2">
      <c r="A4345" s="76"/>
      <c r="C4345" s="76"/>
    </row>
    <row r="4346" spans="1:3" x14ac:dyDescent="0.2">
      <c r="A4346" s="76"/>
      <c r="C4346" s="76"/>
    </row>
    <row r="4347" spans="1:3" x14ac:dyDescent="0.2">
      <c r="A4347" s="76"/>
      <c r="C4347" s="76"/>
    </row>
    <row r="4348" spans="1:3" x14ac:dyDescent="0.2">
      <c r="A4348" s="76"/>
      <c r="C4348" s="76"/>
    </row>
    <row r="4349" spans="1:3" x14ac:dyDescent="0.2">
      <c r="A4349" s="76"/>
      <c r="C4349" s="76"/>
    </row>
    <row r="4350" spans="1:3" x14ac:dyDescent="0.2">
      <c r="A4350" s="76"/>
      <c r="C4350" s="76"/>
    </row>
    <row r="4351" spans="1:3" x14ac:dyDescent="0.2">
      <c r="A4351" s="76"/>
      <c r="C4351" s="76"/>
    </row>
    <row r="4352" spans="1:3" x14ac:dyDescent="0.2">
      <c r="A4352" s="76"/>
      <c r="C4352" s="76"/>
    </row>
    <row r="4353" spans="1:3" x14ac:dyDescent="0.2">
      <c r="A4353" s="76"/>
      <c r="C4353" s="76"/>
    </row>
    <row r="4354" spans="1:3" x14ac:dyDescent="0.2">
      <c r="A4354" s="76"/>
      <c r="C4354" s="76"/>
    </row>
    <row r="4355" spans="1:3" x14ac:dyDescent="0.2">
      <c r="A4355" s="76"/>
      <c r="C4355" s="76"/>
    </row>
    <row r="4356" spans="1:3" x14ac:dyDescent="0.2">
      <c r="A4356" s="76"/>
      <c r="C4356" s="76"/>
    </row>
    <row r="4357" spans="1:3" x14ac:dyDescent="0.2">
      <c r="A4357" s="76"/>
      <c r="C4357" s="76"/>
    </row>
    <row r="4358" spans="1:3" x14ac:dyDescent="0.2">
      <c r="A4358" s="76"/>
      <c r="C4358" s="76"/>
    </row>
    <row r="4359" spans="1:3" x14ac:dyDescent="0.2">
      <c r="A4359" s="76"/>
      <c r="C4359" s="76"/>
    </row>
    <row r="4360" spans="1:3" x14ac:dyDescent="0.2">
      <c r="A4360" s="76"/>
      <c r="C4360" s="76"/>
    </row>
    <row r="4361" spans="1:3" x14ac:dyDescent="0.2">
      <c r="A4361" s="76"/>
      <c r="C4361" s="76"/>
    </row>
    <row r="4362" spans="1:3" x14ac:dyDescent="0.2">
      <c r="A4362" s="76"/>
      <c r="C4362" s="76"/>
    </row>
    <row r="4363" spans="1:3" x14ac:dyDescent="0.2">
      <c r="A4363" s="76"/>
      <c r="C4363" s="76"/>
    </row>
    <row r="4364" spans="1:3" x14ac:dyDescent="0.2">
      <c r="A4364" s="76"/>
      <c r="C4364" s="76"/>
    </row>
    <row r="4365" spans="1:3" x14ac:dyDescent="0.2">
      <c r="A4365" s="76"/>
      <c r="C4365" s="76"/>
    </row>
    <row r="4366" spans="1:3" x14ac:dyDescent="0.2">
      <c r="A4366" s="76"/>
      <c r="C4366" s="76"/>
    </row>
    <row r="4367" spans="1:3" x14ac:dyDescent="0.2">
      <c r="A4367" s="76"/>
      <c r="C4367" s="76"/>
    </row>
    <row r="4368" spans="1:3" x14ac:dyDescent="0.2">
      <c r="A4368" s="76"/>
      <c r="C4368" s="76"/>
    </row>
    <row r="4369" spans="1:3" x14ac:dyDescent="0.2">
      <c r="A4369" s="76"/>
      <c r="C4369" s="76"/>
    </row>
    <row r="4370" spans="1:3" x14ac:dyDescent="0.2">
      <c r="A4370" s="76"/>
      <c r="C4370" s="76"/>
    </row>
    <row r="4371" spans="1:3" x14ac:dyDescent="0.2">
      <c r="A4371" s="76"/>
      <c r="C4371" s="76"/>
    </row>
    <row r="4372" spans="1:3" x14ac:dyDescent="0.2">
      <c r="A4372" s="76"/>
      <c r="C4372" s="76"/>
    </row>
    <row r="4373" spans="1:3" x14ac:dyDescent="0.2">
      <c r="A4373" s="76"/>
      <c r="C4373" s="76"/>
    </row>
    <row r="4374" spans="1:3" x14ac:dyDescent="0.2">
      <c r="A4374" s="76"/>
      <c r="C4374" s="76"/>
    </row>
    <row r="4375" spans="1:3" x14ac:dyDescent="0.2">
      <c r="A4375" s="76"/>
      <c r="C4375" s="76"/>
    </row>
    <row r="4376" spans="1:3" x14ac:dyDescent="0.2">
      <c r="A4376" s="76"/>
      <c r="C4376" s="76"/>
    </row>
    <row r="4377" spans="1:3" x14ac:dyDescent="0.2">
      <c r="A4377" s="76"/>
      <c r="C4377" s="76"/>
    </row>
    <row r="4378" spans="1:3" x14ac:dyDescent="0.2">
      <c r="A4378" s="76"/>
      <c r="C4378" s="76"/>
    </row>
    <row r="4379" spans="1:3" x14ac:dyDescent="0.2">
      <c r="A4379" s="76"/>
      <c r="C4379" s="76"/>
    </row>
    <row r="4380" spans="1:3" x14ac:dyDescent="0.2">
      <c r="A4380" s="76"/>
      <c r="C4380" s="76"/>
    </row>
    <row r="4381" spans="1:3" x14ac:dyDescent="0.2">
      <c r="A4381" s="76"/>
      <c r="C4381" s="76"/>
    </row>
    <row r="4382" spans="1:3" x14ac:dyDescent="0.2">
      <c r="A4382" s="76"/>
      <c r="C4382" s="76"/>
    </row>
    <row r="4383" spans="1:3" x14ac:dyDescent="0.2">
      <c r="A4383" s="76"/>
      <c r="C4383" s="76"/>
    </row>
    <row r="4384" spans="1:3" x14ac:dyDescent="0.2">
      <c r="A4384" s="76"/>
      <c r="C4384" s="76"/>
    </row>
    <row r="4385" spans="1:3" x14ac:dyDescent="0.2">
      <c r="A4385" s="76"/>
      <c r="C4385" s="76"/>
    </row>
    <row r="4386" spans="1:3" x14ac:dyDescent="0.2">
      <c r="A4386" s="76"/>
      <c r="C4386" s="76"/>
    </row>
    <row r="4387" spans="1:3" x14ac:dyDescent="0.2">
      <c r="A4387" s="76"/>
      <c r="C4387" s="76"/>
    </row>
    <row r="4388" spans="1:3" x14ac:dyDescent="0.2">
      <c r="A4388" s="76"/>
      <c r="C4388" s="76"/>
    </row>
    <row r="4389" spans="1:3" x14ac:dyDescent="0.2">
      <c r="A4389" s="76"/>
      <c r="C4389" s="76"/>
    </row>
    <row r="4390" spans="1:3" x14ac:dyDescent="0.2">
      <c r="A4390" s="76"/>
      <c r="C4390" s="76"/>
    </row>
    <row r="4391" spans="1:3" x14ac:dyDescent="0.2">
      <c r="A4391" s="76"/>
      <c r="C4391" s="76"/>
    </row>
    <row r="4392" spans="1:3" x14ac:dyDescent="0.2">
      <c r="A4392" s="76"/>
      <c r="C4392" s="76"/>
    </row>
    <row r="4393" spans="1:3" x14ac:dyDescent="0.2">
      <c r="A4393" s="76"/>
      <c r="C4393" s="76"/>
    </row>
    <row r="4394" spans="1:3" x14ac:dyDescent="0.2">
      <c r="A4394" s="76"/>
      <c r="C4394" s="76"/>
    </row>
    <row r="4395" spans="1:3" x14ac:dyDescent="0.2">
      <c r="A4395" s="76"/>
      <c r="C4395" s="76"/>
    </row>
    <row r="4396" spans="1:3" x14ac:dyDescent="0.2">
      <c r="A4396" s="76"/>
      <c r="C4396" s="76"/>
    </row>
    <row r="4397" spans="1:3" x14ac:dyDescent="0.2">
      <c r="A4397" s="76"/>
      <c r="C4397" s="76"/>
    </row>
    <row r="4398" spans="1:3" x14ac:dyDescent="0.2">
      <c r="A4398" s="76"/>
      <c r="C4398" s="76"/>
    </row>
    <row r="4399" spans="1:3" x14ac:dyDescent="0.2">
      <c r="A4399" s="76"/>
      <c r="C4399" s="76"/>
    </row>
    <row r="4400" spans="1:3" x14ac:dyDescent="0.2">
      <c r="A4400" s="76"/>
      <c r="C4400" s="76"/>
    </row>
    <row r="4401" spans="1:3" x14ac:dyDescent="0.2">
      <c r="A4401" s="76"/>
      <c r="C4401" s="76"/>
    </row>
    <row r="4402" spans="1:3" x14ac:dyDescent="0.2">
      <c r="A4402" s="76"/>
      <c r="C4402" s="76"/>
    </row>
    <row r="4403" spans="1:3" x14ac:dyDescent="0.2">
      <c r="A4403" s="76"/>
      <c r="C4403" s="76"/>
    </row>
    <row r="4404" spans="1:3" x14ac:dyDescent="0.2">
      <c r="A4404" s="76"/>
      <c r="C4404" s="76"/>
    </row>
    <row r="4405" spans="1:3" x14ac:dyDescent="0.2">
      <c r="A4405" s="76"/>
      <c r="C4405" s="76"/>
    </row>
    <row r="4406" spans="1:3" x14ac:dyDescent="0.2">
      <c r="A4406" s="76"/>
      <c r="C4406" s="76"/>
    </row>
    <row r="4407" spans="1:3" x14ac:dyDescent="0.2">
      <c r="A4407" s="76"/>
      <c r="C4407" s="76"/>
    </row>
    <row r="4408" spans="1:3" x14ac:dyDescent="0.2">
      <c r="A4408" s="76"/>
      <c r="C4408" s="76"/>
    </row>
    <row r="4409" spans="1:3" x14ac:dyDescent="0.2">
      <c r="A4409" s="76"/>
      <c r="C4409" s="76"/>
    </row>
    <row r="4410" spans="1:3" x14ac:dyDescent="0.2">
      <c r="A4410" s="76"/>
      <c r="C4410" s="76"/>
    </row>
    <row r="4411" spans="1:3" x14ac:dyDescent="0.2">
      <c r="A4411" s="76"/>
      <c r="C4411" s="76"/>
    </row>
    <row r="4412" spans="1:3" x14ac:dyDescent="0.2">
      <c r="A4412" s="76"/>
      <c r="C4412" s="76"/>
    </row>
    <row r="4413" spans="1:3" x14ac:dyDescent="0.2">
      <c r="A4413" s="76"/>
      <c r="C4413" s="76"/>
    </row>
    <row r="4414" spans="1:3" x14ac:dyDescent="0.2">
      <c r="A4414" s="76"/>
      <c r="C4414" s="76"/>
    </row>
    <row r="4415" spans="1:3" x14ac:dyDescent="0.2">
      <c r="A4415" s="76"/>
      <c r="C4415" s="76"/>
    </row>
    <row r="4416" spans="1:3" x14ac:dyDescent="0.2">
      <c r="A4416" s="76"/>
      <c r="C4416" s="76"/>
    </row>
    <row r="4417" spans="1:3" x14ac:dyDescent="0.2">
      <c r="A4417" s="76"/>
      <c r="C4417" s="76"/>
    </row>
    <row r="4418" spans="1:3" x14ac:dyDescent="0.2">
      <c r="A4418" s="76"/>
      <c r="C4418" s="76"/>
    </row>
    <row r="4419" spans="1:3" x14ac:dyDescent="0.2">
      <c r="A4419" s="76"/>
      <c r="C4419" s="76"/>
    </row>
    <row r="4420" spans="1:3" x14ac:dyDescent="0.2">
      <c r="A4420" s="76"/>
      <c r="C4420" s="76"/>
    </row>
    <row r="4421" spans="1:3" x14ac:dyDescent="0.2">
      <c r="A4421" s="76"/>
      <c r="C4421" s="76"/>
    </row>
    <row r="4422" spans="1:3" x14ac:dyDescent="0.2">
      <c r="A4422" s="76"/>
      <c r="C4422" s="76"/>
    </row>
    <row r="4423" spans="1:3" x14ac:dyDescent="0.2">
      <c r="A4423" s="76"/>
      <c r="C4423" s="76"/>
    </row>
    <row r="4424" spans="1:3" x14ac:dyDescent="0.2">
      <c r="A4424" s="76"/>
      <c r="C4424" s="76"/>
    </row>
    <row r="4425" spans="1:3" x14ac:dyDescent="0.2">
      <c r="A4425" s="76"/>
      <c r="C4425" s="76"/>
    </row>
    <row r="4426" spans="1:3" x14ac:dyDescent="0.2">
      <c r="A4426" s="76"/>
      <c r="C4426" s="76"/>
    </row>
    <row r="4427" spans="1:3" x14ac:dyDescent="0.2">
      <c r="A4427" s="76"/>
      <c r="C4427" s="76"/>
    </row>
    <row r="4428" spans="1:3" x14ac:dyDescent="0.2">
      <c r="A4428" s="76"/>
      <c r="C4428" s="76"/>
    </row>
    <row r="4429" spans="1:3" x14ac:dyDescent="0.2">
      <c r="A4429" s="76"/>
      <c r="C4429" s="76"/>
    </row>
    <row r="4430" spans="1:3" x14ac:dyDescent="0.2">
      <c r="A4430" s="76"/>
      <c r="C4430" s="76"/>
    </row>
    <row r="4431" spans="1:3" x14ac:dyDescent="0.2">
      <c r="A4431" s="76"/>
      <c r="C4431" s="76"/>
    </row>
    <row r="4432" spans="1:3" x14ac:dyDescent="0.2">
      <c r="A4432" s="76"/>
      <c r="C4432" s="76"/>
    </row>
    <row r="4433" spans="1:3" x14ac:dyDescent="0.2">
      <c r="A4433" s="76"/>
      <c r="C4433" s="76"/>
    </row>
    <row r="4434" spans="1:3" x14ac:dyDescent="0.2">
      <c r="A4434" s="76"/>
      <c r="C4434" s="76"/>
    </row>
    <row r="4435" spans="1:3" x14ac:dyDescent="0.2">
      <c r="A4435" s="76"/>
      <c r="C4435" s="76"/>
    </row>
    <row r="4436" spans="1:3" x14ac:dyDescent="0.2">
      <c r="A4436" s="76"/>
      <c r="C4436" s="76"/>
    </row>
    <row r="4437" spans="1:3" x14ac:dyDescent="0.2">
      <c r="A4437" s="76"/>
      <c r="C4437" s="76"/>
    </row>
    <row r="4438" spans="1:3" x14ac:dyDescent="0.2">
      <c r="A4438" s="76"/>
      <c r="C4438" s="76"/>
    </row>
    <row r="4439" spans="1:3" x14ac:dyDescent="0.2">
      <c r="A4439" s="76"/>
      <c r="C4439" s="76"/>
    </row>
    <row r="4440" spans="1:3" x14ac:dyDescent="0.2">
      <c r="A4440" s="76"/>
      <c r="C4440" s="76"/>
    </row>
    <row r="4441" spans="1:3" x14ac:dyDescent="0.2">
      <c r="A4441" s="76"/>
      <c r="C4441" s="76"/>
    </row>
    <row r="4442" spans="1:3" x14ac:dyDescent="0.2">
      <c r="A4442" s="76"/>
      <c r="C4442" s="76"/>
    </row>
    <row r="4443" spans="1:3" x14ac:dyDescent="0.2">
      <c r="A4443" s="76"/>
      <c r="C4443" s="76"/>
    </row>
    <row r="4444" spans="1:3" x14ac:dyDescent="0.2">
      <c r="A4444" s="76"/>
      <c r="C4444" s="76"/>
    </row>
    <row r="4445" spans="1:3" x14ac:dyDescent="0.2">
      <c r="A4445" s="76"/>
      <c r="C4445" s="76"/>
    </row>
    <row r="4446" spans="1:3" x14ac:dyDescent="0.2">
      <c r="A4446" s="76"/>
      <c r="C4446" s="76"/>
    </row>
    <row r="4447" spans="1:3" x14ac:dyDescent="0.2">
      <c r="A4447" s="76"/>
      <c r="C4447" s="76"/>
    </row>
    <row r="4448" spans="1:3" x14ac:dyDescent="0.2">
      <c r="A4448" s="76"/>
      <c r="C4448" s="76"/>
    </row>
    <row r="4449" spans="1:3" x14ac:dyDescent="0.2">
      <c r="A4449" s="76"/>
      <c r="C4449" s="76"/>
    </row>
    <row r="4450" spans="1:3" x14ac:dyDescent="0.2">
      <c r="A4450" s="76"/>
      <c r="C4450" s="76"/>
    </row>
    <row r="4451" spans="1:3" x14ac:dyDescent="0.2">
      <c r="A4451" s="76"/>
      <c r="C4451" s="76"/>
    </row>
    <row r="4452" spans="1:3" x14ac:dyDescent="0.2">
      <c r="A4452" s="76"/>
      <c r="C4452" s="76"/>
    </row>
    <row r="4453" spans="1:3" x14ac:dyDescent="0.2">
      <c r="A4453" s="76"/>
      <c r="C4453" s="76"/>
    </row>
    <row r="4454" spans="1:3" x14ac:dyDescent="0.2">
      <c r="A4454" s="76"/>
      <c r="C4454" s="76"/>
    </row>
    <row r="4455" spans="1:3" x14ac:dyDescent="0.2">
      <c r="A4455" s="76"/>
      <c r="C4455" s="76"/>
    </row>
    <row r="4456" spans="1:3" x14ac:dyDescent="0.2">
      <c r="A4456" s="76"/>
      <c r="C4456" s="76"/>
    </row>
    <row r="4457" spans="1:3" x14ac:dyDescent="0.2">
      <c r="A4457" s="76"/>
      <c r="C4457" s="76"/>
    </row>
    <row r="4458" spans="1:3" x14ac:dyDescent="0.2">
      <c r="A4458" s="76"/>
      <c r="C4458" s="76"/>
    </row>
    <row r="4459" spans="1:3" x14ac:dyDescent="0.2">
      <c r="A4459" s="76"/>
      <c r="C4459" s="76"/>
    </row>
    <row r="4460" spans="1:3" x14ac:dyDescent="0.2">
      <c r="A4460" s="76"/>
      <c r="C4460" s="76"/>
    </row>
    <row r="4461" spans="1:3" x14ac:dyDescent="0.2">
      <c r="A4461" s="76"/>
      <c r="C4461" s="76"/>
    </row>
    <row r="4462" spans="1:3" x14ac:dyDescent="0.2">
      <c r="A4462" s="76"/>
      <c r="C4462" s="76"/>
    </row>
    <row r="4463" spans="1:3" x14ac:dyDescent="0.2">
      <c r="A4463" s="76"/>
      <c r="C4463" s="76"/>
    </row>
    <row r="4464" spans="1:3" x14ac:dyDescent="0.2">
      <c r="A4464" s="76"/>
      <c r="C4464" s="76"/>
    </row>
    <row r="4465" spans="1:3" x14ac:dyDescent="0.2">
      <c r="A4465" s="76"/>
      <c r="C4465" s="76"/>
    </row>
    <row r="4466" spans="1:3" x14ac:dyDescent="0.2">
      <c r="A4466" s="76"/>
      <c r="C4466" s="76"/>
    </row>
    <row r="4467" spans="1:3" x14ac:dyDescent="0.2">
      <c r="A4467" s="76"/>
      <c r="C4467" s="76"/>
    </row>
    <row r="4468" spans="1:3" x14ac:dyDescent="0.2">
      <c r="A4468" s="76"/>
      <c r="C4468" s="76"/>
    </row>
    <row r="4469" spans="1:3" x14ac:dyDescent="0.2">
      <c r="A4469" s="76"/>
      <c r="C4469" s="76"/>
    </row>
    <row r="4470" spans="1:3" x14ac:dyDescent="0.2">
      <c r="A4470" s="76"/>
      <c r="C4470" s="76"/>
    </row>
    <row r="4471" spans="1:3" x14ac:dyDescent="0.2">
      <c r="A4471" s="76"/>
      <c r="C4471" s="76"/>
    </row>
    <row r="4472" spans="1:3" x14ac:dyDescent="0.2">
      <c r="A4472" s="76"/>
      <c r="C4472" s="76"/>
    </row>
    <row r="4473" spans="1:3" x14ac:dyDescent="0.2">
      <c r="A4473" s="76"/>
      <c r="C4473" s="76"/>
    </row>
    <row r="4474" spans="1:3" x14ac:dyDescent="0.2">
      <c r="A4474" s="76"/>
      <c r="C4474" s="76"/>
    </row>
    <row r="4475" spans="1:3" x14ac:dyDescent="0.2">
      <c r="A4475" s="76"/>
      <c r="C4475" s="76"/>
    </row>
    <row r="4476" spans="1:3" x14ac:dyDescent="0.2">
      <c r="A4476" s="76"/>
      <c r="C4476" s="76"/>
    </row>
    <row r="4477" spans="1:3" x14ac:dyDescent="0.2">
      <c r="A4477" s="76"/>
      <c r="C4477" s="76"/>
    </row>
    <row r="4478" spans="1:3" x14ac:dyDescent="0.2">
      <c r="A4478" s="76"/>
      <c r="C4478" s="76"/>
    </row>
    <row r="4479" spans="1:3" x14ac:dyDescent="0.2">
      <c r="A4479" s="76"/>
      <c r="C4479" s="76"/>
    </row>
    <row r="4480" spans="1:3" x14ac:dyDescent="0.2">
      <c r="A4480" s="76"/>
      <c r="C4480" s="76"/>
    </row>
    <row r="4481" spans="1:3" x14ac:dyDescent="0.2">
      <c r="A4481" s="76"/>
      <c r="C4481" s="76"/>
    </row>
    <row r="4482" spans="1:3" x14ac:dyDescent="0.2">
      <c r="A4482" s="76"/>
      <c r="C4482" s="76"/>
    </row>
    <row r="4483" spans="1:3" x14ac:dyDescent="0.2">
      <c r="A4483" s="76"/>
      <c r="C4483" s="76"/>
    </row>
    <row r="4484" spans="1:3" x14ac:dyDescent="0.2">
      <c r="A4484" s="76"/>
      <c r="C4484" s="76"/>
    </row>
    <row r="4485" spans="1:3" x14ac:dyDescent="0.2">
      <c r="A4485" s="76"/>
      <c r="C4485" s="76"/>
    </row>
    <row r="4486" spans="1:3" x14ac:dyDescent="0.2">
      <c r="A4486" s="76"/>
      <c r="C4486" s="76"/>
    </row>
    <row r="4487" spans="1:3" x14ac:dyDescent="0.2">
      <c r="A4487" s="76"/>
      <c r="C4487" s="76"/>
    </row>
    <row r="4488" spans="1:3" x14ac:dyDescent="0.2">
      <c r="A4488" s="76"/>
      <c r="C4488" s="76"/>
    </row>
    <row r="4489" spans="1:3" x14ac:dyDescent="0.2">
      <c r="A4489" s="76"/>
      <c r="C4489" s="76"/>
    </row>
    <row r="4490" spans="1:3" x14ac:dyDescent="0.2">
      <c r="A4490" s="76"/>
      <c r="C4490" s="76"/>
    </row>
    <row r="4491" spans="1:3" x14ac:dyDescent="0.2">
      <c r="A4491" s="76"/>
      <c r="C4491" s="76"/>
    </row>
    <row r="4492" spans="1:3" x14ac:dyDescent="0.2">
      <c r="A4492" s="76"/>
      <c r="C4492" s="76"/>
    </row>
    <row r="4493" spans="1:3" x14ac:dyDescent="0.2">
      <c r="A4493" s="76"/>
      <c r="C4493" s="76"/>
    </row>
    <row r="4494" spans="1:3" x14ac:dyDescent="0.2">
      <c r="A4494" s="76"/>
      <c r="C4494" s="76"/>
    </row>
    <row r="4495" spans="1:3" x14ac:dyDescent="0.2">
      <c r="A4495" s="76"/>
      <c r="C4495" s="76"/>
    </row>
    <row r="4496" spans="1:3" x14ac:dyDescent="0.2">
      <c r="A4496" s="76"/>
      <c r="C4496" s="76"/>
    </row>
    <row r="4497" spans="1:3" x14ac:dyDescent="0.2">
      <c r="A4497" s="76"/>
      <c r="C4497" s="76"/>
    </row>
    <row r="4498" spans="1:3" x14ac:dyDescent="0.2">
      <c r="A4498" s="76"/>
      <c r="C4498" s="76"/>
    </row>
    <row r="4499" spans="1:3" x14ac:dyDescent="0.2">
      <c r="A4499" s="76"/>
      <c r="C4499" s="76"/>
    </row>
    <row r="4500" spans="1:3" x14ac:dyDescent="0.2">
      <c r="A4500" s="76"/>
      <c r="C4500" s="76"/>
    </row>
    <row r="4501" spans="1:3" x14ac:dyDescent="0.2">
      <c r="A4501" s="76"/>
      <c r="C4501" s="76"/>
    </row>
    <row r="4502" spans="1:3" x14ac:dyDescent="0.2">
      <c r="A4502" s="76"/>
      <c r="C4502" s="76"/>
    </row>
    <row r="4503" spans="1:3" x14ac:dyDescent="0.2">
      <c r="A4503" s="76"/>
      <c r="C4503" s="76"/>
    </row>
    <row r="4504" spans="1:3" x14ac:dyDescent="0.2">
      <c r="A4504" s="76"/>
      <c r="C4504" s="76"/>
    </row>
    <row r="4505" spans="1:3" x14ac:dyDescent="0.2">
      <c r="A4505" s="76"/>
      <c r="C4505" s="76"/>
    </row>
    <row r="4506" spans="1:3" x14ac:dyDescent="0.2">
      <c r="A4506" s="76"/>
      <c r="C4506" s="76"/>
    </row>
    <row r="4507" spans="1:3" x14ac:dyDescent="0.2">
      <c r="A4507" s="76"/>
      <c r="C4507" s="76"/>
    </row>
    <row r="4508" spans="1:3" x14ac:dyDescent="0.2">
      <c r="A4508" s="76"/>
      <c r="C4508" s="76"/>
    </row>
    <row r="4509" spans="1:3" x14ac:dyDescent="0.2">
      <c r="A4509" s="76"/>
      <c r="C4509" s="76"/>
    </row>
    <row r="4510" spans="1:3" x14ac:dyDescent="0.2">
      <c r="A4510" s="76"/>
      <c r="C4510" s="76"/>
    </row>
    <row r="4511" spans="1:3" x14ac:dyDescent="0.2">
      <c r="A4511" s="76"/>
      <c r="C4511" s="76"/>
    </row>
    <row r="4512" spans="1:3" x14ac:dyDescent="0.2">
      <c r="A4512" s="76"/>
      <c r="C4512" s="76"/>
    </row>
    <row r="4513" spans="1:3" x14ac:dyDescent="0.2">
      <c r="A4513" s="76"/>
      <c r="C4513" s="76"/>
    </row>
    <row r="4514" spans="1:3" x14ac:dyDescent="0.2">
      <c r="A4514" s="76"/>
      <c r="C4514" s="76"/>
    </row>
    <row r="4515" spans="1:3" x14ac:dyDescent="0.2">
      <c r="A4515" s="76"/>
      <c r="C4515" s="76"/>
    </row>
    <row r="4516" spans="1:3" x14ac:dyDescent="0.2">
      <c r="A4516" s="76"/>
      <c r="C4516" s="76"/>
    </row>
    <row r="4517" spans="1:3" x14ac:dyDescent="0.2">
      <c r="A4517" s="76"/>
      <c r="C4517" s="76"/>
    </row>
    <row r="4518" spans="1:3" x14ac:dyDescent="0.2">
      <c r="A4518" s="76"/>
      <c r="C4518" s="76"/>
    </row>
    <row r="4519" spans="1:3" x14ac:dyDescent="0.2">
      <c r="A4519" s="76"/>
      <c r="C4519" s="76"/>
    </row>
    <row r="4520" spans="1:3" x14ac:dyDescent="0.2">
      <c r="A4520" s="76"/>
      <c r="C4520" s="76"/>
    </row>
    <row r="4521" spans="1:3" x14ac:dyDescent="0.2">
      <c r="A4521" s="76"/>
      <c r="C4521" s="76"/>
    </row>
    <row r="4522" spans="1:3" x14ac:dyDescent="0.2">
      <c r="A4522" s="76"/>
      <c r="C4522" s="76"/>
    </row>
    <row r="4523" spans="1:3" x14ac:dyDescent="0.2">
      <c r="A4523" s="76"/>
      <c r="C4523" s="76"/>
    </row>
    <row r="4524" spans="1:3" x14ac:dyDescent="0.2">
      <c r="A4524" s="76"/>
      <c r="C4524" s="76"/>
    </row>
    <row r="4525" spans="1:3" x14ac:dyDescent="0.2">
      <c r="A4525" s="76"/>
      <c r="C4525" s="76"/>
    </row>
    <row r="4526" spans="1:3" x14ac:dyDescent="0.2">
      <c r="A4526" s="76"/>
      <c r="C4526" s="76"/>
    </row>
    <row r="4527" spans="1:3" x14ac:dyDescent="0.2">
      <c r="A4527" s="76"/>
      <c r="C4527" s="76"/>
    </row>
    <row r="4528" spans="1:3" x14ac:dyDescent="0.2">
      <c r="A4528" s="76"/>
      <c r="C4528" s="76"/>
    </row>
    <row r="4529" spans="1:3" x14ac:dyDescent="0.2">
      <c r="A4529" s="76"/>
      <c r="C4529" s="76"/>
    </row>
    <row r="4530" spans="1:3" x14ac:dyDescent="0.2">
      <c r="A4530" s="76"/>
      <c r="C4530" s="76"/>
    </row>
    <row r="4531" spans="1:3" x14ac:dyDescent="0.2">
      <c r="A4531" s="76"/>
      <c r="C4531" s="76"/>
    </row>
    <row r="4532" spans="1:3" x14ac:dyDescent="0.2">
      <c r="A4532" s="76"/>
      <c r="C4532" s="76"/>
    </row>
    <row r="4533" spans="1:3" x14ac:dyDescent="0.2">
      <c r="A4533" s="76"/>
      <c r="C4533" s="76"/>
    </row>
    <row r="4534" spans="1:3" x14ac:dyDescent="0.2">
      <c r="A4534" s="76"/>
      <c r="C4534" s="76"/>
    </row>
    <row r="4535" spans="1:3" x14ac:dyDescent="0.2">
      <c r="A4535" s="76"/>
      <c r="C4535" s="76"/>
    </row>
    <row r="4536" spans="1:3" x14ac:dyDescent="0.2">
      <c r="A4536" s="76"/>
      <c r="C4536" s="76"/>
    </row>
    <row r="4537" spans="1:3" x14ac:dyDescent="0.2">
      <c r="A4537" s="76"/>
      <c r="C4537" s="76"/>
    </row>
    <row r="4538" spans="1:3" x14ac:dyDescent="0.2">
      <c r="A4538" s="76"/>
      <c r="C4538" s="76"/>
    </row>
    <row r="4539" spans="1:3" x14ac:dyDescent="0.2">
      <c r="A4539" s="76"/>
      <c r="C4539" s="76"/>
    </row>
    <row r="4540" spans="1:3" x14ac:dyDescent="0.2">
      <c r="A4540" s="76"/>
      <c r="C4540" s="76"/>
    </row>
    <row r="4541" spans="1:3" x14ac:dyDescent="0.2">
      <c r="A4541" s="76"/>
      <c r="C4541" s="76"/>
    </row>
    <row r="4542" spans="1:3" x14ac:dyDescent="0.2">
      <c r="A4542" s="76"/>
      <c r="C4542" s="76"/>
    </row>
    <row r="4543" spans="1:3" x14ac:dyDescent="0.2">
      <c r="A4543" s="76"/>
      <c r="C4543" s="76"/>
    </row>
    <row r="4544" spans="1:3" x14ac:dyDescent="0.2">
      <c r="A4544" s="76"/>
      <c r="C4544" s="76"/>
    </row>
    <row r="4545" spans="1:3" x14ac:dyDescent="0.2">
      <c r="A4545" s="76"/>
      <c r="C4545" s="76"/>
    </row>
    <row r="4546" spans="1:3" x14ac:dyDescent="0.2">
      <c r="A4546" s="76"/>
      <c r="C4546" s="76"/>
    </row>
    <row r="4547" spans="1:3" x14ac:dyDescent="0.2">
      <c r="A4547" s="76"/>
      <c r="C4547" s="76"/>
    </row>
    <row r="4548" spans="1:3" x14ac:dyDescent="0.2">
      <c r="A4548" s="76"/>
      <c r="C4548" s="76"/>
    </row>
    <row r="4549" spans="1:3" x14ac:dyDescent="0.2">
      <c r="A4549" s="76"/>
      <c r="C4549" s="76"/>
    </row>
    <row r="4550" spans="1:3" x14ac:dyDescent="0.2">
      <c r="A4550" s="76"/>
      <c r="C4550" s="76"/>
    </row>
    <row r="4551" spans="1:3" x14ac:dyDescent="0.2">
      <c r="A4551" s="76"/>
      <c r="C4551" s="76"/>
    </row>
    <row r="4552" spans="1:3" x14ac:dyDescent="0.2">
      <c r="A4552" s="76"/>
      <c r="C4552" s="76"/>
    </row>
    <row r="4553" spans="1:3" x14ac:dyDescent="0.2">
      <c r="A4553" s="76"/>
      <c r="C4553" s="76"/>
    </row>
    <row r="4554" spans="1:3" x14ac:dyDescent="0.2">
      <c r="A4554" s="76"/>
      <c r="C4554" s="76"/>
    </row>
    <row r="4555" spans="1:3" x14ac:dyDescent="0.2">
      <c r="A4555" s="76"/>
      <c r="C4555" s="76"/>
    </row>
    <row r="4556" spans="1:3" x14ac:dyDescent="0.2">
      <c r="A4556" s="76"/>
      <c r="C4556" s="76"/>
    </row>
    <row r="4557" spans="1:3" x14ac:dyDescent="0.2">
      <c r="A4557" s="76"/>
      <c r="C4557" s="76"/>
    </row>
    <row r="4558" spans="1:3" x14ac:dyDescent="0.2">
      <c r="A4558" s="76"/>
      <c r="C4558" s="76"/>
    </row>
    <row r="4559" spans="1:3" x14ac:dyDescent="0.2">
      <c r="A4559" s="76"/>
      <c r="C4559" s="76"/>
    </row>
    <row r="4560" spans="1:3" x14ac:dyDescent="0.2">
      <c r="A4560" s="76"/>
      <c r="C4560" s="76"/>
    </row>
    <row r="4561" spans="1:3" x14ac:dyDescent="0.2">
      <c r="A4561" s="76"/>
      <c r="C4561" s="76"/>
    </row>
    <row r="4562" spans="1:3" x14ac:dyDescent="0.2">
      <c r="A4562" s="76"/>
      <c r="C4562" s="76"/>
    </row>
    <row r="4563" spans="1:3" x14ac:dyDescent="0.2">
      <c r="A4563" s="76"/>
      <c r="C4563" s="76"/>
    </row>
    <row r="4564" spans="1:3" x14ac:dyDescent="0.2">
      <c r="A4564" s="76"/>
      <c r="C4564" s="76"/>
    </row>
    <row r="4565" spans="1:3" x14ac:dyDescent="0.2">
      <c r="A4565" s="76"/>
      <c r="C4565" s="76"/>
    </row>
    <row r="4566" spans="1:3" x14ac:dyDescent="0.2">
      <c r="A4566" s="76"/>
      <c r="C4566" s="76"/>
    </row>
    <row r="4567" spans="1:3" x14ac:dyDescent="0.2">
      <c r="A4567" s="76"/>
      <c r="C4567" s="76"/>
    </row>
    <row r="4568" spans="1:3" x14ac:dyDescent="0.2">
      <c r="A4568" s="76"/>
      <c r="C4568" s="76"/>
    </row>
    <row r="4569" spans="1:3" x14ac:dyDescent="0.2">
      <c r="A4569" s="76"/>
      <c r="C4569" s="76"/>
    </row>
    <row r="4570" spans="1:3" x14ac:dyDescent="0.2">
      <c r="A4570" s="76"/>
      <c r="C4570" s="76"/>
    </row>
    <row r="4571" spans="1:3" x14ac:dyDescent="0.2">
      <c r="A4571" s="76"/>
      <c r="C4571" s="76"/>
    </row>
    <row r="4572" spans="1:3" x14ac:dyDescent="0.2">
      <c r="A4572" s="76"/>
      <c r="C4572" s="76"/>
    </row>
    <row r="4573" spans="1:3" x14ac:dyDescent="0.2">
      <c r="A4573" s="76"/>
      <c r="C4573" s="76"/>
    </row>
    <row r="4574" spans="1:3" x14ac:dyDescent="0.2">
      <c r="A4574" s="76"/>
      <c r="C4574" s="76"/>
    </row>
    <row r="4575" spans="1:3" x14ac:dyDescent="0.2">
      <c r="A4575" s="76"/>
      <c r="C4575" s="76"/>
    </row>
    <row r="4576" spans="1:3" x14ac:dyDescent="0.2">
      <c r="A4576" s="76"/>
      <c r="C4576" s="76"/>
    </row>
    <row r="4577" spans="1:3" x14ac:dyDescent="0.2">
      <c r="A4577" s="76"/>
      <c r="C4577" s="76"/>
    </row>
    <row r="4578" spans="1:3" x14ac:dyDescent="0.2">
      <c r="A4578" s="76"/>
      <c r="C4578" s="76"/>
    </row>
    <row r="4579" spans="1:3" x14ac:dyDescent="0.2">
      <c r="A4579" s="76"/>
      <c r="C4579" s="76"/>
    </row>
    <row r="4580" spans="1:3" x14ac:dyDescent="0.2">
      <c r="A4580" s="76"/>
      <c r="C4580" s="76"/>
    </row>
    <row r="4581" spans="1:3" x14ac:dyDescent="0.2">
      <c r="A4581" s="76"/>
      <c r="C4581" s="76"/>
    </row>
    <row r="4582" spans="1:3" x14ac:dyDescent="0.2">
      <c r="A4582" s="76"/>
      <c r="C4582" s="76"/>
    </row>
    <row r="4583" spans="1:3" x14ac:dyDescent="0.2">
      <c r="A4583" s="76"/>
      <c r="C4583" s="76"/>
    </row>
    <row r="4584" spans="1:3" x14ac:dyDescent="0.2">
      <c r="A4584" s="76"/>
      <c r="C4584" s="76"/>
    </row>
    <row r="4585" spans="1:3" x14ac:dyDescent="0.2">
      <c r="A4585" s="76"/>
      <c r="C4585" s="76"/>
    </row>
    <row r="4586" spans="1:3" x14ac:dyDescent="0.2">
      <c r="A4586" s="76"/>
      <c r="C4586" s="76"/>
    </row>
    <row r="4587" spans="1:3" x14ac:dyDescent="0.2">
      <c r="A4587" s="76"/>
      <c r="C4587" s="76"/>
    </row>
    <row r="4588" spans="1:3" x14ac:dyDescent="0.2">
      <c r="A4588" s="76"/>
      <c r="C4588" s="76"/>
    </row>
    <row r="4589" spans="1:3" x14ac:dyDescent="0.2">
      <c r="A4589" s="76"/>
      <c r="C4589" s="76"/>
    </row>
    <row r="4590" spans="1:3" x14ac:dyDescent="0.2">
      <c r="A4590" s="76"/>
      <c r="C4590" s="76"/>
    </row>
    <row r="4591" spans="1:3" x14ac:dyDescent="0.2">
      <c r="A4591" s="76"/>
      <c r="C4591" s="76"/>
    </row>
    <row r="4592" spans="1:3" x14ac:dyDescent="0.2">
      <c r="A4592" s="76"/>
      <c r="C4592" s="76"/>
    </row>
    <row r="4593" spans="1:3" x14ac:dyDescent="0.2">
      <c r="A4593" s="76"/>
      <c r="C4593" s="76"/>
    </row>
    <row r="4594" spans="1:3" x14ac:dyDescent="0.2">
      <c r="A4594" s="76"/>
      <c r="C4594" s="76"/>
    </row>
    <row r="4595" spans="1:3" x14ac:dyDescent="0.2">
      <c r="A4595" s="76"/>
      <c r="C4595" s="76"/>
    </row>
    <row r="4596" spans="1:3" x14ac:dyDescent="0.2">
      <c r="A4596" s="76"/>
      <c r="C4596" s="76"/>
    </row>
    <row r="4597" spans="1:3" x14ac:dyDescent="0.2">
      <c r="A4597" s="76"/>
      <c r="C4597" s="76"/>
    </row>
    <row r="4598" spans="1:3" x14ac:dyDescent="0.2">
      <c r="A4598" s="76"/>
      <c r="C4598" s="76"/>
    </row>
    <row r="4599" spans="1:3" x14ac:dyDescent="0.2">
      <c r="A4599" s="76"/>
      <c r="C4599" s="76"/>
    </row>
    <row r="4600" spans="1:3" x14ac:dyDescent="0.2">
      <c r="A4600" s="76"/>
      <c r="C4600" s="76"/>
    </row>
    <row r="4601" spans="1:3" x14ac:dyDescent="0.2">
      <c r="A4601" s="76"/>
      <c r="C4601" s="76"/>
    </row>
    <row r="4602" spans="1:3" x14ac:dyDescent="0.2">
      <c r="A4602" s="76"/>
      <c r="C4602" s="76"/>
    </row>
    <row r="4603" spans="1:3" x14ac:dyDescent="0.2">
      <c r="A4603" s="76"/>
      <c r="C4603" s="76"/>
    </row>
    <row r="4604" spans="1:3" x14ac:dyDescent="0.2">
      <c r="A4604" s="76"/>
      <c r="C4604" s="76"/>
    </row>
    <row r="4605" spans="1:3" x14ac:dyDescent="0.2">
      <c r="A4605" s="76"/>
      <c r="C4605" s="76"/>
    </row>
    <row r="4606" spans="1:3" x14ac:dyDescent="0.2">
      <c r="A4606" s="76"/>
      <c r="C4606" s="76"/>
    </row>
    <row r="4607" spans="1:3" x14ac:dyDescent="0.2">
      <c r="A4607" s="76"/>
      <c r="C4607" s="76"/>
    </row>
    <row r="4608" spans="1:3" x14ac:dyDescent="0.2">
      <c r="A4608" s="76"/>
      <c r="C4608" s="76"/>
    </row>
    <row r="4609" spans="1:3" x14ac:dyDescent="0.2">
      <c r="A4609" s="76"/>
      <c r="C4609" s="76"/>
    </row>
    <row r="4610" spans="1:3" x14ac:dyDescent="0.2">
      <c r="A4610" s="76"/>
      <c r="C4610" s="76"/>
    </row>
    <row r="4611" spans="1:3" x14ac:dyDescent="0.2">
      <c r="A4611" s="76"/>
      <c r="C4611" s="76"/>
    </row>
    <row r="4612" spans="1:3" x14ac:dyDescent="0.2">
      <c r="A4612" s="76"/>
      <c r="C4612" s="76"/>
    </row>
    <row r="4613" spans="1:3" x14ac:dyDescent="0.2">
      <c r="A4613" s="76"/>
      <c r="C4613" s="76"/>
    </row>
    <row r="4614" spans="1:3" x14ac:dyDescent="0.2">
      <c r="A4614" s="76"/>
      <c r="C4614" s="76"/>
    </row>
    <row r="4615" spans="1:3" x14ac:dyDescent="0.2">
      <c r="A4615" s="76"/>
      <c r="C4615" s="76"/>
    </row>
    <row r="4616" spans="1:3" x14ac:dyDescent="0.2">
      <c r="A4616" s="76"/>
      <c r="C4616" s="76"/>
    </row>
    <row r="4617" spans="1:3" x14ac:dyDescent="0.2">
      <c r="A4617" s="76"/>
      <c r="C4617" s="76"/>
    </row>
    <row r="4618" spans="1:3" x14ac:dyDescent="0.2">
      <c r="A4618" s="76"/>
      <c r="C4618" s="76"/>
    </row>
    <row r="4619" spans="1:3" x14ac:dyDescent="0.2">
      <c r="A4619" s="76"/>
      <c r="C4619" s="76"/>
    </row>
    <row r="4620" spans="1:3" x14ac:dyDescent="0.2">
      <c r="A4620" s="76"/>
      <c r="C4620" s="76"/>
    </row>
    <row r="4621" spans="1:3" x14ac:dyDescent="0.2">
      <c r="A4621" s="76"/>
      <c r="C4621" s="76"/>
    </row>
    <row r="4622" spans="1:3" x14ac:dyDescent="0.2">
      <c r="A4622" s="76"/>
      <c r="C4622" s="76"/>
    </row>
    <row r="4623" spans="1:3" x14ac:dyDescent="0.2">
      <c r="A4623" s="76"/>
      <c r="C4623" s="76"/>
    </row>
    <row r="4624" spans="1:3" x14ac:dyDescent="0.2">
      <c r="A4624" s="76"/>
      <c r="C4624" s="76"/>
    </row>
    <row r="4625" spans="1:3" x14ac:dyDescent="0.2">
      <c r="A4625" s="76"/>
      <c r="C4625" s="76"/>
    </row>
    <row r="4626" spans="1:3" x14ac:dyDescent="0.2">
      <c r="A4626" s="76"/>
      <c r="C4626" s="76"/>
    </row>
    <row r="4627" spans="1:3" x14ac:dyDescent="0.2">
      <c r="A4627" s="76"/>
      <c r="C4627" s="76"/>
    </row>
    <row r="4628" spans="1:3" x14ac:dyDescent="0.2">
      <c r="A4628" s="76"/>
      <c r="C4628" s="76"/>
    </row>
    <row r="4629" spans="1:3" x14ac:dyDescent="0.2">
      <c r="A4629" s="76"/>
      <c r="C4629" s="76"/>
    </row>
    <row r="4630" spans="1:3" x14ac:dyDescent="0.2">
      <c r="A4630" s="76"/>
      <c r="C4630" s="76"/>
    </row>
    <row r="4631" spans="1:3" x14ac:dyDescent="0.2">
      <c r="A4631" s="76"/>
      <c r="C4631" s="76"/>
    </row>
    <row r="4632" spans="1:3" x14ac:dyDescent="0.2">
      <c r="A4632" s="76"/>
      <c r="C4632" s="76"/>
    </row>
    <row r="4633" spans="1:3" x14ac:dyDescent="0.2">
      <c r="A4633" s="76"/>
      <c r="C4633" s="76"/>
    </row>
    <row r="4634" spans="1:3" x14ac:dyDescent="0.2">
      <c r="A4634" s="76"/>
      <c r="C4634" s="76"/>
    </row>
    <row r="4635" spans="1:3" x14ac:dyDescent="0.2">
      <c r="A4635" s="76"/>
      <c r="C4635" s="76"/>
    </row>
    <row r="4636" spans="1:3" x14ac:dyDescent="0.2">
      <c r="A4636" s="76"/>
      <c r="C4636" s="76"/>
    </row>
    <row r="4637" spans="1:3" x14ac:dyDescent="0.2">
      <c r="A4637" s="76"/>
      <c r="C4637" s="76"/>
    </row>
    <row r="4638" spans="1:3" x14ac:dyDescent="0.2">
      <c r="A4638" s="76"/>
      <c r="C4638" s="76"/>
    </row>
    <row r="4639" spans="1:3" x14ac:dyDescent="0.2">
      <c r="A4639" s="76"/>
      <c r="C4639" s="76"/>
    </row>
    <row r="4640" spans="1:3" x14ac:dyDescent="0.2">
      <c r="A4640" s="76"/>
      <c r="C4640" s="76"/>
    </row>
    <row r="4641" spans="1:3" x14ac:dyDescent="0.2">
      <c r="A4641" s="76"/>
      <c r="C4641" s="76"/>
    </row>
    <row r="4642" spans="1:3" x14ac:dyDescent="0.2">
      <c r="A4642" s="76"/>
      <c r="C4642" s="76"/>
    </row>
    <row r="4643" spans="1:3" x14ac:dyDescent="0.2">
      <c r="A4643" s="76"/>
      <c r="C4643" s="76"/>
    </row>
    <row r="4644" spans="1:3" x14ac:dyDescent="0.2">
      <c r="A4644" s="76"/>
      <c r="C4644" s="76"/>
    </row>
    <row r="4645" spans="1:3" x14ac:dyDescent="0.2">
      <c r="A4645" s="76"/>
      <c r="C4645" s="76"/>
    </row>
    <row r="4646" spans="1:3" x14ac:dyDescent="0.2">
      <c r="A4646" s="76"/>
      <c r="C4646" s="76"/>
    </row>
    <row r="4647" spans="1:3" x14ac:dyDescent="0.2">
      <c r="A4647" s="76"/>
      <c r="C4647" s="76"/>
    </row>
    <row r="4648" spans="1:3" x14ac:dyDescent="0.2">
      <c r="A4648" s="76"/>
      <c r="C4648" s="76"/>
    </row>
    <row r="4649" spans="1:3" x14ac:dyDescent="0.2">
      <c r="A4649" s="76"/>
      <c r="C4649" s="76"/>
    </row>
    <row r="4650" spans="1:3" x14ac:dyDescent="0.2">
      <c r="A4650" s="76"/>
      <c r="C4650" s="76"/>
    </row>
    <row r="4651" spans="1:3" x14ac:dyDescent="0.2">
      <c r="A4651" s="76"/>
      <c r="C4651" s="76"/>
    </row>
    <row r="4652" spans="1:3" x14ac:dyDescent="0.2">
      <c r="A4652" s="76"/>
      <c r="C4652" s="76"/>
    </row>
    <row r="4653" spans="1:3" x14ac:dyDescent="0.2">
      <c r="A4653" s="76"/>
      <c r="C4653" s="76"/>
    </row>
    <row r="4654" spans="1:3" x14ac:dyDescent="0.2">
      <c r="A4654" s="76"/>
      <c r="C4654" s="76"/>
    </row>
    <row r="4655" spans="1:3" x14ac:dyDescent="0.2">
      <c r="A4655" s="76"/>
      <c r="C4655" s="76"/>
    </row>
    <row r="4656" spans="1:3" x14ac:dyDescent="0.2">
      <c r="A4656" s="76"/>
      <c r="C4656" s="76"/>
    </row>
    <row r="4657" spans="1:3" x14ac:dyDescent="0.2">
      <c r="A4657" s="76"/>
      <c r="C4657" s="76"/>
    </row>
    <row r="4658" spans="1:3" x14ac:dyDescent="0.2">
      <c r="A4658" s="76"/>
      <c r="C4658" s="76"/>
    </row>
    <row r="4659" spans="1:3" x14ac:dyDescent="0.2">
      <c r="A4659" s="76"/>
      <c r="C4659" s="76"/>
    </row>
    <row r="4660" spans="1:3" x14ac:dyDescent="0.2">
      <c r="A4660" s="76"/>
      <c r="C4660" s="76"/>
    </row>
    <row r="4661" spans="1:3" x14ac:dyDescent="0.2">
      <c r="A4661" s="76"/>
      <c r="C4661" s="76"/>
    </row>
    <row r="4662" spans="1:3" x14ac:dyDescent="0.2">
      <c r="A4662" s="76"/>
      <c r="C4662" s="76"/>
    </row>
    <row r="4663" spans="1:3" x14ac:dyDescent="0.2">
      <c r="A4663" s="76"/>
      <c r="C4663" s="76"/>
    </row>
    <row r="4664" spans="1:3" x14ac:dyDescent="0.2">
      <c r="A4664" s="76"/>
      <c r="C4664" s="76"/>
    </row>
    <row r="4665" spans="1:3" x14ac:dyDescent="0.2">
      <c r="A4665" s="76"/>
      <c r="C4665" s="76"/>
    </row>
    <row r="4666" spans="1:3" x14ac:dyDescent="0.2">
      <c r="A4666" s="76"/>
      <c r="C4666" s="76"/>
    </row>
    <row r="4667" spans="1:3" x14ac:dyDescent="0.2">
      <c r="A4667" s="76"/>
      <c r="C4667" s="76"/>
    </row>
    <row r="4668" spans="1:3" x14ac:dyDescent="0.2">
      <c r="A4668" s="76"/>
      <c r="C4668" s="76"/>
    </row>
    <row r="4669" spans="1:3" x14ac:dyDescent="0.2">
      <c r="A4669" s="76"/>
      <c r="C4669" s="76"/>
    </row>
    <row r="4670" spans="1:3" x14ac:dyDescent="0.2">
      <c r="A4670" s="76"/>
      <c r="C4670" s="76"/>
    </row>
    <row r="4671" spans="1:3" x14ac:dyDescent="0.2">
      <c r="A4671" s="76"/>
      <c r="C4671" s="76"/>
    </row>
    <row r="4672" spans="1:3" x14ac:dyDescent="0.2">
      <c r="A4672" s="76"/>
      <c r="C4672" s="76"/>
    </row>
    <row r="4673" spans="1:3" x14ac:dyDescent="0.2">
      <c r="A4673" s="76"/>
      <c r="C4673" s="76"/>
    </row>
    <row r="4674" spans="1:3" x14ac:dyDescent="0.2">
      <c r="A4674" s="76"/>
      <c r="C4674" s="76"/>
    </row>
    <row r="4675" spans="1:3" x14ac:dyDescent="0.2">
      <c r="A4675" s="76"/>
      <c r="C4675" s="76"/>
    </row>
    <row r="4676" spans="1:3" x14ac:dyDescent="0.2">
      <c r="A4676" s="76"/>
      <c r="C4676" s="76"/>
    </row>
    <row r="4677" spans="1:3" x14ac:dyDescent="0.2">
      <c r="A4677" s="76"/>
      <c r="C4677" s="76"/>
    </row>
    <row r="4678" spans="1:3" x14ac:dyDescent="0.2">
      <c r="A4678" s="76"/>
      <c r="C4678" s="76"/>
    </row>
    <row r="4679" spans="1:3" x14ac:dyDescent="0.2">
      <c r="A4679" s="76"/>
      <c r="C4679" s="76"/>
    </row>
    <row r="4680" spans="1:3" x14ac:dyDescent="0.2">
      <c r="A4680" s="76"/>
      <c r="C4680" s="76"/>
    </row>
    <row r="4681" spans="1:3" x14ac:dyDescent="0.2">
      <c r="A4681" s="76"/>
      <c r="C4681" s="76"/>
    </row>
    <row r="4682" spans="1:3" x14ac:dyDescent="0.2">
      <c r="A4682" s="76"/>
      <c r="C4682" s="76"/>
    </row>
    <row r="4683" spans="1:3" x14ac:dyDescent="0.2">
      <c r="A4683" s="76"/>
      <c r="C4683" s="76"/>
    </row>
    <row r="4684" spans="1:3" x14ac:dyDescent="0.2">
      <c r="A4684" s="76"/>
      <c r="C4684" s="76"/>
    </row>
    <row r="4685" spans="1:3" x14ac:dyDescent="0.2">
      <c r="A4685" s="76"/>
      <c r="C4685" s="76"/>
    </row>
    <row r="4686" spans="1:3" x14ac:dyDescent="0.2">
      <c r="A4686" s="76"/>
      <c r="C4686" s="76"/>
    </row>
    <row r="4687" spans="1:3" x14ac:dyDescent="0.2">
      <c r="A4687" s="76"/>
      <c r="C4687" s="76"/>
    </row>
    <row r="4688" spans="1:3" x14ac:dyDescent="0.2">
      <c r="A4688" s="76"/>
      <c r="C4688" s="76"/>
    </row>
    <row r="4689" spans="1:3" x14ac:dyDescent="0.2">
      <c r="A4689" s="76"/>
      <c r="C4689" s="76"/>
    </row>
    <row r="4690" spans="1:3" x14ac:dyDescent="0.2">
      <c r="A4690" s="76"/>
      <c r="C4690" s="76"/>
    </row>
    <row r="4691" spans="1:3" x14ac:dyDescent="0.2">
      <c r="A4691" s="76"/>
      <c r="C4691" s="76"/>
    </row>
    <row r="4692" spans="1:3" x14ac:dyDescent="0.2">
      <c r="A4692" s="76"/>
      <c r="C4692" s="76"/>
    </row>
    <row r="4693" spans="1:3" x14ac:dyDescent="0.2">
      <c r="A4693" s="76"/>
      <c r="C4693" s="76"/>
    </row>
    <row r="4694" spans="1:3" x14ac:dyDescent="0.2">
      <c r="A4694" s="76"/>
      <c r="C4694" s="76"/>
    </row>
    <row r="4695" spans="1:3" x14ac:dyDescent="0.2">
      <c r="A4695" s="76"/>
      <c r="C4695" s="76"/>
    </row>
    <row r="4696" spans="1:3" x14ac:dyDescent="0.2">
      <c r="A4696" s="76"/>
      <c r="C4696" s="76"/>
    </row>
    <row r="4697" spans="1:3" x14ac:dyDescent="0.2">
      <c r="A4697" s="76"/>
      <c r="C4697" s="76"/>
    </row>
    <row r="4698" spans="1:3" x14ac:dyDescent="0.2">
      <c r="A4698" s="76"/>
      <c r="C4698" s="76"/>
    </row>
    <row r="4699" spans="1:3" x14ac:dyDescent="0.2">
      <c r="A4699" s="76"/>
      <c r="C4699" s="76"/>
    </row>
    <row r="4700" spans="1:3" x14ac:dyDescent="0.2">
      <c r="A4700" s="76"/>
      <c r="C4700" s="76"/>
    </row>
    <row r="4701" spans="1:3" x14ac:dyDescent="0.2">
      <c r="A4701" s="76"/>
      <c r="C4701" s="76"/>
    </row>
    <row r="4702" spans="1:3" x14ac:dyDescent="0.2">
      <c r="A4702" s="76"/>
      <c r="C4702" s="76"/>
    </row>
    <row r="4703" spans="1:3" x14ac:dyDescent="0.2">
      <c r="A4703" s="76"/>
      <c r="C4703" s="76"/>
    </row>
    <row r="4704" spans="1:3" x14ac:dyDescent="0.2">
      <c r="A4704" s="76"/>
      <c r="C4704" s="76"/>
    </row>
    <row r="4705" spans="1:3" x14ac:dyDescent="0.2">
      <c r="A4705" s="76"/>
      <c r="C4705" s="76"/>
    </row>
    <row r="4706" spans="1:3" x14ac:dyDescent="0.2">
      <c r="A4706" s="76"/>
      <c r="C4706" s="76"/>
    </row>
    <row r="4707" spans="1:3" x14ac:dyDescent="0.2">
      <c r="A4707" s="76"/>
      <c r="C4707" s="76"/>
    </row>
    <row r="4708" spans="1:3" x14ac:dyDescent="0.2">
      <c r="A4708" s="76"/>
      <c r="C4708" s="76"/>
    </row>
    <row r="4709" spans="1:3" x14ac:dyDescent="0.2">
      <c r="A4709" s="76"/>
      <c r="C4709" s="76"/>
    </row>
    <row r="4710" spans="1:3" x14ac:dyDescent="0.2">
      <c r="A4710" s="76"/>
      <c r="C4710" s="76"/>
    </row>
    <row r="4711" spans="1:3" x14ac:dyDescent="0.2">
      <c r="A4711" s="76"/>
      <c r="C4711" s="76"/>
    </row>
    <row r="4712" spans="1:3" x14ac:dyDescent="0.2">
      <c r="A4712" s="76"/>
      <c r="C4712" s="76"/>
    </row>
    <row r="4713" spans="1:3" x14ac:dyDescent="0.2">
      <c r="A4713" s="76"/>
      <c r="C4713" s="76"/>
    </row>
    <row r="4714" spans="1:3" x14ac:dyDescent="0.2">
      <c r="A4714" s="76"/>
      <c r="C4714" s="76"/>
    </row>
    <row r="4715" spans="1:3" x14ac:dyDescent="0.2">
      <c r="A4715" s="76"/>
      <c r="C4715" s="76"/>
    </row>
    <row r="4716" spans="1:3" x14ac:dyDescent="0.2">
      <c r="A4716" s="76"/>
      <c r="C4716" s="76"/>
    </row>
    <row r="4717" spans="1:3" x14ac:dyDescent="0.2">
      <c r="A4717" s="76"/>
      <c r="C4717" s="76"/>
    </row>
    <row r="4718" spans="1:3" x14ac:dyDescent="0.2">
      <c r="A4718" s="76"/>
      <c r="C4718" s="76"/>
    </row>
    <row r="4719" spans="1:3" x14ac:dyDescent="0.2">
      <c r="A4719" s="76"/>
      <c r="C4719" s="76"/>
    </row>
    <row r="4720" spans="1:3" x14ac:dyDescent="0.2">
      <c r="A4720" s="76"/>
      <c r="C4720" s="76"/>
    </row>
    <row r="4721" spans="1:3" x14ac:dyDescent="0.2">
      <c r="A4721" s="76"/>
      <c r="C4721" s="76"/>
    </row>
    <row r="4722" spans="1:3" x14ac:dyDescent="0.2">
      <c r="A4722" s="76"/>
      <c r="C4722" s="76"/>
    </row>
    <row r="4723" spans="1:3" x14ac:dyDescent="0.2">
      <c r="A4723" s="76"/>
      <c r="C4723" s="76"/>
    </row>
    <row r="4724" spans="1:3" x14ac:dyDescent="0.2">
      <c r="A4724" s="76"/>
      <c r="C4724" s="76"/>
    </row>
    <row r="4725" spans="1:3" x14ac:dyDescent="0.2">
      <c r="A4725" s="76"/>
      <c r="C4725" s="76"/>
    </row>
    <row r="4726" spans="1:3" x14ac:dyDescent="0.2">
      <c r="A4726" s="76"/>
      <c r="C4726" s="76"/>
    </row>
    <row r="4727" spans="1:3" x14ac:dyDescent="0.2">
      <c r="A4727" s="76"/>
      <c r="C4727" s="76"/>
    </row>
    <row r="4728" spans="1:3" x14ac:dyDescent="0.2">
      <c r="A4728" s="76"/>
      <c r="C4728" s="76"/>
    </row>
    <row r="4729" spans="1:3" x14ac:dyDescent="0.2">
      <c r="A4729" s="76"/>
      <c r="C4729" s="76"/>
    </row>
    <row r="4730" spans="1:3" x14ac:dyDescent="0.2">
      <c r="A4730" s="76"/>
      <c r="C4730" s="76"/>
    </row>
    <row r="4731" spans="1:3" x14ac:dyDescent="0.2">
      <c r="A4731" s="76"/>
      <c r="C4731" s="76"/>
    </row>
    <row r="4732" spans="1:3" x14ac:dyDescent="0.2">
      <c r="A4732" s="76"/>
      <c r="C4732" s="76"/>
    </row>
    <row r="4733" spans="1:3" x14ac:dyDescent="0.2">
      <c r="A4733" s="76"/>
      <c r="C4733" s="76"/>
    </row>
    <row r="4734" spans="1:3" x14ac:dyDescent="0.2">
      <c r="A4734" s="76"/>
      <c r="C4734" s="76"/>
    </row>
    <row r="4735" spans="1:3" x14ac:dyDescent="0.2">
      <c r="A4735" s="76"/>
      <c r="C4735" s="76"/>
    </row>
    <row r="4736" spans="1:3" x14ac:dyDescent="0.2">
      <c r="A4736" s="76"/>
      <c r="C4736" s="76"/>
    </row>
    <row r="4737" spans="1:3" x14ac:dyDescent="0.2">
      <c r="A4737" s="76"/>
      <c r="C4737" s="76"/>
    </row>
    <row r="4738" spans="1:3" x14ac:dyDescent="0.2">
      <c r="A4738" s="76"/>
      <c r="C4738" s="76"/>
    </row>
    <row r="4739" spans="1:3" x14ac:dyDescent="0.2">
      <c r="A4739" s="76"/>
      <c r="C4739" s="76"/>
    </row>
    <row r="4740" spans="1:3" x14ac:dyDescent="0.2">
      <c r="A4740" s="76"/>
      <c r="C4740" s="76"/>
    </row>
    <row r="4741" spans="1:3" x14ac:dyDescent="0.2">
      <c r="A4741" s="76"/>
      <c r="C4741" s="76"/>
    </row>
    <row r="4742" spans="1:3" x14ac:dyDescent="0.2">
      <c r="A4742" s="76"/>
      <c r="C4742" s="76"/>
    </row>
    <row r="4743" spans="1:3" x14ac:dyDescent="0.2">
      <c r="A4743" s="76"/>
      <c r="C4743" s="76"/>
    </row>
    <row r="4744" spans="1:3" x14ac:dyDescent="0.2">
      <c r="A4744" s="76"/>
      <c r="C4744" s="76"/>
    </row>
    <row r="4745" spans="1:3" x14ac:dyDescent="0.2">
      <c r="A4745" s="76"/>
      <c r="C4745" s="76"/>
    </row>
    <row r="4746" spans="1:3" x14ac:dyDescent="0.2">
      <c r="A4746" s="76"/>
      <c r="C4746" s="76"/>
    </row>
    <row r="4747" spans="1:3" x14ac:dyDescent="0.2">
      <c r="A4747" s="76"/>
      <c r="C4747" s="76"/>
    </row>
    <row r="4748" spans="1:3" x14ac:dyDescent="0.2">
      <c r="A4748" s="76"/>
      <c r="C4748" s="76"/>
    </row>
    <row r="4749" spans="1:3" x14ac:dyDescent="0.2">
      <c r="A4749" s="76"/>
      <c r="C4749" s="76"/>
    </row>
    <row r="4750" spans="1:3" x14ac:dyDescent="0.2">
      <c r="A4750" s="76"/>
      <c r="C4750" s="76"/>
    </row>
    <row r="4751" spans="1:3" x14ac:dyDescent="0.2">
      <c r="A4751" s="76"/>
      <c r="C4751" s="76"/>
    </row>
    <row r="4752" spans="1:3" x14ac:dyDescent="0.2">
      <c r="A4752" s="76"/>
      <c r="C4752" s="76"/>
    </row>
    <row r="4753" spans="1:3" x14ac:dyDescent="0.2">
      <c r="A4753" s="76"/>
      <c r="C4753" s="76"/>
    </row>
    <row r="4754" spans="1:3" x14ac:dyDescent="0.2">
      <c r="A4754" s="76"/>
      <c r="C4754" s="76"/>
    </row>
    <row r="4755" spans="1:3" x14ac:dyDescent="0.2">
      <c r="A4755" s="76"/>
      <c r="C4755" s="76"/>
    </row>
    <row r="4756" spans="1:3" x14ac:dyDescent="0.2">
      <c r="A4756" s="76"/>
      <c r="C4756" s="76"/>
    </row>
    <row r="4757" spans="1:3" x14ac:dyDescent="0.2">
      <c r="A4757" s="76"/>
      <c r="C4757" s="76"/>
    </row>
    <row r="4758" spans="1:3" x14ac:dyDescent="0.2">
      <c r="A4758" s="76"/>
      <c r="C4758" s="76"/>
    </row>
    <row r="4759" spans="1:3" x14ac:dyDescent="0.2">
      <c r="A4759" s="76"/>
      <c r="C4759" s="76"/>
    </row>
    <row r="4760" spans="1:3" x14ac:dyDescent="0.2">
      <c r="A4760" s="76"/>
      <c r="C4760" s="76"/>
    </row>
    <row r="4761" spans="1:3" x14ac:dyDescent="0.2">
      <c r="A4761" s="76"/>
      <c r="C4761" s="76"/>
    </row>
    <row r="4762" spans="1:3" x14ac:dyDescent="0.2">
      <c r="A4762" s="76"/>
      <c r="C4762" s="76"/>
    </row>
    <row r="4763" spans="1:3" x14ac:dyDescent="0.2">
      <c r="A4763" s="76"/>
      <c r="C4763" s="76"/>
    </row>
    <row r="4764" spans="1:3" x14ac:dyDescent="0.2">
      <c r="A4764" s="76"/>
      <c r="C4764" s="76"/>
    </row>
    <row r="4765" spans="1:3" x14ac:dyDescent="0.2">
      <c r="A4765" s="76"/>
      <c r="C4765" s="76"/>
    </row>
    <row r="4766" spans="1:3" x14ac:dyDescent="0.2">
      <c r="A4766" s="76"/>
      <c r="C4766" s="76"/>
    </row>
    <row r="4767" spans="1:3" x14ac:dyDescent="0.2">
      <c r="A4767" s="76"/>
      <c r="C4767" s="76"/>
    </row>
    <row r="4768" spans="1:3" x14ac:dyDescent="0.2">
      <c r="A4768" s="76"/>
      <c r="C4768" s="76"/>
    </row>
    <row r="4769" spans="1:3" x14ac:dyDescent="0.2">
      <c r="A4769" s="76"/>
      <c r="C4769" s="76"/>
    </row>
    <row r="4770" spans="1:3" x14ac:dyDescent="0.2">
      <c r="A4770" s="76"/>
      <c r="C4770" s="76"/>
    </row>
    <row r="4771" spans="1:3" x14ac:dyDescent="0.2">
      <c r="A4771" s="76"/>
      <c r="C4771" s="76"/>
    </row>
    <row r="4772" spans="1:3" x14ac:dyDescent="0.2">
      <c r="A4772" s="76"/>
      <c r="C4772" s="76"/>
    </row>
    <row r="4773" spans="1:3" x14ac:dyDescent="0.2">
      <c r="A4773" s="76"/>
      <c r="C4773" s="76"/>
    </row>
    <row r="4774" spans="1:3" x14ac:dyDescent="0.2">
      <c r="A4774" s="76"/>
      <c r="C4774" s="76"/>
    </row>
    <row r="4775" spans="1:3" x14ac:dyDescent="0.2">
      <c r="A4775" s="76"/>
      <c r="C4775" s="76"/>
    </row>
    <row r="4776" spans="1:3" x14ac:dyDescent="0.2">
      <c r="A4776" s="76"/>
      <c r="C4776" s="76"/>
    </row>
    <row r="4777" spans="1:3" x14ac:dyDescent="0.2">
      <c r="A4777" s="76"/>
      <c r="C4777" s="76"/>
    </row>
    <row r="4778" spans="1:3" x14ac:dyDescent="0.2">
      <c r="A4778" s="76"/>
      <c r="C4778" s="76"/>
    </row>
    <row r="4779" spans="1:3" x14ac:dyDescent="0.2">
      <c r="A4779" s="76"/>
      <c r="C4779" s="76"/>
    </row>
    <row r="4780" spans="1:3" x14ac:dyDescent="0.2">
      <c r="A4780" s="76"/>
      <c r="C4780" s="76"/>
    </row>
    <row r="4781" spans="1:3" x14ac:dyDescent="0.2">
      <c r="A4781" s="76"/>
      <c r="C4781" s="76"/>
    </row>
    <row r="4782" spans="1:3" x14ac:dyDescent="0.2">
      <c r="A4782" s="76"/>
      <c r="C4782" s="76"/>
    </row>
    <row r="4783" spans="1:3" x14ac:dyDescent="0.2">
      <c r="A4783" s="76"/>
      <c r="C4783" s="76"/>
    </row>
    <row r="4784" spans="1:3" x14ac:dyDescent="0.2">
      <c r="A4784" s="76"/>
      <c r="C4784" s="76"/>
    </row>
    <row r="4785" spans="1:3" x14ac:dyDescent="0.2">
      <c r="A4785" s="76"/>
      <c r="C4785" s="76"/>
    </row>
    <row r="4786" spans="1:3" x14ac:dyDescent="0.2">
      <c r="A4786" s="76"/>
      <c r="C4786" s="76"/>
    </row>
    <row r="4787" spans="1:3" x14ac:dyDescent="0.2">
      <c r="A4787" s="76"/>
      <c r="C4787" s="76"/>
    </row>
    <row r="4788" spans="1:3" x14ac:dyDescent="0.2">
      <c r="A4788" s="76"/>
      <c r="C4788" s="76"/>
    </row>
    <row r="4789" spans="1:3" x14ac:dyDescent="0.2">
      <c r="A4789" s="76"/>
      <c r="C4789" s="76"/>
    </row>
    <row r="4790" spans="1:3" x14ac:dyDescent="0.2">
      <c r="A4790" s="76"/>
      <c r="C4790" s="76"/>
    </row>
    <row r="4791" spans="1:3" x14ac:dyDescent="0.2">
      <c r="A4791" s="76"/>
      <c r="C4791" s="76"/>
    </row>
    <row r="4792" spans="1:3" x14ac:dyDescent="0.2">
      <c r="A4792" s="76"/>
      <c r="C4792" s="76"/>
    </row>
    <row r="4793" spans="1:3" x14ac:dyDescent="0.2">
      <c r="A4793" s="76"/>
      <c r="C4793" s="76"/>
    </row>
    <row r="4794" spans="1:3" x14ac:dyDescent="0.2">
      <c r="A4794" s="76"/>
      <c r="C4794" s="76"/>
    </row>
    <row r="4795" spans="1:3" x14ac:dyDescent="0.2">
      <c r="A4795" s="76"/>
      <c r="C4795" s="76"/>
    </row>
    <row r="4796" spans="1:3" x14ac:dyDescent="0.2">
      <c r="A4796" s="76"/>
      <c r="C4796" s="76"/>
    </row>
    <row r="4797" spans="1:3" x14ac:dyDescent="0.2">
      <c r="A4797" s="76"/>
      <c r="C4797" s="76"/>
    </row>
    <row r="4798" spans="1:3" x14ac:dyDescent="0.2">
      <c r="A4798" s="76"/>
      <c r="C4798" s="76"/>
    </row>
    <row r="4799" spans="1:3" x14ac:dyDescent="0.2">
      <c r="A4799" s="76"/>
      <c r="C4799" s="76"/>
    </row>
    <row r="4800" spans="1:3" x14ac:dyDescent="0.2">
      <c r="A4800" s="76"/>
      <c r="C4800" s="76"/>
    </row>
    <row r="4801" spans="1:3" x14ac:dyDescent="0.2">
      <c r="A4801" s="76"/>
      <c r="C4801" s="76"/>
    </row>
    <row r="4802" spans="1:3" x14ac:dyDescent="0.2">
      <c r="A4802" s="76"/>
      <c r="C4802" s="76"/>
    </row>
    <row r="4803" spans="1:3" x14ac:dyDescent="0.2">
      <c r="A4803" s="76"/>
      <c r="C4803" s="76"/>
    </row>
    <row r="4804" spans="1:3" x14ac:dyDescent="0.2">
      <c r="A4804" s="76"/>
      <c r="C4804" s="76"/>
    </row>
    <row r="4805" spans="1:3" x14ac:dyDescent="0.2">
      <c r="A4805" s="76"/>
      <c r="C4805" s="76"/>
    </row>
    <row r="4806" spans="1:3" x14ac:dyDescent="0.2">
      <c r="A4806" s="76"/>
      <c r="C4806" s="76"/>
    </row>
    <row r="4807" spans="1:3" x14ac:dyDescent="0.2">
      <c r="A4807" s="76"/>
      <c r="C4807" s="76"/>
    </row>
    <row r="4808" spans="1:3" x14ac:dyDescent="0.2">
      <c r="A4808" s="76"/>
      <c r="C4808" s="76"/>
    </row>
    <row r="4809" spans="1:3" x14ac:dyDescent="0.2">
      <c r="A4809" s="76"/>
      <c r="C4809" s="76"/>
    </row>
    <row r="4810" spans="1:3" x14ac:dyDescent="0.2">
      <c r="A4810" s="76"/>
      <c r="C4810" s="76"/>
    </row>
    <row r="4811" spans="1:3" x14ac:dyDescent="0.2">
      <c r="A4811" s="76"/>
      <c r="C4811" s="76"/>
    </row>
    <row r="4812" spans="1:3" x14ac:dyDescent="0.2">
      <c r="A4812" s="76"/>
      <c r="C4812" s="76"/>
    </row>
    <row r="4813" spans="1:3" x14ac:dyDescent="0.2">
      <c r="A4813" s="76"/>
      <c r="C4813" s="76"/>
    </row>
    <row r="4814" spans="1:3" x14ac:dyDescent="0.2">
      <c r="A4814" s="76"/>
      <c r="C4814" s="76"/>
    </row>
    <row r="4815" spans="1:3" x14ac:dyDescent="0.2">
      <c r="A4815" s="76"/>
      <c r="C4815" s="76"/>
    </row>
    <row r="4816" spans="1:3" x14ac:dyDescent="0.2">
      <c r="A4816" s="76"/>
      <c r="C4816" s="76"/>
    </row>
    <row r="4817" spans="1:3" x14ac:dyDescent="0.2">
      <c r="A4817" s="76"/>
      <c r="C4817" s="76"/>
    </row>
    <row r="4818" spans="1:3" x14ac:dyDescent="0.2">
      <c r="A4818" s="76"/>
      <c r="C4818" s="76"/>
    </row>
    <row r="4819" spans="1:3" x14ac:dyDescent="0.2">
      <c r="A4819" s="76"/>
      <c r="C4819" s="76"/>
    </row>
    <row r="4820" spans="1:3" x14ac:dyDescent="0.2">
      <c r="A4820" s="76"/>
      <c r="C4820" s="76"/>
    </row>
    <row r="4821" spans="1:3" x14ac:dyDescent="0.2">
      <c r="A4821" s="76"/>
      <c r="C4821" s="76"/>
    </row>
    <row r="4822" spans="1:3" x14ac:dyDescent="0.2">
      <c r="A4822" s="76"/>
      <c r="C4822" s="76"/>
    </row>
    <row r="4823" spans="1:3" x14ac:dyDescent="0.2">
      <c r="A4823" s="76"/>
      <c r="C4823" s="76"/>
    </row>
    <row r="4824" spans="1:3" x14ac:dyDescent="0.2">
      <c r="A4824" s="76"/>
      <c r="C4824" s="76"/>
    </row>
    <row r="4825" spans="1:3" x14ac:dyDescent="0.2">
      <c r="A4825" s="76"/>
      <c r="C4825" s="76"/>
    </row>
    <row r="4826" spans="1:3" x14ac:dyDescent="0.2">
      <c r="A4826" s="76"/>
      <c r="C4826" s="76"/>
    </row>
    <row r="4827" spans="1:3" x14ac:dyDescent="0.2">
      <c r="A4827" s="76"/>
      <c r="C4827" s="76"/>
    </row>
    <row r="4828" spans="1:3" x14ac:dyDescent="0.2">
      <c r="A4828" s="76"/>
      <c r="C4828" s="76"/>
    </row>
    <row r="4829" spans="1:3" x14ac:dyDescent="0.2">
      <c r="A4829" s="76"/>
      <c r="C4829" s="76"/>
    </row>
    <row r="4830" spans="1:3" x14ac:dyDescent="0.2">
      <c r="A4830" s="76"/>
      <c r="C4830" s="76"/>
    </row>
    <row r="4831" spans="1:3" x14ac:dyDescent="0.2">
      <c r="A4831" s="76"/>
      <c r="C4831" s="76"/>
    </row>
    <row r="4832" spans="1:3" x14ac:dyDescent="0.2">
      <c r="A4832" s="76"/>
      <c r="C4832" s="76"/>
    </row>
    <row r="4833" spans="1:3" x14ac:dyDescent="0.2">
      <c r="A4833" s="76"/>
      <c r="C4833" s="76"/>
    </row>
    <row r="4834" spans="1:3" x14ac:dyDescent="0.2">
      <c r="A4834" s="76"/>
      <c r="C4834" s="76"/>
    </row>
    <row r="4835" spans="1:3" x14ac:dyDescent="0.2">
      <c r="A4835" s="76"/>
      <c r="C4835" s="76"/>
    </row>
    <row r="4836" spans="1:3" x14ac:dyDescent="0.2">
      <c r="A4836" s="76"/>
      <c r="C4836" s="76"/>
    </row>
    <row r="4837" spans="1:3" x14ac:dyDescent="0.2">
      <c r="A4837" s="76"/>
      <c r="C4837" s="76"/>
    </row>
    <row r="4838" spans="1:3" x14ac:dyDescent="0.2">
      <c r="A4838" s="76"/>
      <c r="C4838" s="76"/>
    </row>
    <row r="4839" spans="1:3" x14ac:dyDescent="0.2">
      <c r="A4839" s="76"/>
      <c r="C4839" s="76"/>
    </row>
    <row r="4840" spans="1:3" x14ac:dyDescent="0.2">
      <c r="A4840" s="76"/>
      <c r="C4840" s="76"/>
    </row>
    <row r="4841" spans="1:3" x14ac:dyDescent="0.2">
      <c r="A4841" s="76"/>
      <c r="C4841" s="76"/>
    </row>
    <row r="4842" spans="1:3" x14ac:dyDescent="0.2">
      <c r="A4842" s="76"/>
      <c r="C4842" s="76"/>
    </row>
    <row r="4843" spans="1:3" x14ac:dyDescent="0.2">
      <c r="A4843" s="76"/>
      <c r="C4843" s="76"/>
    </row>
    <row r="4844" spans="1:3" x14ac:dyDescent="0.2">
      <c r="A4844" s="76"/>
      <c r="C4844" s="76"/>
    </row>
    <row r="4845" spans="1:3" x14ac:dyDescent="0.2">
      <c r="A4845" s="76"/>
      <c r="C4845" s="76"/>
    </row>
    <row r="4846" spans="1:3" x14ac:dyDescent="0.2">
      <c r="A4846" s="76"/>
      <c r="C4846" s="76"/>
    </row>
    <row r="4847" spans="1:3" x14ac:dyDescent="0.2">
      <c r="A4847" s="76"/>
      <c r="C4847" s="76"/>
    </row>
    <row r="4848" spans="1:3" x14ac:dyDescent="0.2">
      <c r="A4848" s="76"/>
      <c r="C4848" s="76"/>
    </row>
    <row r="4849" spans="1:3" x14ac:dyDescent="0.2">
      <c r="A4849" s="76"/>
      <c r="C4849" s="76"/>
    </row>
    <row r="4850" spans="1:3" x14ac:dyDescent="0.2">
      <c r="A4850" s="76"/>
      <c r="C4850" s="76"/>
    </row>
    <row r="4851" spans="1:3" x14ac:dyDescent="0.2">
      <c r="A4851" s="76"/>
      <c r="C4851" s="76"/>
    </row>
    <row r="4852" spans="1:3" x14ac:dyDescent="0.2">
      <c r="A4852" s="76"/>
      <c r="C4852" s="76"/>
    </row>
    <row r="4853" spans="1:3" x14ac:dyDescent="0.2">
      <c r="A4853" s="76"/>
      <c r="C4853" s="76"/>
    </row>
    <row r="4854" spans="1:3" x14ac:dyDescent="0.2">
      <c r="A4854" s="76"/>
      <c r="C4854" s="76"/>
    </row>
    <row r="4855" spans="1:3" x14ac:dyDescent="0.2">
      <c r="A4855" s="76"/>
      <c r="C4855" s="76"/>
    </row>
    <row r="4856" spans="1:3" x14ac:dyDescent="0.2">
      <c r="A4856" s="76"/>
      <c r="C4856" s="76"/>
    </row>
    <row r="4857" spans="1:3" x14ac:dyDescent="0.2">
      <c r="A4857" s="76"/>
      <c r="C4857" s="76"/>
    </row>
    <row r="4858" spans="1:3" x14ac:dyDescent="0.2">
      <c r="A4858" s="76"/>
      <c r="C4858" s="76"/>
    </row>
    <row r="4859" spans="1:3" x14ac:dyDescent="0.2">
      <c r="A4859" s="76"/>
      <c r="C4859" s="76"/>
    </row>
    <row r="4860" spans="1:3" x14ac:dyDescent="0.2">
      <c r="A4860" s="76"/>
      <c r="C4860" s="76"/>
    </row>
    <row r="4861" spans="1:3" x14ac:dyDescent="0.2">
      <c r="A4861" s="76"/>
      <c r="C4861" s="76"/>
    </row>
    <row r="4862" spans="1:3" x14ac:dyDescent="0.2">
      <c r="A4862" s="76"/>
      <c r="C4862" s="76"/>
    </row>
    <row r="4863" spans="1:3" x14ac:dyDescent="0.2">
      <c r="A4863" s="76"/>
      <c r="C4863" s="76"/>
    </row>
    <row r="4864" spans="1:3" x14ac:dyDescent="0.2">
      <c r="A4864" s="76"/>
      <c r="C4864" s="76"/>
    </row>
    <row r="4865" spans="1:3" x14ac:dyDescent="0.2">
      <c r="A4865" s="76"/>
      <c r="C4865" s="76"/>
    </row>
    <row r="4866" spans="1:3" x14ac:dyDescent="0.2">
      <c r="A4866" s="76"/>
      <c r="C4866" s="76"/>
    </row>
    <row r="4867" spans="1:3" x14ac:dyDescent="0.2">
      <c r="A4867" s="76"/>
      <c r="C4867" s="76"/>
    </row>
    <row r="4868" spans="1:3" x14ac:dyDescent="0.2">
      <c r="A4868" s="76"/>
      <c r="C4868" s="76"/>
    </row>
    <row r="4869" spans="1:3" x14ac:dyDescent="0.2">
      <c r="A4869" s="76"/>
      <c r="C4869" s="76"/>
    </row>
    <row r="4870" spans="1:3" x14ac:dyDescent="0.2">
      <c r="A4870" s="76"/>
      <c r="C4870" s="76"/>
    </row>
    <row r="4871" spans="1:3" x14ac:dyDescent="0.2">
      <c r="A4871" s="76"/>
      <c r="C4871" s="76"/>
    </row>
    <row r="4872" spans="1:3" x14ac:dyDescent="0.2">
      <c r="A4872" s="76"/>
      <c r="C4872" s="76"/>
    </row>
    <row r="4873" spans="1:3" x14ac:dyDescent="0.2">
      <c r="A4873" s="76"/>
      <c r="C4873" s="76"/>
    </row>
    <row r="4874" spans="1:3" x14ac:dyDescent="0.2">
      <c r="A4874" s="76"/>
      <c r="C4874" s="76"/>
    </row>
    <row r="4875" spans="1:3" x14ac:dyDescent="0.2">
      <c r="A4875" s="76"/>
      <c r="C4875" s="76"/>
    </row>
    <row r="4876" spans="1:3" x14ac:dyDescent="0.2">
      <c r="A4876" s="76"/>
      <c r="C4876" s="76"/>
    </row>
    <row r="4877" spans="1:3" x14ac:dyDescent="0.2">
      <c r="A4877" s="76"/>
      <c r="C4877" s="76"/>
    </row>
    <row r="4878" spans="1:3" x14ac:dyDescent="0.2">
      <c r="A4878" s="76"/>
      <c r="C4878" s="76"/>
    </row>
    <row r="4879" spans="1:3" x14ac:dyDescent="0.2">
      <c r="A4879" s="76"/>
      <c r="C4879" s="76"/>
    </row>
    <row r="4880" spans="1:3" x14ac:dyDescent="0.2">
      <c r="A4880" s="76"/>
      <c r="C4880" s="76"/>
    </row>
    <row r="4881" spans="1:3" x14ac:dyDescent="0.2">
      <c r="A4881" s="76"/>
      <c r="C4881" s="76"/>
    </row>
    <row r="4882" spans="1:3" x14ac:dyDescent="0.2">
      <c r="A4882" s="76"/>
      <c r="C4882" s="76"/>
    </row>
    <row r="4883" spans="1:3" x14ac:dyDescent="0.2">
      <c r="A4883" s="76"/>
      <c r="C4883" s="76"/>
    </row>
    <row r="4884" spans="1:3" x14ac:dyDescent="0.2">
      <c r="A4884" s="76"/>
      <c r="C4884" s="76"/>
    </row>
    <row r="4885" spans="1:3" x14ac:dyDescent="0.2">
      <c r="A4885" s="76"/>
      <c r="C4885" s="76"/>
    </row>
    <row r="4886" spans="1:3" x14ac:dyDescent="0.2">
      <c r="A4886" s="76"/>
      <c r="C4886" s="76"/>
    </row>
    <row r="4887" spans="1:3" x14ac:dyDescent="0.2">
      <c r="A4887" s="76"/>
      <c r="C4887" s="76"/>
    </row>
    <row r="4888" spans="1:3" x14ac:dyDescent="0.2">
      <c r="A4888" s="76"/>
      <c r="C4888" s="76"/>
    </row>
    <row r="4889" spans="1:3" x14ac:dyDescent="0.2">
      <c r="A4889" s="76"/>
      <c r="C4889" s="76"/>
    </row>
    <row r="4890" spans="1:3" x14ac:dyDescent="0.2">
      <c r="A4890" s="76"/>
      <c r="C4890" s="76"/>
    </row>
    <row r="4891" spans="1:3" x14ac:dyDescent="0.2">
      <c r="A4891" s="76"/>
      <c r="C4891" s="76"/>
    </row>
    <row r="4892" spans="1:3" x14ac:dyDescent="0.2">
      <c r="A4892" s="76"/>
      <c r="C4892" s="76"/>
    </row>
    <row r="4893" spans="1:3" x14ac:dyDescent="0.2">
      <c r="A4893" s="76"/>
      <c r="C4893" s="76"/>
    </row>
    <row r="4894" spans="1:3" x14ac:dyDescent="0.2">
      <c r="A4894" s="76"/>
      <c r="C4894" s="76"/>
    </row>
    <row r="4895" spans="1:3" x14ac:dyDescent="0.2">
      <c r="A4895" s="76"/>
      <c r="C4895" s="76"/>
    </row>
    <row r="4896" spans="1:3" x14ac:dyDescent="0.2">
      <c r="A4896" s="76"/>
      <c r="C4896" s="76"/>
    </row>
    <row r="4897" spans="1:3" x14ac:dyDescent="0.2">
      <c r="A4897" s="76"/>
      <c r="C4897" s="76"/>
    </row>
    <row r="4898" spans="1:3" x14ac:dyDescent="0.2">
      <c r="A4898" s="76"/>
      <c r="C4898" s="76"/>
    </row>
    <row r="4899" spans="1:3" x14ac:dyDescent="0.2">
      <c r="A4899" s="76"/>
      <c r="C4899" s="76"/>
    </row>
    <row r="4900" spans="1:3" x14ac:dyDescent="0.2">
      <c r="A4900" s="76"/>
      <c r="C4900" s="76"/>
    </row>
    <row r="4901" spans="1:3" x14ac:dyDescent="0.2">
      <c r="A4901" s="76"/>
      <c r="C4901" s="76"/>
    </row>
    <row r="4902" spans="1:3" x14ac:dyDescent="0.2">
      <c r="A4902" s="76"/>
      <c r="C4902" s="76"/>
    </row>
    <row r="4903" spans="1:3" x14ac:dyDescent="0.2">
      <c r="A4903" s="76"/>
      <c r="C4903" s="76"/>
    </row>
    <row r="4904" spans="1:3" x14ac:dyDescent="0.2">
      <c r="A4904" s="76"/>
      <c r="C4904" s="76"/>
    </row>
    <row r="4905" spans="1:3" x14ac:dyDescent="0.2">
      <c r="A4905" s="76"/>
      <c r="C4905" s="76"/>
    </row>
    <row r="4906" spans="1:3" x14ac:dyDescent="0.2">
      <c r="A4906" s="76"/>
      <c r="C4906" s="76"/>
    </row>
    <row r="4907" spans="1:3" x14ac:dyDescent="0.2">
      <c r="A4907" s="76"/>
      <c r="C4907" s="76"/>
    </row>
    <row r="4908" spans="1:3" x14ac:dyDescent="0.2">
      <c r="A4908" s="76"/>
      <c r="C4908" s="76"/>
    </row>
    <row r="4909" spans="1:3" x14ac:dyDescent="0.2">
      <c r="A4909" s="76"/>
      <c r="C4909" s="76"/>
    </row>
    <row r="4910" spans="1:3" x14ac:dyDescent="0.2">
      <c r="A4910" s="76"/>
      <c r="C4910" s="76"/>
    </row>
    <row r="4911" spans="1:3" x14ac:dyDescent="0.2">
      <c r="A4911" s="76"/>
      <c r="C4911" s="76"/>
    </row>
    <row r="4912" spans="1:3" x14ac:dyDescent="0.2">
      <c r="A4912" s="76"/>
      <c r="C4912" s="76"/>
    </row>
    <row r="4913" spans="1:3" x14ac:dyDescent="0.2">
      <c r="A4913" s="76"/>
      <c r="C4913" s="76"/>
    </row>
    <row r="4914" spans="1:3" x14ac:dyDescent="0.2">
      <c r="A4914" s="76"/>
      <c r="C4914" s="76"/>
    </row>
    <row r="4915" spans="1:3" x14ac:dyDescent="0.2">
      <c r="A4915" s="76"/>
      <c r="C4915" s="76"/>
    </row>
    <row r="4916" spans="1:3" x14ac:dyDescent="0.2">
      <c r="A4916" s="76"/>
      <c r="C4916" s="76"/>
    </row>
    <row r="4917" spans="1:3" x14ac:dyDescent="0.2">
      <c r="A4917" s="76"/>
      <c r="C4917" s="76"/>
    </row>
    <row r="4918" spans="1:3" x14ac:dyDescent="0.2">
      <c r="A4918" s="76"/>
      <c r="C4918" s="76"/>
    </row>
    <row r="4919" spans="1:3" x14ac:dyDescent="0.2">
      <c r="A4919" s="76"/>
      <c r="C4919" s="76"/>
    </row>
    <row r="4920" spans="1:3" x14ac:dyDescent="0.2">
      <c r="A4920" s="76"/>
      <c r="C4920" s="76"/>
    </row>
    <row r="4921" spans="1:3" x14ac:dyDescent="0.2">
      <c r="A4921" s="76"/>
      <c r="C4921" s="76"/>
    </row>
    <row r="4922" spans="1:3" x14ac:dyDescent="0.2">
      <c r="A4922" s="76"/>
      <c r="C4922" s="76"/>
    </row>
    <row r="4923" spans="1:3" x14ac:dyDescent="0.2">
      <c r="A4923" s="76"/>
      <c r="C4923" s="76"/>
    </row>
    <row r="4924" spans="1:3" x14ac:dyDescent="0.2">
      <c r="A4924" s="76"/>
      <c r="C4924" s="76"/>
    </row>
    <row r="4925" spans="1:3" x14ac:dyDescent="0.2">
      <c r="A4925" s="76"/>
      <c r="C4925" s="76"/>
    </row>
    <row r="4926" spans="1:3" x14ac:dyDescent="0.2">
      <c r="A4926" s="76"/>
      <c r="C4926" s="76"/>
    </row>
    <row r="4927" spans="1:3" x14ac:dyDescent="0.2">
      <c r="A4927" s="76"/>
      <c r="C4927" s="76"/>
    </row>
    <row r="4928" spans="1:3" x14ac:dyDescent="0.2">
      <c r="A4928" s="76"/>
      <c r="C4928" s="76"/>
    </row>
    <row r="4929" spans="1:3" x14ac:dyDescent="0.2">
      <c r="A4929" s="76"/>
      <c r="C4929" s="76"/>
    </row>
    <row r="4930" spans="1:3" x14ac:dyDescent="0.2">
      <c r="A4930" s="76"/>
      <c r="C4930" s="76"/>
    </row>
    <row r="4931" spans="1:3" x14ac:dyDescent="0.2">
      <c r="A4931" s="76"/>
      <c r="C4931" s="76"/>
    </row>
    <row r="4932" spans="1:3" x14ac:dyDescent="0.2">
      <c r="A4932" s="76"/>
      <c r="C4932" s="76"/>
    </row>
    <row r="4933" spans="1:3" x14ac:dyDescent="0.2">
      <c r="A4933" s="76"/>
      <c r="C4933" s="76"/>
    </row>
    <row r="4934" spans="1:3" x14ac:dyDescent="0.2">
      <c r="A4934" s="76"/>
      <c r="C4934" s="76"/>
    </row>
    <row r="4935" spans="1:3" x14ac:dyDescent="0.2">
      <c r="A4935" s="76"/>
      <c r="C4935" s="76"/>
    </row>
    <row r="4936" spans="1:3" x14ac:dyDescent="0.2">
      <c r="A4936" s="76"/>
      <c r="C4936" s="76"/>
    </row>
    <row r="4937" spans="1:3" x14ac:dyDescent="0.2">
      <c r="A4937" s="76"/>
      <c r="C4937" s="76"/>
    </row>
    <row r="4938" spans="1:3" x14ac:dyDescent="0.2">
      <c r="A4938" s="76"/>
      <c r="C4938" s="76"/>
    </row>
    <row r="4939" spans="1:3" x14ac:dyDescent="0.2">
      <c r="A4939" s="76"/>
      <c r="C4939" s="76"/>
    </row>
    <row r="4940" spans="1:3" x14ac:dyDescent="0.2">
      <c r="A4940" s="76"/>
      <c r="C4940" s="76"/>
    </row>
    <row r="4941" spans="1:3" x14ac:dyDescent="0.2">
      <c r="A4941" s="76"/>
      <c r="C4941" s="76"/>
    </row>
    <row r="4942" spans="1:3" x14ac:dyDescent="0.2">
      <c r="A4942" s="76"/>
      <c r="C4942" s="76"/>
    </row>
    <row r="4943" spans="1:3" x14ac:dyDescent="0.2">
      <c r="A4943" s="76"/>
      <c r="C4943" s="76"/>
    </row>
    <row r="4944" spans="1:3" x14ac:dyDescent="0.2">
      <c r="A4944" s="76"/>
      <c r="C4944" s="76"/>
    </row>
    <row r="4945" spans="1:3" x14ac:dyDescent="0.2">
      <c r="A4945" s="76"/>
      <c r="C4945" s="76"/>
    </row>
    <row r="4946" spans="1:3" x14ac:dyDescent="0.2">
      <c r="A4946" s="76"/>
      <c r="C4946" s="76"/>
    </row>
    <row r="4947" spans="1:3" x14ac:dyDescent="0.2">
      <c r="A4947" s="76"/>
      <c r="C4947" s="76"/>
    </row>
    <row r="4948" spans="1:3" x14ac:dyDescent="0.2">
      <c r="A4948" s="76"/>
      <c r="C4948" s="76"/>
    </row>
    <row r="4949" spans="1:3" x14ac:dyDescent="0.2">
      <c r="A4949" s="76"/>
      <c r="C4949" s="76"/>
    </row>
    <row r="4950" spans="1:3" x14ac:dyDescent="0.2">
      <c r="A4950" s="76"/>
      <c r="C4950" s="76"/>
    </row>
    <row r="4951" spans="1:3" x14ac:dyDescent="0.2">
      <c r="A4951" s="76"/>
      <c r="C4951" s="76"/>
    </row>
    <row r="4952" spans="1:3" x14ac:dyDescent="0.2">
      <c r="A4952" s="76"/>
      <c r="C4952" s="76"/>
    </row>
    <row r="4953" spans="1:3" x14ac:dyDescent="0.2">
      <c r="A4953" s="76"/>
      <c r="C4953" s="76"/>
    </row>
    <row r="4954" spans="1:3" x14ac:dyDescent="0.2">
      <c r="A4954" s="76"/>
      <c r="C4954" s="76"/>
    </row>
    <row r="4955" spans="1:3" x14ac:dyDescent="0.2">
      <c r="A4955" s="76"/>
      <c r="C4955" s="76"/>
    </row>
    <row r="4956" spans="1:3" x14ac:dyDescent="0.2">
      <c r="A4956" s="76"/>
      <c r="C4956" s="76"/>
    </row>
    <row r="4957" spans="1:3" x14ac:dyDescent="0.2">
      <c r="A4957" s="76"/>
      <c r="C4957" s="76"/>
    </row>
    <row r="4958" spans="1:3" x14ac:dyDescent="0.2">
      <c r="A4958" s="76"/>
      <c r="C4958" s="76"/>
    </row>
    <row r="4959" spans="1:3" x14ac:dyDescent="0.2">
      <c r="A4959" s="76"/>
      <c r="C4959" s="76"/>
    </row>
    <row r="4960" spans="1:3" x14ac:dyDescent="0.2">
      <c r="A4960" s="76"/>
      <c r="C4960" s="76"/>
    </row>
    <row r="4961" spans="1:3" x14ac:dyDescent="0.2">
      <c r="A4961" s="76"/>
      <c r="C4961" s="76"/>
    </row>
    <row r="4962" spans="1:3" x14ac:dyDescent="0.2">
      <c r="A4962" s="76"/>
      <c r="C4962" s="76"/>
    </row>
    <row r="4963" spans="1:3" x14ac:dyDescent="0.2">
      <c r="A4963" s="76"/>
      <c r="C4963" s="76"/>
    </row>
    <row r="4964" spans="1:3" x14ac:dyDescent="0.2">
      <c r="A4964" s="76"/>
      <c r="C4964" s="76"/>
    </row>
    <row r="4965" spans="1:3" x14ac:dyDescent="0.2">
      <c r="A4965" s="76"/>
      <c r="C4965" s="76"/>
    </row>
    <row r="4966" spans="1:3" x14ac:dyDescent="0.2">
      <c r="A4966" s="76"/>
      <c r="C4966" s="76"/>
    </row>
    <row r="4967" spans="1:3" x14ac:dyDescent="0.2">
      <c r="A4967" s="76"/>
      <c r="C4967" s="76"/>
    </row>
    <row r="4968" spans="1:3" x14ac:dyDescent="0.2">
      <c r="A4968" s="76"/>
      <c r="C4968" s="76"/>
    </row>
    <row r="4969" spans="1:3" x14ac:dyDescent="0.2">
      <c r="A4969" s="76"/>
      <c r="C4969" s="76"/>
    </row>
    <row r="4970" spans="1:3" x14ac:dyDescent="0.2">
      <c r="A4970" s="76"/>
      <c r="C4970" s="76"/>
    </row>
    <row r="4971" spans="1:3" x14ac:dyDescent="0.2">
      <c r="A4971" s="76"/>
      <c r="C4971" s="76"/>
    </row>
    <row r="4972" spans="1:3" x14ac:dyDescent="0.2">
      <c r="A4972" s="76"/>
      <c r="C4972" s="76"/>
    </row>
    <row r="4973" spans="1:3" x14ac:dyDescent="0.2">
      <c r="A4973" s="76"/>
      <c r="C4973" s="76"/>
    </row>
    <row r="4974" spans="1:3" x14ac:dyDescent="0.2">
      <c r="A4974" s="76"/>
      <c r="C4974" s="76"/>
    </row>
    <row r="4975" spans="1:3" x14ac:dyDescent="0.2">
      <c r="A4975" s="76"/>
      <c r="C4975" s="76"/>
    </row>
    <row r="4976" spans="1:3" x14ac:dyDescent="0.2">
      <c r="A4976" s="76"/>
      <c r="C4976" s="76"/>
    </row>
    <row r="4977" spans="1:3" x14ac:dyDescent="0.2">
      <c r="A4977" s="76"/>
      <c r="C4977" s="76"/>
    </row>
    <row r="4978" spans="1:3" x14ac:dyDescent="0.2">
      <c r="A4978" s="76"/>
      <c r="C4978" s="76"/>
    </row>
    <row r="4979" spans="1:3" x14ac:dyDescent="0.2">
      <c r="A4979" s="76"/>
      <c r="C4979" s="76"/>
    </row>
    <row r="4980" spans="1:3" x14ac:dyDescent="0.2">
      <c r="A4980" s="76"/>
      <c r="C4980" s="76"/>
    </row>
    <row r="4981" spans="1:3" x14ac:dyDescent="0.2">
      <c r="A4981" s="76"/>
      <c r="C4981" s="76"/>
    </row>
    <row r="4982" spans="1:3" x14ac:dyDescent="0.2">
      <c r="A4982" s="76"/>
      <c r="C4982" s="76"/>
    </row>
    <row r="4983" spans="1:3" x14ac:dyDescent="0.2">
      <c r="A4983" s="76"/>
      <c r="C4983" s="76"/>
    </row>
    <row r="4984" spans="1:3" x14ac:dyDescent="0.2">
      <c r="A4984" s="76"/>
      <c r="C4984" s="76"/>
    </row>
    <row r="4985" spans="1:3" x14ac:dyDescent="0.2">
      <c r="A4985" s="76"/>
      <c r="C4985" s="76"/>
    </row>
    <row r="4986" spans="1:3" x14ac:dyDescent="0.2">
      <c r="A4986" s="76"/>
      <c r="C4986" s="76"/>
    </row>
    <row r="4987" spans="1:3" x14ac:dyDescent="0.2">
      <c r="A4987" s="76"/>
      <c r="C4987" s="76"/>
    </row>
    <row r="4988" spans="1:3" x14ac:dyDescent="0.2">
      <c r="A4988" s="76"/>
      <c r="C4988" s="76"/>
    </row>
    <row r="4989" spans="1:3" x14ac:dyDescent="0.2">
      <c r="A4989" s="76"/>
      <c r="C4989" s="76"/>
    </row>
    <row r="4990" spans="1:3" x14ac:dyDescent="0.2">
      <c r="A4990" s="76"/>
      <c r="C4990" s="76"/>
    </row>
    <row r="4991" spans="1:3" x14ac:dyDescent="0.2">
      <c r="A4991" s="76"/>
      <c r="C4991" s="76"/>
    </row>
    <row r="4992" spans="1:3" x14ac:dyDescent="0.2">
      <c r="A4992" s="76"/>
      <c r="C4992" s="76"/>
    </row>
    <row r="4993" spans="1:3" x14ac:dyDescent="0.2">
      <c r="A4993" s="76"/>
      <c r="C4993" s="76"/>
    </row>
    <row r="4994" spans="1:3" x14ac:dyDescent="0.2">
      <c r="A4994" s="76"/>
      <c r="C4994" s="76"/>
    </row>
    <row r="4995" spans="1:3" x14ac:dyDescent="0.2">
      <c r="A4995" s="76"/>
      <c r="C4995" s="76"/>
    </row>
    <row r="4996" spans="1:3" x14ac:dyDescent="0.2">
      <c r="A4996" s="76"/>
      <c r="C4996" s="76"/>
    </row>
    <row r="4997" spans="1:3" x14ac:dyDescent="0.2">
      <c r="A4997" s="76"/>
      <c r="C4997" s="76"/>
    </row>
    <row r="4998" spans="1:3" x14ac:dyDescent="0.2">
      <c r="A4998" s="76"/>
      <c r="C4998" s="76"/>
    </row>
    <row r="4999" spans="1:3" x14ac:dyDescent="0.2">
      <c r="A4999" s="76"/>
      <c r="C4999" s="76"/>
    </row>
    <row r="5000" spans="1:3" x14ac:dyDescent="0.2">
      <c r="A5000" s="76"/>
      <c r="C5000" s="76"/>
    </row>
    <row r="5001" spans="1:3" x14ac:dyDescent="0.2">
      <c r="A5001" s="76"/>
      <c r="C5001" s="76"/>
    </row>
    <row r="5002" spans="1:3" x14ac:dyDescent="0.2">
      <c r="A5002" s="76"/>
      <c r="C5002" s="76"/>
    </row>
    <row r="5003" spans="1:3" x14ac:dyDescent="0.2">
      <c r="A5003" s="76"/>
      <c r="C5003" s="76"/>
    </row>
    <row r="5004" spans="1:3" x14ac:dyDescent="0.2">
      <c r="A5004" s="76"/>
      <c r="C5004" s="76"/>
    </row>
    <row r="5005" spans="1:3" x14ac:dyDescent="0.2">
      <c r="A5005" s="76"/>
      <c r="C5005" s="76"/>
    </row>
    <row r="5006" spans="1:3" x14ac:dyDescent="0.2">
      <c r="A5006" s="76"/>
      <c r="C5006" s="76"/>
    </row>
    <row r="5007" spans="1:3" x14ac:dyDescent="0.2">
      <c r="A5007" s="76"/>
      <c r="C5007" s="76"/>
    </row>
    <row r="5008" spans="1:3" x14ac:dyDescent="0.2">
      <c r="A5008" s="76"/>
      <c r="C5008" s="76"/>
    </row>
    <row r="5009" spans="1:3" x14ac:dyDescent="0.2">
      <c r="A5009" s="76"/>
      <c r="C5009" s="76"/>
    </row>
    <row r="5010" spans="1:3" x14ac:dyDescent="0.2">
      <c r="A5010" s="76"/>
      <c r="C5010" s="76"/>
    </row>
    <row r="5011" spans="1:3" x14ac:dyDescent="0.2">
      <c r="A5011" s="76"/>
      <c r="C5011" s="76"/>
    </row>
    <row r="5012" spans="1:3" x14ac:dyDescent="0.2">
      <c r="A5012" s="76"/>
      <c r="C5012" s="76"/>
    </row>
    <row r="5013" spans="1:3" x14ac:dyDescent="0.2">
      <c r="A5013" s="76"/>
      <c r="C5013" s="76"/>
    </row>
    <row r="5014" spans="1:3" x14ac:dyDescent="0.2">
      <c r="A5014" s="76"/>
      <c r="C5014" s="76"/>
    </row>
    <row r="5015" spans="1:3" x14ac:dyDescent="0.2">
      <c r="A5015" s="76"/>
      <c r="C5015" s="76"/>
    </row>
    <row r="5016" spans="1:3" x14ac:dyDescent="0.2">
      <c r="A5016" s="76"/>
      <c r="C5016" s="76"/>
    </row>
    <row r="5017" spans="1:3" x14ac:dyDescent="0.2">
      <c r="A5017" s="76"/>
      <c r="C5017" s="76"/>
    </row>
    <row r="5018" spans="1:3" x14ac:dyDescent="0.2">
      <c r="A5018" s="76"/>
      <c r="C5018" s="76"/>
    </row>
    <row r="5019" spans="1:3" x14ac:dyDescent="0.2">
      <c r="A5019" s="76"/>
      <c r="C5019" s="76"/>
    </row>
    <row r="5020" spans="1:3" x14ac:dyDescent="0.2">
      <c r="A5020" s="76"/>
      <c r="C5020" s="76"/>
    </row>
    <row r="5021" spans="1:3" x14ac:dyDescent="0.2">
      <c r="A5021" s="76"/>
      <c r="C5021" s="76"/>
    </row>
    <row r="5022" spans="1:3" x14ac:dyDescent="0.2">
      <c r="A5022" s="76"/>
      <c r="C5022" s="76"/>
    </row>
    <row r="5023" spans="1:3" x14ac:dyDescent="0.2">
      <c r="A5023" s="76"/>
      <c r="C5023" s="76"/>
    </row>
    <row r="5024" spans="1:3" x14ac:dyDescent="0.2">
      <c r="A5024" s="76"/>
      <c r="C5024" s="76"/>
    </row>
    <row r="5025" spans="1:3" x14ac:dyDescent="0.2">
      <c r="A5025" s="76"/>
      <c r="C5025" s="76"/>
    </row>
    <row r="5026" spans="1:3" x14ac:dyDescent="0.2">
      <c r="A5026" s="76"/>
      <c r="C5026" s="76"/>
    </row>
    <row r="5027" spans="1:3" x14ac:dyDescent="0.2">
      <c r="A5027" s="76"/>
      <c r="C5027" s="76"/>
    </row>
    <row r="5028" spans="1:3" x14ac:dyDescent="0.2">
      <c r="A5028" s="76"/>
      <c r="C5028" s="76"/>
    </row>
    <row r="5029" spans="1:3" x14ac:dyDescent="0.2">
      <c r="A5029" s="76"/>
      <c r="C5029" s="76"/>
    </row>
    <row r="5030" spans="1:3" x14ac:dyDescent="0.2">
      <c r="A5030" s="76"/>
      <c r="C5030" s="76"/>
    </row>
    <row r="5031" spans="1:3" x14ac:dyDescent="0.2">
      <c r="A5031" s="76"/>
      <c r="C5031" s="76"/>
    </row>
    <row r="5032" spans="1:3" x14ac:dyDescent="0.2">
      <c r="A5032" s="76"/>
      <c r="C5032" s="76"/>
    </row>
    <row r="5033" spans="1:3" x14ac:dyDescent="0.2">
      <c r="A5033" s="76"/>
      <c r="C5033" s="76"/>
    </row>
    <row r="5034" spans="1:3" x14ac:dyDescent="0.2">
      <c r="A5034" s="76"/>
      <c r="C5034" s="76"/>
    </row>
    <row r="5035" spans="1:3" x14ac:dyDescent="0.2">
      <c r="A5035" s="76"/>
      <c r="C5035" s="76"/>
    </row>
    <row r="5036" spans="1:3" x14ac:dyDescent="0.2">
      <c r="A5036" s="76"/>
      <c r="C5036" s="76"/>
    </row>
    <row r="5037" spans="1:3" x14ac:dyDescent="0.2">
      <c r="A5037" s="76"/>
      <c r="C5037" s="76"/>
    </row>
    <row r="5038" spans="1:3" x14ac:dyDescent="0.2">
      <c r="A5038" s="76"/>
      <c r="C5038" s="76"/>
    </row>
    <row r="5039" spans="1:3" x14ac:dyDescent="0.2">
      <c r="A5039" s="76"/>
      <c r="C5039" s="76"/>
    </row>
    <row r="5040" spans="1:3" x14ac:dyDescent="0.2">
      <c r="A5040" s="76"/>
      <c r="C5040" s="76"/>
    </row>
    <row r="5041" spans="1:3" x14ac:dyDescent="0.2">
      <c r="A5041" s="76"/>
      <c r="C5041" s="76"/>
    </row>
    <row r="5042" spans="1:3" x14ac:dyDescent="0.2">
      <c r="A5042" s="76"/>
      <c r="C5042" s="76"/>
    </row>
    <row r="5043" spans="1:3" x14ac:dyDescent="0.2">
      <c r="A5043" s="76"/>
      <c r="C5043" s="76"/>
    </row>
    <row r="5044" spans="1:3" x14ac:dyDescent="0.2">
      <c r="A5044" s="76"/>
      <c r="C5044" s="76"/>
    </row>
    <row r="5045" spans="1:3" x14ac:dyDescent="0.2">
      <c r="A5045" s="76"/>
      <c r="C5045" s="76"/>
    </row>
    <row r="5046" spans="1:3" x14ac:dyDescent="0.2">
      <c r="A5046" s="76"/>
      <c r="C5046" s="76"/>
    </row>
    <row r="5047" spans="1:3" x14ac:dyDescent="0.2">
      <c r="A5047" s="76"/>
      <c r="C5047" s="76"/>
    </row>
    <row r="5048" spans="1:3" x14ac:dyDescent="0.2">
      <c r="A5048" s="76"/>
      <c r="C5048" s="76"/>
    </row>
    <row r="5049" spans="1:3" x14ac:dyDescent="0.2">
      <c r="A5049" s="76"/>
      <c r="C5049" s="76"/>
    </row>
    <row r="5050" spans="1:3" x14ac:dyDescent="0.2">
      <c r="A5050" s="76"/>
      <c r="C5050" s="76"/>
    </row>
    <row r="5051" spans="1:3" x14ac:dyDescent="0.2">
      <c r="A5051" s="76"/>
      <c r="C5051" s="76"/>
    </row>
    <row r="5052" spans="1:3" x14ac:dyDescent="0.2">
      <c r="A5052" s="76"/>
      <c r="C5052" s="76"/>
    </row>
    <row r="5053" spans="1:3" x14ac:dyDescent="0.2">
      <c r="A5053" s="76"/>
      <c r="C5053" s="76"/>
    </row>
    <row r="5054" spans="1:3" x14ac:dyDescent="0.2">
      <c r="A5054" s="76"/>
      <c r="C5054" s="76"/>
    </row>
    <row r="5055" spans="1:3" x14ac:dyDescent="0.2">
      <c r="A5055" s="76"/>
      <c r="C5055" s="76"/>
    </row>
    <row r="5056" spans="1:3" x14ac:dyDescent="0.2">
      <c r="A5056" s="76"/>
      <c r="C5056" s="76"/>
    </row>
    <row r="5057" spans="1:3" x14ac:dyDescent="0.2">
      <c r="A5057" s="76"/>
      <c r="C5057" s="76"/>
    </row>
    <row r="5058" spans="1:3" x14ac:dyDescent="0.2">
      <c r="A5058" s="76"/>
      <c r="C5058" s="76"/>
    </row>
    <row r="5059" spans="1:3" x14ac:dyDescent="0.2">
      <c r="A5059" s="76"/>
      <c r="C5059" s="76"/>
    </row>
    <row r="5060" spans="1:3" x14ac:dyDescent="0.2">
      <c r="A5060" s="76"/>
      <c r="C5060" s="76"/>
    </row>
    <row r="5061" spans="1:3" x14ac:dyDescent="0.2">
      <c r="A5061" s="76"/>
      <c r="C5061" s="76"/>
    </row>
    <row r="5062" spans="1:3" x14ac:dyDescent="0.2">
      <c r="A5062" s="76"/>
      <c r="C5062" s="76"/>
    </row>
    <row r="5063" spans="1:3" x14ac:dyDescent="0.2">
      <c r="A5063" s="76"/>
      <c r="C5063" s="76"/>
    </row>
    <row r="5064" spans="1:3" x14ac:dyDescent="0.2">
      <c r="A5064" s="76"/>
      <c r="C5064" s="76"/>
    </row>
    <row r="5065" spans="1:3" x14ac:dyDescent="0.2">
      <c r="A5065" s="76"/>
      <c r="C5065" s="76"/>
    </row>
    <row r="5066" spans="1:3" x14ac:dyDescent="0.2">
      <c r="A5066" s="76"/>
      <c r="C5066" s="76"/>
    </row>
    <row r="5067" spans="1:3" x14ac:dyDescent="0.2">
      <c r="A5067" s="76"/>
      <c r="C5067" s="76"/>
    </row>
    <row r="5068" spans="1:3" x14ac:dyDescent="0.2">
      <c r="A5068" s="76"/>
      <c r="C5068" s="76"/>
    </row>
    <row r="5069" spans="1:3" x14ac:dyDescent="0.2">
      <c r="A5069" s="76"/>
      <c r="C5069" s="76"/>
    </row>
    <row r="5070" spans="1:3" x14ac:dyDescent="0.2">
      <c r="A5070" s="76"/>
      <c r="C5070" s="76"/>
    </row>
    <row r="5071" spans="1:3" x14ac:dyDescent="0.2">
      <c r="A5071" s="76"/>
      <c r="C5071" s="76"/>
    </row>
    <row r="5072" spans="1:3" x14ac:dyDescent="0.2">
      <c r="A5072" s="76"/>
      <c r="C5072" s="76"/>
    </row>
    <row r="5073" spans="1:3" x14ac:dyDescent="0.2">
      <c r="A5073" s="76"/>
      <c r="C5073" s="76"/>
    </row>
    <row r="5074" spans="1:3" x14ac:dyDescent="0.2">
      <c r="A5074" s="76"/>
      <c r="C5074" s="76"/>
    </row>
    <row r="5075" spans="1:3" x14ac:dyDescent="0.2">
      <c r="A5075" s="76"/>
      <c r="C5075" s="76"/>
    </row>
    <row r="5076" spans="1:3" x14ac:dyDescent="0.2">
      <c r="A5076" s="76"/>
      <c r="C5076" s="76"/>
    </row>
    <row r="5077" spans="1:3" x14ac:dyDescent="0.2">
      <c r="A5077" s="76"/>
      <c r="C5077" s="76"/>
    </row>
    <row r="5078" spans="1:3" x14ac:dyDescent="0.2">
      <c r="A5078" s="76"/>
      <c r="C5078" s="76"/>
    </row>
    <row r="5079" spans="1:3" x14ac:dyDescent="0.2">
      <c r="A5079" s="76"/>
      <c r="C5079" s="76"/>
    </row>
    <row r="5080" spans="1:3" x14ac:dyDescent="0.2">
      <c r="A5080" s="76"/>
      <c r="C5080" s="76"/>
    </row>
    <row r="5081" spans="1:3" x14ac:dyDescent="0.2">
      <c r="A5081" s="76"/>
      <c r="C5081" s="76"/>
    </row>
    <row r="5082" spans="1:3" x14ac:dyDescent="0.2">
      <c r="A5082" s="76"/>
      <c r="C5082" s="76"/>
    </row>
    <row r="5083" spans="1:3" x14ac:dyDescent="0.2">
      <c r="A5083" s="76"/>
      <c r="C5083" s="76"/>
    </row>
    <row r="5084" spans="1:3" x14ac:dyDescent="0.2">
      <c r="A5084" s="76"/>
      <c r="C5084" s="76"/>
    </row>
    <row r="5085" spans="1:3" x14ac:dyDescent="0.2">
      <c r="A5085" s="76"/>
      <c r="C5085" s="76"/>
    </row>
    <row r="5086" spans="1:3" x14ac:dyDescent="0.2">
      <c r="A5086" s="76"/>
      <c r="C5086" s="76"/>
    </row>
    <row r="5087" spans="1:3" x14ac:dyDescent="0.2">
      <c r="A5087" s="76"/>
      <c r="C5087" s="76"/>
    </row>
    <row r="5088" spans="1:3" x14ac:dyDescent="0.2">
      <c r="A5088" s="76"/>
      <c r="C5088" s="76"/>
    </row>
    <row r="5089" spans="1:3" x14ac:dyDescent="0.2">
      <c r="A5089" s="76"/>
      <c r="C5089" s="76"/>
    </row>
    <row r="5090" spans="1:3" x14ac:dyDescent="0.2">
      <c r="A5090" s="76"/>
      <c r="C5090" s="76"/>
    </row>
    <row r="5091" spans="1:3" x14ac:dyDescent="0.2">
      <c r="A5091" s="76"/>
      <c r="C5091" s="76"/>
    </row>
    <row r="5092" spans="1:3" x14ac:dyDescent="0.2">
      <c r="A5092" s="76"/>
      <c r="C5092" s="76"/>
    </row>
    <row r="5093" spans="1:3" x14ac:dyDescent="0.2">
      <c r="A5093" s="76"/>
      <c r="C5093" s="76"/>
    </row>
    <row r="5094" spans="1:3" x14ac:dyDescent="0.2">
      <c r="A5094" s="76"/>
      <c r="C5094" s="76"/>
    </row>
    <row r="5095" spans="1:3" x14ac:dyDescent="0.2">
      <c r="A5095" s="76"/>
      <c r="C5095" s="76"/>
    </row>
    <row r="5096" spans="1:3" x14ac:dyDescent="0.2">
      <c r="A5096" s="76"/>
      <c r="C5096" s="76"/>
    </row>
    <row r="5097" spans="1:3" x14ac:dyDescent="0.2">
      <c r="A5097" s="76"/>
      <c r="C5097" s="76"/>
    </row>
    <row r="5098" spans="1:3" x14ac:dyDescent="0.2">
      <c r="A5098" s="76"/>
      <c r="C5098" s="76"/>
    </row>
    <row r="5099" spans="1:3" x14ac:dyDescent="0.2">
      <c r="A5099" s="76"/>
      <c r="C5099" s="76"/>
    </row>
    <row r="5100" spans="1:3" x14ac:dyDescent="0.2">
      <c r="A5100" s="76"/>
      <c r="C5100" s="76"/>
    </row>
    <row r="5101" spans="1:3" x14ac:dyDescent="0.2">
      <c r="A5101" s="76"/>
      <c r="C5101" s="76"/>
    </row>
    <row r="5102" spans="1:3" x14ac:dyDescent="0.2">
      <c r="A5102" s="76"/>
      <c r="C5102" s="76"/>
    </row>
    <row r="5103" spans="1:3" x14ac:dyDescent="0.2">
      <c r="A5103" s="76"/>
      <c r="C5103" s="76"/>
    </row>
    <row r="5104" spans="1:3" x14ac:dyDescent="0.2">
      <c r="A5104" s="76"/>
      <c r="C5104" s="76"/>
    </row>
    <row r="5105" spans="1:3" x14ac:dyDescent="0.2">
      <c r="A5105" s="76"/>
      <c r="C5105" s="76"/>
    </row>
    <row r="5106" spans="1:3" x14ac:dyDescent="0.2">
      <c r="A5106" s="76"/>
      <c r="C5106" s="76"/>
    </row>
    <row r="5107" spans="1:3" x14ac:dyDescent="0.2">
      <c r="A5107" s="76"/>
      <c r="C5107" s="76"/>
    </row>
    <row r="5108" spans="1:3" x14ac:dyDescent="0.2">
      <c r="A5108" s="76"/>
      <c r="C5108" s="76"/>
    </row>
    <row r="5109" spans="1:3" x14ac:dyDescent="0.2">
      <c r="A5109" s="76"/>
      <c r="C5109" s="76"/>
    </row>
    <row r="5110" spans="1:3" x14ac:dyDescent="0.2">
      <c r="A5110" s="76"/>
      <c r="C5110" s="76"/>
    </row>
    <row r="5111" spans="1:3" x14ac:dyDescent="0.2">
      <c r="A5111" s="76"/>
      <c r="C5111" s="76"/>
    </row>
    <row r="5112" spans="1:3" x14ac:dyDescent="0.2">
      <c r="A5112" s="76"/>
      <c r="C5112" s="76"/>
    </row>
    <row r="5113" spans="1:3" x14ac:dyDescent="0.2">
      <c r="A5113" s="76"/>
      <c r="C5113" s="76"/>
    </row>
    <row r="5114" spans="1:3" x14ac:dyDescent="0.2">
      <c r="A5114" s="76"/>
      <c r="C5114" s="76"/>
    </row>
    <row r="5115" spans="1:3" x14ac:dyDescent="0.2">
      <c r="A5115" s="76"/>
      <c r="C5115" s="76"/>
    </row>
    <row r="5116" spans="1:3" x14ac:dyDescent="0.2">
      <c r="A5116" s="76"/>
      <c r="C5116" s="76"/>
    </row>
    <row r="5117" spans="1:3" x14ac:dyDescent="0.2">
      <c r="A5117" s="76"/>
      <c r="C5117" s="76"/>
    </row>
    <row r="5118" spans="1:3" x14ac:dyDescent="0.2">
      <c r="A5118" s="76"/>
      <c r="C5118" s="76"/>
    </row>
    <row r="5119" spans="1:3" x14ac:dyDescent="0.2">
      <c r="A5119" s="76"/>
      <c r="C5119" s="76"/>
    </row>
    <row r="5120" spans="1:3" x14ac:dyDescent="0.2">
      <c r="A5120" s="76"/>
      <c r="C5120" s="76"/>
    </row>
    <row r="5121" spans="1:3" x14ac:dyDescent="0.2">
      <c r="A5121" s="76"/>
      <c r="C5121" s="76"/>
    </row>
    <row r="5122" spans="1:3" x14ac:dyDescent="0.2">
      <c r="A5122" s="76"/>
      <c r="C5122" s="76"/>
    </row>
    <row r="5123" spans="1:3" x14ac:dyDescent="0.2">
      <c r="A5123" s="76"/>
      <c r="C5123" s="76"/>
    </row>
    <row r="5124" spans="1:3" x14ac:dyDescent="0.2">
      <c r="A5124" s="76"/>
      <c r="C5124" s="76"/>
    </row>
    <row r="5125" spans="1:3" x14ac:dyDescent="0.2">
      <c r="A5125" s="76"/>
      <c r="C5125" s="76"/>
    </row>
    <row r="5126" spans="1:3" x14ac:dyDescent="0.2">
      <c r="A5126" s="76"/>
      <c r="C5126" s="76"/>
    </row>
    <row r="5127" spans="1:3" x14ac:dyDescent="0.2">
      <c r="A5127" s="76"/>
      <c r="C5127" s="76"/>
    </row>
    <row r="5128" spans="1:3" x14ac:dyDescent="0.2">
      <c r="A5128" s="76"/>
      <c r="C5128" s="76"/>
    </row>
    <row r="5129" spans="1:3" x14ac:dyDescent="0.2">
      <c r="A5129" s="76"/>
      <c r="C5129" s="76"/>
    </row>
    <row r="5130" spans="1:3" x14ac:dyDescent="0.2">
      <c r="A5130" s="76"/>
      <c r="C5130" s="76"/>
    </row>
    <row r="5131" spans="1:3" x14ac:dyDescent="0.2">
      <c r="A5131" s="76"/>
      <c r="C5131" s="76"/>
    </row>
    <row r="5132" spans="1:3" x14ac:dyDescent="0.2">
      <c r="A5132" s="76"/>
      <c r="C5132" s="76"/>
    </row>
    <row r="5133" spans="1:3" x14ac:dyDescent="0.2">
      <c r="A5133" s="76"/>
      <c r="C5133" s="76"/>
    </row>
    <row r="5134" spans="1:3" x14ac:dyDescent="0.2">
      <c r="A5134" s="76"/>
      <c r="C5134" s="76"/>
    </row>
    <row r="5135" spans="1:3" x14ac:dyDescent="0.2">
      <c r="A5135" s="76"/>
      <c r="C5135" s="76"/>
    </row>
    <row r="5136" spans="1:3" x14ac:dyDescent="0.2">
      <c r="A5136" s="76"/>
      <c r="C5136" s="76"/>
    </row>
    <row r="5137" spans="1:3" x14ac:dyDescent="0.2">
      <c r="A5137" s="76"/>
      <c r="C5137" s="76"/>
    </row>
    <row r="5138" spans="1:3" x14ac:dyDescent="0.2">
      <c r="A5138" s="76"/>
      <c r="C5138" s="76"/>
    </row>
    <row r="5139" spans="1:3" x14ac:dyDescent="0.2">
      <c r="A5139" s="76"/>
      <c r="C5139" s="76"/>
    </row>
    <row r="5140" spans="1:3" x14ac:dyDescent="0.2">
      <c r="A5140" s="76"/>
      <c r="C5140" s="76"/>
    </row>
    <row r="5141" spans="1:3" x14ac:dyDescent="0.2">
      <c r="A5141" s="76"/>
      <c r="C5141" s="76"/>
    </row>
    <row r="5142" spans="1:3" x14ac:dyDescent="0.2">
      <c r="A5142" s="76"/>
      <c r="C5142" s="76"/>
    </row>
    <row r="5143" spans="1:3" x14ac:dyDescent="0.2">
      <c r="A5143" s="76"/>
      <c r="C5143" s="76"/>
    </row>
    <row r="5144" spans="1:3" x14ac:dyDescent="0.2">
      <c r="A5144" s="76"/>
      <c r="C5144" s="76"/>
    </row>
    <row r="5145" spans="1:3" x14ac:dyDescent="0.2">
      <c r="A5145" s="76"/>
      <c r="C5145" s="76"/>
    </row>
    <row r="5146" spans="1:3" x14ac:dyDescent="0.2">
      <c r="A5146" s="76"/>
      <c r="C5146" s="76"/>
    </row>
    <row r="5147" spans="1:3" x14ac:dyDescent="0.2">
      <c r="A5147" s="76"/>
      <c r="C5147" s="76"/>
    </row>
    <row r="5148" spans="1:3" x14ac:dyDescent="0.2">
      <c r="A5148" s="76"/>
      <c r="C5148" s="76"/>
    </row>
    <row r="5149" spans="1:3" x14ac:dyDescent="0.2">
      <c r="A5149" s="76"/>
      <c r="C5149" s="76"/>
    </row>
    <row r="5150" spans="1:3" x14ac:dyDescent="0.2">
      <c r="A5150" s="76"/>
      <c r="C5150" s="76"/>
    </row>
    <row r="5151" spans="1:3" x14ac:dyDescent="0.2">
      <c r="A5151" s="76"/>
      <c r="C5151" s="76"/>
    </row>
    <row r="5152" spans="1:3" x14ac:dyDescent="0.2">
      <c r="A5152" s="76"/>
      <c r="C5152" s="76"/>
    </row>
    <row r="5153" spans="1:3" x14ac:dyDescent="0.2">
      <c r="A5153" s="76"/>
      <c r="C5153" s="76"/>
    </row>
    <row r="5154" spans="1:3" x14ac:dyDescent="0.2">
      <c r="A5154" s="76"/>
      <c r="C5154" s="76"/>
    </row>
    <row r="5155" spans="1:3" x14ac:dyDescent="0.2">
      <c r="A5155" s="76"/>
      <c r="C5155" s="76"/>
    </row>
    <row r="5156" spans="1:3" x14ac:dyDescent="0.2">
      <c r="A5156" s="76"/>
      <c r="C5156" s="76"/>
    </row>
    <row r="5157" spans="1:3" x14ac:dyDescent="0.2">
      <c r="A5157" s="76"/>
      <c r="C5157" s="76"/>
    </row>
    <row r="5158" spans="1:3" x14ac:dyDescent="0.2">
      <c r="A5158" s="76"/>
      <c r="C5158" s="76"/>
    </row>
    <row r="5159" spans="1:3" x14ac:dyDescent="0.2">
      <c r="A5159" s="76"/>
      <c r="C5159" s="76"/>
    </row>
    <row r="5160" spans="1:3" x14ac:dyDescent="0.2">
      <c r="A5160" s="76"/>
      <c r="C5160" s="76"/>
    </row>
    <row r="5161" spans="1:3" x14ac:dyDescent="0.2">
      <c r="A5161" s="76"/>
      <c r="C5161" s="76"/>
    </row>
    <row r="5162" spans="1:3" x14ac:dyDescent="0.2">
      <c r="A5162" s="76"/>
      <c r="C5162" s="76"/>
    </row>
    <row r="5163" spans="1:3" x14ac:dyDescent="0.2">
      <c r="A5163" s="76"/>
      <c r="C5163" s="76"/>
    </row>
    <row r="5164" spans="1:3" x14ac:dyDescent="0.2">
      <c r="A5164" s="76"/>
      <c r="C5164" s="76"/>
    </row>
    <row r="5165" spans="1:3" x14ac:dyDescent="0.2">
      <c r="A5165" s="76"/>
      <c r="C5165" s="76"/>
    </row>
    <row r="5166" spans="1:3" x14ac:dyDescent="0.2">
      <c r="A5166" s="76"/>
      <c r="C5166" s="76"/>
    </row>
    <row r="5167" spans="1:3" x14ac:dyDescent="0.2">
      <c r="A5167" s="76"/>
      <c r="C5167" s="76"/>
    </row>
    <row r="5168" spans="1:3" x14ac:dyDescent="0.2">
      <c r="A5168" s="76"/>
      <c r="C5168" s="76"/>
    </row>
    <row r="5169" spans="1:3" x14ac:dyDescent="0.2">
      <c r="A5169" s="76"/>
      <c r="C5169" s="76"/>
    </row>
    <row r="5170" spans="1:3" x14ac:dyDescent="0.2">
      <c r="A5170" s="76"/>
      <c r="C5170" s="76"/>
    </row>
    <row r="5171" spans="1:3" x14ac:dyDescent="0.2">
      <c r="A5171" s="76"/>
      <c r="C5171" s="76"/>
    </row>
    <row r="5172" spans="1:3" x14ac:dyDescent="0.2">
      <c r="A5172" s="76"/>
      <c r="C5172" s="76"/>
    </row>
    <row r="5173" spans="1:3" x14ac:dyDescent="0.2">
      <c r="A5173" s="76"/>
      <c r="C5173" s="76"/>
    </row>
    <row r="5174" spans="1:3" x14ac:dyDescent="0.2">
      <c r="A5174" s="76"/>
      <c r="C5174" s="76"/>
    </row>
    <row r="5175" spans="1:3" x14ac:dyDescent="0.2">
      <c r="A5175" s="76"/>
      <c r="C5175" s="76"/>
    </row>
    <row r="5176" spans="1:3" x14ac:dyDescent="0.2">
      <c r="A5176" s="76"/>
      <c r="C5176" s="76"/>
    </row>
    <row r="5177" spans="1:3" x14ac:dyDescent="0.2">
      <c r="A5177" s="76"/>
      <c r="C5177" s="76"/>
    </row>
    <row r="5178" spans="1:3" x14ac:dyDescent="0.2">
      <c r="A5178" s="76"/>
      <c r="C5178" s="76"/>
    </row>
    <row r="5179" spans="1:3" x14ac:dyDescent="0.2">
      <c r="A5179" s="76"/>
      <c r="C5179" s="76"/>
    </row>
    <row r="5180" spans="1:3" x14ac:dyDescent="0.2">
      <c r="A5180" s="76"/>
      <c r="C5180" s="76"/>
    </row>
    <row r="5181" spans="1:3" x14ac:dyDescent="0.2">
      <c r="A5181" s="76"/>
      <c r="C5181" s="76"/>
    </row>
    <row r="5182" spans="1:3" x14ac:dyDescent="0.2">
      <c r="A5182" s="76"/>
      <c r="C5182" s="76"/>
    </row>
    <row r="5183" spans="1:3" x14ac:dyDescent="0.2">
      <c r="A5183" s="76"/>
      <c r="C5183" s="76"/>
    </row>
    <row r="5184" spans="1:3" x14ac:dyDescent="0.2">
      <c r="A5184" s="76"/>
      <c r="C5184" s="76"/>
    </row>
    <row r="5185" spans="1:3" x14ac:dyDescent="0.2">
      <c r="A5185" s="76"/>
      <c r="C5185" s="76"/>
    </row>
    <row r="5186" spans="1:3" x14ac:dyDescent="0.2">
      <c r="A5186" s="76"/>
      <c r="C5186" s="76"/>
    </row>
    <row r="5187" spans="1:3" x14ac:dyDescent="0.2">
      <c r="A5187" s="76"/>
      <c r="C5187" s="76"/>
    </row>
    <row r="5188" spans="1:3" x14ac:dyDescent="0.2">
      <c r="A5188" s="76"/>
      <c r="C5188" s="76"/>
    </row>
    <row r="5189" spans="1:3" x14ac:dyDescent="0.2">
      <c r="A5189" s="76"/>
      <c r="C5189" s="76"/>
    </row>
    <row r="5190" spans="1:3" x14ac:dyDescent="0.2">
      <c r="A5190" s="76"/>
      <c r="C5190" s="76"/>
    </row>
    <row r="5191" spans="1:3" x14ac:dyDescent="0.2">
      <c r="A5191" s="76"/>
      <c r="C5191" s="76"/>
    </row>
    <row r="5192" spans="1:3" x14ac:dyDescent="0.2">
      <c r="A5192" s="76"/>
      <c r="C5192" s="76"/>
    </row>
    <row r="5193" spans="1:3" x14ac:dyDescent="0.2">
      <c r="A5193" s="76"/>
      <c r="C5193" s="76"/>
    </row>
    <row r="5194" spans="1:3" x14ac:dyDescent="0.2">
      <c r="A5194" s="76"/>
      <c r="C5194" s="76"/>
    </row>
    <row r="5195" spans="1:3" x14ac:dyDescent="0.2">
      <c r="A5195" s="76"/>
      <c r="C5195" s="76"/>
    </row>
    <row r="5196" spans="1:3" x14ac:dyDescent="0.2">
      <c r="A5196" s="76"/>
      <c r="C5196" s="76"/>
    </row>
    <row r="5197" spans="1:3" x14ac:dyDescent="0.2">
      <c r="A5197" s="76"/>
      <c r="C5197" s="76"/>
    </row>
    <row r="5198" spans="1:3" x14ac:dyDescent="0.2">
      <c r="A5198" s="76"/>
      <c r="C5198" s="76"/>
    </row>
    <row r="5199" spans="1:3" x14ac:dyDescent="0.2">
      <c r="A5199" s="76"/>
      <c r="C5199" s="76"/>
    </row>
    <row r="5200" spans="1:3" x14ac:dyDescent="0.2">
      <c r="A5200" s="76"/>
      <c r="C5200" s="76"/>
    </row>
    <row r="5201" spans="1:3" x14ac:dyDescent="0.2">
      <c r="A5201" s="76"/>
      <c r="C5201" s="76"/>
    </row>
    <row r="5202" spans="1:3" x14ac:dyDescent="0.2">
      <c r="A5202" s="76"/>
      <c r="C5202" s="76"/>
    </row>
    <row r="5203" spans="1:3" x14ac:dyDescent="0.2">
      <c r="A5203" s="76"/>
      <c r="C5203" s="76"/>
    </row>
    <row r="5204" spans="1:3" x14ac:dyDescent="0.2">
      <c r="A5204" s="76"/>
      <c r="C5204" s="76"/>
    </row>
    <row r="5205" spans="1:3" x14ac:dyDescent="0.2">
      <c r="A5205" s="76"/>
      <c r="C5205" s="76"/>
    </row>
    <row r="5206" spans="1:3" x14ac:dyDescent="0.2">
      <c r="A5206" s="76"/>
      <c r="C5206" s="76"/>
    </row>
    <row r="5207" spans="1:3" x14ac:dyDescent="0.2">
      <c r="A5207" s="76"/>
      <c r="C5207" s="76"/>
    </row>
    <row r="5208" spans="1:3" x14ac:dyDescent="0.2">
      <c r="A5208" s="76"/>
      <c r="C5208" s="76"/>
    </row>
    <row r="5209" spans="1:3" x14ac:dyDescent="0.2">
      <c r="A5209" s="76"/>
      <c r="C5209" s="76"/>
    </row>
    <row r="5210" spans="1:3" x14ac:dyDescent="0.2">
      <c r="A5210" s="76"/>
      <c r="C5210" s="76"/>
    </row>
    <row r="5211" spans="1:3" x14ac:dyDescent="0.2">
      <c r="A5211" s="76"/>
      <c r="C5211" s="76"/>
    </row>
    <row r="5212" spans="1:3" x14ac:dyDescent="0.2">
      <c r="A5212" s="76"/>
      <c r="C5212" s="76"/>
    </row>
    <row r="5213" spans="1:3" x14ac:dyDescent="0.2">
      <c r="A5213" s="76"/>
      <c r="C5213" s="76"/>
    </row>
    <row r="5214" spans="1:3" x14ac:dyDescent="0.2">
      <c r="A5214" s="76"/>
      <c r="C5214" s="76"/>
    </row>
    <row r="5215" spans="1:3" x14ac:dyDescent="0.2">
      <c r="A5215" s="76"/>
      <c r="C5215" s="76"/>
    </row>
    <row r="5216" spans="1:3" x14ac:dyDescent="0.2">
      <c r="A5216" s="76"/>
      <c r="C5216" s="76"/>
    </row>
    <row r="5217" spans="1:3" x14ac:dyDescent="0.2">
      <c r="A5217" s="76"/>
      <c r="C5217" s="76"/>
    </row>
    <row r="5218" spans="1:3" x14ac:dyDescent="0.2">
      <c r="A5218" s="76"/>
      <c r="C5218" s="76"/>
    </row>
    <row r="5219" spans="1:3" x14ac:dyDescent="0.2">
      <c r="A5219" s="76"/>
      <c r="C5219" s="76"/>
    </row>
    <row r="5220" spans="1:3" x14ac:dyDescent="0.2">
      <c r="A5220" s="76"/>
      <c r="C5220" s="76"/>
    </row>
    <row r="5221" spans="1:3" x14ac:dyDescent="0.2">
      <c r="A5221" s="76"/>
      <c r="C5221" s="76"/>
    </row>
    <row r="5222" spans="1:3" x14ac:dyDescent="0.2">
      <c r="A5222" s="76"/>
      <c r="C5222" s="76"/>
    </row>
    <row r="5223" spans="1:3" x14ac:dyDescent="0.2">
      <c r="A5223" s="76"/>
      <c r="C5223" s="76"/>
    </row>
    <row r="5224" spans="1:3" x14ac:dyDescent="0.2">
      <c r="A5224" s="76"/>
      <c r="C5224" s="76"/>
    </row>
    <row r="5225" spans="1:3" x14ac:dyDescent="0.2">
      <c r="A5225" s="76"/>
      <c r="C5225" s="76"/>
    </row>
    <row r="5226" spans="1:3" x14ac:dyDescent="0.2">
      <c r="A5226" s="76"/>
      <c r="C5226" s="76"/>
    </row>
    <row r="5227" spans="1:3" x14ac:dyDescent="0.2">
      <c r="A5227" s="76"/>
      <c r="C5227" s="76"/>
    </row>
    <row r="5228" spans="1:3" x14ac:dyDescent="0.2">
      <c r="A5228" s="76"/>
      <c r="C5228" s="76"/>
    </row>
    <row r="5229" spans="1:3" x14ac:dyDescent="0.2">
      <c r="A5229" s="76"/>
      <c r="C5229" s="76"/>
    </row>
    <row r="5230" spans="1:3" x14ac:dyDescent="0.2">
      <c r="A5230" s="76"/>
      <c r="C5230" s="76"/>
    </row>
    <row r="5231" spans="1:3" x14ac:dyDescent="0.2">
      <c r="A5231" s="76"/>
      <c r="C5231" s="76"/>
    </row>
    <row r="5232" spans="1:3" x14ac:dyDescent="0.2">
      <c r="A5232" s="76"/>
      <c r="C5232" s="76"/>
    </row>
    <row r="5233" spans="1:3" x14ac:dyDescent="0.2">
      <c r="A5233" s="76"/>
      <c r="C5233" s="76"/>
    </row>
    <row r="5234" spans="1:3" x14ac:dyDescent="0.2">
      <c r="A5234" s="76"/>
      <c r="C5234" s="76"/>
    </row>
    <row r="5235" spans="1:3" x14ac:dyDescent="0.2">
      <c r="A5235" s="76"/>
      <c r="C5235" s="76"/>
    </row>
    <row r="5236" spans="1:3" x14ac:dyDescent="0.2">
      <c r="A5236" s="76"/>
      <c r="C5236" s="76"/>
    </row>
    <row r="5237" spans="1:3" x14ac:dyDescent="0.2">
      <c r="A5237" s="76"/>
      <c r="C5237" s="76"/>
    </row>
    <row r="5238" spans="1:3" x14ac:dyDescent="0.2">
      <c r="A5238" s="76"/>
      <c r="C5238" s="76"/>
    </row>
    <row r="5239" spans="1:3" x14ac:dyDescent="0.2">
      <c r="A5239" s="76"/>
      <c r="C5239" s="76"/>
    </row>
    <row r="5240" spans="1:3" x14ac:dyDescent="0.2">
      <c r="A5240" s="76"/>
      <c r="C5240" s="76"/>
    </row>
    <row r="5241" spans="1:3" x14ac:dyDescent="0.2">
      <c r="A5241" s="76"/>
      <c r="C5241" s="76"/>
    </row>
    <row r="5242" spans="1:3" x14ac:dyDescent="0.2">
      <c r="A5242" s="76"/>
      <c r="C5242" s="76"/>
    </row>
    <row r="5243" spans="1:3" x14ac:dyDescent="0.2">
      <c r="A5243" s="76"/>
      <c r="C5243" s="76"/>
    </row>
    <row r="5244" spans="1:3" x14ac:dyDescent="0.2">
      <c r="A5244" s="76"/>
      <c r="C5244" s="76"/>
    </row>
    <row r="5245" spans="1:3" x14ac:dyDescent="0.2">
      <c r="A5245" s="76"/>
      <c r="C5245" s="76"/>
    </row>
    <row r="5246" spans="1:3" x14ac:dyDescent="0.2">
      <c r="A5246" s="76"/>
      <c r="C5246" s="76"/>
    </row>
    <row r="5247" spans="1:3" x14ac:dyDescent="0.2">
      <c r="A5247" s="76"/>
      <c r="C5247" s="76"/>
    </row>
    <row r="5248" spans="1:3" x14ac:dyDescent="0.2">
      <c r="A5248" s="76"/>
      <c r="C5248" s="76"/>
    </row>
    <row r="5249" spans="1:3" x14ac:dyDescent="0.2">
      <c r="A5249" s="76"/>
      <c r="C5249" s="76"/>
    </row>
    <row r="5250" spans="1:3" x14ac:dyDescent="0.2">
      <c r="A5250" s="76"/>
      <c r="C5250" s="76"/>
    </row>
    <row r="5251" spans="1:3" x14ac:dyDescent="0.2">
      <c r="A5251" s="76"/>
      <c r="C5251" s="76"/>
    </row>
    <row r="5252" spans="1:3" x14ac:dyDescent="0.2">
      <c r="A5252" s="76"/>
      <c r="C5252" s="76"/>
    </row>
    <row r="5253" spans="1:3" x14ac:dyDescent="0.2">
      <c r="A5253" s="76"/>
      <c r="C5253" s="76"/>
    </row>
    <row r="5254" spans="1:3" x14ac:dyDescent="0.2">
      <c r="A5254" s="76"/>
      <c r="C5254" s="76"/>
    </row>
    <row r="5255" spans="1:3" x14ac:dyDescent="0.2">
      <c r="A5255" s="76"/>
      <c r="C5255" s="76"/>
    </row>
    <row r="5256" spans="1:3" x14ac:dyDescent="0.2">
      <c r="A5256" s="76"/>
      <c r="C5256" s="76"/>
    </row>
    <row r="5257" spans="1:3" x14ac:dyDescent="0.2">
      <c r="A5257" s="76"/>
      <c r="C5257" s="76"/>
    </row>
    <row r="5258" spans="1:3" x14ac:dyDescent="0.2">
      <c r="A5258" s="76"/>
      <c r="C5258" s="76"/>
    </row>
    <row r="5259" spans="1:3" x14ac:dyDescent="0.2">
      <c r="A5259" s="76"/>
      <c r="C5259" s="76"/>
    </row>
    <row r="5260" spans="1:3" x14ac:dyDescent="0.2">
      <c r="A5260" s="76"/>
      <c r="C5260" s="76"/>
    </row>
    <row r="5261" spans="1:3" x14ac:dyDescent="0.2">
      <c r="A5261" s="76"/>
      <c r="C5261" s="76"/>
    </row>
    <row r="5262" spans="1:3" x14ac:dyDescent="0.2">
      <c r="A5262" s="76"/>
      <c r="C5262" s="76"/>
    </row>
    <row r="5263" spans="1:3" x14ac:dyDescent="0.2">
      <c r="A5263" s="76"/>
      <c r="C5263" s="76"/>
    </row>
    <row r="5264" spans="1:3" x14ac:dyDescent="0.2">
      <c r="A5264" s="76"/>
      <c r="C5264" s="76"/>
    </row>
    <row r="5265" spans="1:3" x14ac:dyDescent="0.2">
      <c r="A5265" s="76"/>
      <c r="C5265" s="76"/>
    </row>
    <row r="5266" spans="1:3" x14ac:dyDescent="0.2">
      <c r="A5266" s="76"/>
      <c r="C5266" s="76"/>
    </row>
    <row r="5267" spans="1:3" x14ac:dyDescent="0.2">
      <c r="A5267" s="76"/>
      <c r="C5267" s="76"/>
    </row>
    <row r="5268" spans="1:3" x14ac:dyDescent="0.2">
      <c r="A5268" s="76"/>
      <c r="C5268" s="76"/>
    </row>
    <row r="5269" spans="1:3" x14ac:dyDescent="0.2">
      <c r="A5269" s="76"/>
      <c r="C5269" s="76"/>
    </row>
    <row r="5270" spans="1:3" x14ac:dyDescent="0.2">
      <c r="A5270" s="76"/>
      <c r="C5270" s="76"/>
    </row>
    <row r="5271" spans="1:3" x14ac:dyDescent="0.2">
      <c r="A5271" s="76"/>
      <c r="C5271" s="76"/>
    </row>
    <row r="5272" spans="1:3" x14ac:dyDescent="0.2">
      <c r="A5272" s="76"/>
      <c r="C5272" s="76"/>
    </row>
    <row r="5273" spans="1:3" x14ac:dyDescent="0.2">
      <c r="A5273" s="76"/>
      <c r="C5273" s="76"/>
    </row>
    <row r="5274" spans="1:3" x14ac:dyDescent="0.2">
      <c r="A5274" s="76"/>
      <c r="C5274" s="76"/>
    </row>
    <row r="5275" spans="1:3" x14ac:dyDescent="0.2">
      <c r="A5275" s="76"/>
      <c r="C5275" s="76"/>
    </row>
    <row r="5276" spans="1:3" x14ac:dyDescent="0.2">
      <c r="A5276" s="76"/>
      <c r="C5276" s="76"/>
    </row>
    <row r="5277" spans="1:3" x14ac:dyDescent="0.2">
      <c r="A5277" s="76"/>
      <c r="C5277" s="76"/>
    </row>
    <row r="5278" spans="1:3" x14ac:dyDescent="0.2">
      <c r="A5278" s="76"/>
      <c r="C5278" s="76"/>
    </row>
    <row r="5279" spans="1:3" x14ac:dyDescent="0.2">
      <c r="A5279" s="76"/>
      <c r="C5279" s="76"/>
    </row>
    <row r="5280" spans="1:3" x14ac:dyDescent="0.2">
      <c r="A5280" s="76"/>
      <c r="C5280" s="76"/>
    </row>
    <row r="5281" spans="1:3" x14ac:dyDescent="0.2">
      <c r="A5281" s="76"/>
      <c r="C5281" s="76"/>
    </row>
    <row r="5282" spans="1:3" x14ac:dyDescent="0.2">
      <c r="A5282" s="76"/>
      <c r="C5282" s="76"/>
    </row>
    <row r="5283" spans="1:3" x14ac:dyDescent="0.2">
      <c r="A5283" s="76"/>
      <c r="C5283" s="76"/>
    </row>
    <row r="5284" spans="1:3" x14ac:dyDescent="0.2">
      <c r="A5284" s="76"/>
      <c r="C5284" s="76"/>
    </row>
    <row r="5285" spans="1:3" x14ac:dyDescent="0.2">
      <c r="A5285" s="76"/>
      <c r="C5285" s="76"/>
    </row>
    <row r="5286" spans="1:3" x14ac:dyDescent="0.2">
      <c r="A5286" s="76"/>
      <c r="C5286" s="76"/>
    </row>
    <row r="5287" spans="1:3" x14ac:dyDescent="0.2">
      <c r="A5287" s="76"/>
      <c r="C5287" s="76"/>
    </row>
    <row r="5288" spans="1:3" x14ac:dyDescent="0.2">
      <c r="A5288" s="76"/>
      <c r="C5288" s="76"/>
    </row>
    <row r="5289" spans="1:3" x14ac:dyDescent="0.2">
      <c r="A5289" s="76"/>
      <c r="C5289" s="76"/>
    </row>
    <row r="5290" spans="1:3" x14ac:dyDescent="0.2">
      <c r="A5290" s="76"/>
      <c r="C5290" s="76"/>
    </row>
    <row r="5291" spans="1:3" x14ac:dyDescent="0.2">
      <c r="A5291" s="76"/>
      <c r="C5291" s="76"/>
    </row>
    <row r="5292" spans="1:3" x14ac:dyDescent="0.2">
      <c r="A5292" s="76"/>
      <c r="C5292" s="76"/>
    </row>
    <row r="5293" spans="1:3" x14ac:dyDescent="0.2">
      <c r="A5293" s="76"/>
      <c r="C5293" s="76"/>
    </row>
    <row r="5294" spans="1:3" x14ac:dyDescent="0.2">
      <c r="A5294" s="76"/>
      <c r="C5294" s="76"/>
    </row>
    <row r="5295" spans="1:3" x14ac:dyDescent="0.2">
      <c r="A5295" s="76"/>
      <c r="C5295" s="76"/>
    </row>
    <row r="5296" spans="1:3" x14ac:dyDescent="0.2">
      <c r="A5296" s="76"/>
      <c r="C5296" s="76"/>
    </row>
    <row r="5297" spans="1:3" x14ac:dyDescent="0.2">
      <c r="A5297" s="76"/>
      <c r="C5297" s="76"/>
    </row>
    <row r="5298" spans="1:3" x14ac:dyDescent="0.2">
      <c r="A5298" s="76"/>
      <c r="C5298" s="76"/>
    </row>
    <row r="5299" spans="1:3" x14ac:dyDescent="0.2">
      <c r="A5299" s="76"/>
      <c r="C5299" s="76"/>
    </row>
    <row r="5300" spans="1:3" x14ac:dyDescent="0.2">
      <c r="A5300" s="76"/>
      <c r="C5300" s="76"/>
    </row>
    <row r="5301" spans="1:3" x14ac:dyDescent="0.2">
      <c r="A5301" s="76"/>
      <c r="C5301" s="76"/>
    </row>
    <row r="5302" spans="1:3" x14ac:dyDescent="0.2">
      <c r="A5302" s="76"/>
      <c r="C5302" s="76"/>
    </row>
    <row r="5303" spans="1:3" x14ac:dyDescent="0.2">
      <c r="A5303" s="76"/>
      <c r="C5303" s="76"/>
    </row>
    <row r="5304" spans="1:3" x14ac:dyDescent="0.2">
      <c r="A5304" s="76"/>
      <c r="C5304" s="76"/>
    </row>
    <row r="5305" spans="1:3" x14ac:dyDescent="0.2">
      <c r="A5305" s="76"/>
      <c r="C5305" s="76"/>
    </row>
    <row r="5306" spans="1:3" x14ac:dyDescent="0.2">
      <c r="A5306" s="76"/>
      <c r="C5306" s="76"/>
    </row>
    <row r="5307" spans="1:3" x14ac:dyDescent="0.2">
      <c r="A5307" s="76"/>
      <c r="C5307" s="76"/>
    </row>
    <row r="5308" spans="1:3" x14ac:dyDescent="0.2">
      <c r="A5308" s="76"/>
      <c r="C5308" s="76"/>
    </row>
    <row r="5309" spans="1:3" x14ac:dyDescent="0.2">
      <c r="A5309" s="76"/>
      <c r="C5309" s="76"/>
    </row>
    <row r="5310" spans="1:3" x14ac:dyDescent="0.2">
      <c r="A5310" s="76"/>
      <c r="C5310" s="76"/>
    </row>
    <row r="5311" spans="1:3" x14ac:dyDescent="0.2">
      <c r="A5311" s="76"/>
      <c r="C5311" s="76"/>
    </row>
    <row r="5312" spans="1:3" x14ac:dyDescent="0.2">
      <c r="A5312" s="76"/>
      <c r="C5312" s="76"/>
    </row>
    <row r="5313" spans="1:3" x14ac:dyDescent="0.2">
      <c r="A5313" s="76"/>
      <c r="C5313" s="76"/>
    </row>
    <row r="5314" spans="1:3" x14ac:dyDescent="0.2">
      <c r="A5314" s="76"/>
      <c r="C5314" s="76"/>
    </row>
    <row r="5315" spans="1:3" x14ac:dyDescent="0.2">
      <c r="A5315" s="76"/>
      <c r="C5315" s="76"/>
    </row>
    <row r="5316" spans="1:3" x14ac:dyDescent="0.2">
      <c r="A5316" s="76"/>
      <c r="C5316" s="76"/>
    </row>
    <row r="5317" spans="1:3" x14ac:dyDescent="0.2">
      <c r="A5317" s="76"/>
      <c r="C5317" s="76"/>
    </row>
    <row r="5318" spans="1:3" x14ac:dyDescent="0.2">
      <c r="A5318" s="76"/>
      <c r="C5318" s="76"/>
    </row>
    <row r="5319" spans="1:3" x14ac:dyDescent="0.2">
      <c r="A5319" s="76"/>
      <c r="C5319" s="76"/>
    </row>
    <row r="5320" spans="1:3" x14ac:dyDescent="0.2">
      <c r="A5320" s="76"/>
      <c r="C5320" s="76"/>
    </row>
    <row r="5321" spans="1:3" x14ac:dyDescent="0.2">
      <c r="A5321" s="76"/>
      <c r="C5321" s="76"/>
    </row>
    <row r="5322" spans="1:3" x14ac:dyDescent="0.2">
      <c r="A5322" s="76"/>
      <c r="C5322" s="76"/>
    </row>
    <row r="5323" spans="1:3" x14ac:dyDescent="0.2">
      <c r="A5323" s="76"/>
      <c r="C5323" s="76"/>
    </row>
    <row r="5324" spans="1:3" x14ac:dyDescent="0.2">
      <c r="A5324" s="76"/>
      <c r="C5324" s="76"/>
    </row>
    <row r="5325" spans="1:3" x14ac:dyDescent="0.2">
      <c r="A5325" s="76"/>
      <c r="C5325" s="76"/>
    </row>
    <row r="5326" spans="1:3" x14ac:dyDescent="0.2">
      <c r="A5326" s="76"/>
      <c r="C5326" s="76"/>
    </row>
    <row r="5327" spans="1:3" x14ac:dyDescent="0.2">
      <c r="A5327" s="76"/>
      <c r="C5327" s="76"/>
    </row>
    <row r="5328" spans="1:3" x14ac:dyDescent="0.2">
      <c r="A5328" s="76"/>
      <c r="C5328" s="76"/>
    </row>
    <row r="5329" spans="1:3" x14ac:dyDescent="0.2">
      <c r="A5329" s="76"/>
      <c r="C5329" s="76"/>
    </row>
    <row r="5330" spans="1:3" x14ac:dyDescent="0.2">
      <c r="A5330" s="76"/>
      <c r="C5330" s="76"/>
    </row>
    <row r="5331" spans="1:3" x14ac:dyDescent="0.2">
      <c r="A5331" s="76"/>
      <c r="C5331" s="76"/>
    </row>
    <row r="5332" spans="1:3" x14ac:dyDescent="0.2">
      <c r="A5332" s="76"/>
      <c r="C5332" s="76"/>
    </row>
    <row r="5333" spans="1:3" x14ac:dyDescent="0.2">
      <c r="A5333" s="76"/>
      <c r="C5333" s="76"/>
    </row>
    <row r="5334" spans="1:3" x14ac:dyDescent="0.2">
      <c r="A5334" s="76"/>
      <c r="C5334" s="76"/>
    </row>
    <row r="5335" spans="1:3" x14ac:dyDescent="0.2">
      <c r="A5335" s="76"/>
      <c r="C5335" s="76"/>
    </row>
    <row r="5336" spans="1:3" x14ac:dyDescent="0.2">
      <c r="A5336" s="76"/>
      <c r="C5336" s="76"/>
    </row>
    <row r="5337" spans="1:3" x14ac:dyDescent="0.2">
      <c r="A5337" s="76"/>
      <c r="C5337" s="76"/>
    </row>
    <row r="5338" spans="1:3" x14ac:dyDescent="0.2">
      <c r="A5338" s="76"/>
      <c r="C5338" s="76"/>
    </row>
    <row r="5339" spans="1:3" x14ac:dyDescent="0.2">
      <c r="A5339" s="76"/>
      <c r="C5339" s="76"/>
    </row>
    <row r="5340" spans="1:3" x14ac:dyDescent="0.2">
      <c r="A5340" s="76"/>
      <c r="C5340" s="76"/>
    </row>
    <row r="5341" spans="1:3" x14ac:dyDescent="0.2">
      <c r="A5341" s="76"/>
      <c r="C5341" s="76"/>
    </row>
    <row r="5342" spans="1:3" x14ac:dyDescent="0.2">
      <c r="A5342" s="76"/>
      <c r="C5342" s="76"/>
    </row>
    <row r="5343" spans="1:3" x14ac:dyDescent="0.2">
      <c r="A5343" s="76"/>
      <c r="C5343" s="76"/>
    </row>
    <row r="5344" spans="1:3" x14ac:dyDescent="0.2">
      <c r="A5344" s="76"/>
      <c r="C5344" s="76"/>
    </row>
    <row r="5345" spans="1:3" x14ac:dyDescent="0.2">
      <c r="A5345" s="76"/>
      <c r="C5345" s="76"/>
    </row>
    <row r="5346" spans="1:3" x14ac:dyDescent="0.2">
      <c r="A5346" s="76"/>
      <c r="C5346" s="76"/>
    </row>
    <row r="5347" spans="1:3" x14ac:dyDescent="0.2">
      <c r="A5347" s="76"/>
      <c r="C5347" s="76"/>
    </row>
    <row r="5348" spans="1:3" x14ac:dyDescent="0.2">
      <c r="A5348" s="76"/>
      <c r="C5348" s="76"/>
    </row>
    <row r="5349" spans="1:3" x14ac:dyDescent="0.2">
      <c r="A5349" s="76"/>
      <c r="C5349" s="76"/>
    </row>
    <row r="5350" spans="1:3" x14ac:dyDescent="0.2">
      <c r="A5350" s="76"/>
      <c r="C5350" s="76"/>
    </row>
    <row r="5351" spans="1:3" x14ac:dyDescent="0.2">
      <c r="A5351" s="76"/>
      <c r="C5351" s="76"/>
    </row>
    <row r="5352" spans="1:3" x14ac:dyDescent="0.2">
      <c r="A5352" s="76"/>
      <c r="C5352" s="76"/>
    </row>
    <row r="5353" spans="1:3" x14ac:dyDescent="0.2">
      <c r="A5353" s="76"/>
      <c r="C5353" s="76"/>
    </row>
    <row r="5354" spans="1:3" x14ac:dyDescent="0.2">
      <c r="A5354" s="76"/>
      <c r="C5354" s="76"/>
    </row>
    <row r="5355" spans="1:3" x14ac:dyDescent="0.2">
      <c r="A5355" s="76"/>
      <c r="C5355" s="76"/>
    </row>
    <row r="5356" spans="1:3" x14ac:dyDescent="0.2">
      <c r="A5356" s="76"/>
      <c r="C5356" s="76"/>
    </row>
    <row r="5357" spans="1:3" x14ac:dyDescent="0.2">
      <c r="A5357" s="76"/>
      <c r="C5357" s="76"/>
    </row>
    <row r="5358" spans="1:3" x14ac:dyDescent="0.2">
      <c r="A5358" s="76"/>
      <c r="C5358" s="76"/>
    </row>
    <row r="5359" spans="1:3" x14ac:dyDescent="0.2">
      <c r="A5359" s="76"/>
      <c r="C5359" s="76"/>
    </row>
    <row r="5360" spans="1:3" x14ac:dyDescent="0.2">
      <c r="A5360" s="76"/>
      <c r="C5360" s="76"/>
    </row>
    <row r="5361" spans="1:3" x14ac:dyDescent="0.2">
      <c r="A5361" s="76"/>
      <c r="C5361" s="76"/>
    </row>
    <row r="5362" spans="1:3" x14ac:dyDescent="0.2">
      <c r="A5362" s="76"/>
      <c r="C5362" s="76"/>
    </row>
    <row r="5363" spans="1:3" x14ac:dyDescent="0.2">
      <c r="A5363" s="76"/>
      <c r="C5363" s="76"/>
    </row>
    <row r="5364" spans="1:3" x14ac:dyDescent="0.2">
      <c r="A5364" s="76"/>
      <c r="C5364" s="76"/>
    </row>
    <row r="5365" spans="1:3" x14ac:dyDescent="0.2">
      <c r="A5365" s="76"/>
      <c r="C5365" s="76"/>
    </row>
    <row r="5366" spans="1:3" x14ac:dyDescent="0.2">
      <c r="A5366" s="76"/>
      <c r="C5366" s="76"/>
    </row>
    <row r="5367" spans="1:3" x14ac:dyDescent="0.2">
      <c r="A5367" s="76"/>
      <c r="C5367" s="76"/>
    </row>
    <row r="5368" spans="1:3" x14ac:dyDescent="0.2">
      <c r="A5368" s="76"/>
      <c r="C5368" s="76"/>
    </row>
    <row r="5369" spans="1:3" x14ac:dyDescent="0.2">
      <c r="A5369" s="76"/>
      <c r="C5369" s="76"/>
    </row>
    <row r="5370" spans="1:3" x14ac:dyDescent="0.2">
      <c r="A5370" s="76"/>
      <c r="C5370" s="76"/>
    </row>
    <row r="5371" spans="1:3" x14ac:dyDescent="0.2">
      <c r="A5371" s="76"/>
      <c r="C5371" s="76"/>
    </row>
    <row r="5372" spans="1:3" x14ac:dyDescent="0.2">
      <c r="A5372" s="76"/>
      <c r="C5372" s="76"/>
    </row>
    <row r="5373" spans="1:3" x14ac:dyDescent="0.2">
      <c r="A5373" s="76"/>
      <c r="C5373" s="76"/>
    </row>
    <row r="5374" spans="1:3" x14ac:dyDescent="0.2">
      <c r="A5374" s="76"/>
      <c r="C5374" s="76"/>
    </row>
    <row r="5375" spans="1:3" x14ac:dyDescent="0.2">
      <c r="A5375" s="76"/>
      <c r="C5375" s="76"/>
    </row>
    <row r="5376" spans="1:3" x14ac:dyDescent="0.2">
      <c r="A5376" s="76"/>
      <c r="C5376" s="76"/>
    </row>
    <row r="5377" spans="1:3" x14ac:dyDescent="0.2">
      <c r="A5377" s="76"/>
      <c r="C5377" s="76"/>
    </row>
    <row r="5378" spans="1:3" x14ac:dyDescent="0.2">
      <c r="A5378" s="76"/>
      <c r="C5378" s="76"/>
    </row>
    <row r="5379" spans="1:3" x14ac:dyDescent="0.2">
      <c r="A5379" s="76"/>
      <c r="C5379" s="76"/>
    </row>
    <row r="5380" spans="1:3" x14ac:dyDescent="0.2">
      <c r="A5380" s="76"/>
      <c r="C5380" s="76"/>
    </row>
    <row r="5381" spans="1:3" x14ac:dyDescent="0.2">
      <c r="A5381" s="76"/>
      <c r="C5381" s="76"/>
    </row>
    <row r="5382" spans="1:3" x14ac:dyDescent="0.2">
      <c r="A5382" s="76"/>
      <c r="C5382" s="76"/>
    </row>
    <row r="5383" spans="1:3" x14ac:dyDescent="0.2">
      <c r="A5383" s="76"/>
      <c r="C5383" s="76"/>
    </row>
    <row r="5384" spans="1:3" x14ac:dyDescent="0.2">
      <c r="A5384" s="76"/>
      <c r="C5384" s="76"/>
    </row>
    <row r="5385" spans="1:3" x14ac:dyDescent="0.2">
      <c r="A5385" s="76"/>
      <c r="C5385" s="76"/>
    </row>
    <row r="5386" spans="1:3" x14ac:dyDescent="0.2">
      <c r="A5386" s="76"/>
      <c r="C5386" s="76"/>
    </row>
    <row r="5387" spans="1:3" x14ac:dyDescent="0.2">
      <c r="A5387" s="76"/>
      <c r="C5387" s="76"/>
    </row>
    <row r="5388" spans="1:3" x14ac:dyDescent="0.2">
      <c r="A5388" s="76"/>
      <c r="C5388" s="76"/>
    </row>
    <row r="5389" spans="1:3" x14ac:dyDescent="0.2">
      <c r="A5389" s="76"/>
      <c r="C5389" s="76"/>
    </row>
    <row r="5390" spans="1:3" x14ac:dyDescent="0.2">
      <c r="A5390" s="76"/>
      <c r="C5390" s="76"/>
    </row>
    <row r="5391" spans="1:3" x14ac:dyDescent="0.2">
      <c r="A5391" s="76"/>
      <c r="C5391" s="76"/>
    </row>
    <row r="5392" spans="1:3" x14ac:dyDescent="0.2">
      <c r="A5392" s="76"/>
      <c r="C5392" s="76"/>
    </row>
    <row r="5393" spans="1:3" x14ac:dyDescent="0.2">
      <c r="A5393" s="76"/>
      <c r="C5393" s="76"/>
    </row>
    <row r="5394" spans="1:3" x14ac:dyDescent="0.2">
      <c r="A5394" s="76"/>
      <c r="C5394" s="76"/>
    </row>
    <row r="5395" spans="1:3" x14ac:dyDescent="0.2">
      <c r="A5395" s="76"/>
      <c r="C5395" s="76"/>
    </row>
    <row r="5396" spans="1:3" x14ac:dyDescent="0.2">
      <c r="A5396" s="76"/>
      <c r="C5396" s="76"/>
    </row>
    <row r="5397" spans="1:3" x14ac:dyDescent="0.2">
      <c r="A5397" s="76"/>
      <c r="C5397" s="76"/>
    </row>
    <row r="5398" spans="1:3" x14ac:dyDescent="0.2">
      <c r="A5398" s="76"/>
      <c r="C5398" s="76"/>
    </row>
    <row r="5399" spans="1:3" x14ac:dyDescent="0.2">
      <c r="A5399" s="76"/>
      <c r="C5399" s="76"/>
    </row>
    <row r="5400" spans="1:3" x14ac:dyDescent="0.2">
      <c r="A5400" s="76"/>
      <c r="C5400" s="76"/>
    </row>
    <row r="5401" spans="1:3" x14ac:dyDescent="0.2">
      <c r="A5401" s="76"/>
      <c r="C5401" s="76"/>
    </row>
    <row r="5402" spans="1:3" x14ac:dyDescent="0.2">
      <c r="A5402" s="76"/>
      <c r="C5402" s="76"/>
    </row>
    <row r="5403" spans="1:3" x14ac:dyDescent="0.2">
      <c r="A5403" s="76"/>
      <c r="C5403" s="76"/>
    </row>
    <row r="5404" spans="1:3" x14ac:dyDescent="0.2">
      <c r="A5404" s="76"/>
      <c r="C5404" s="76"/>
    </row>
    <row r="5405" spans="1:3" x14ac:dyDescent="0.2">
      <c r="A5405" s="76"/>
      <c r="C5405" s="76"/>
    </row>
    <row r="5406" spans="1:3" x14ac:dyDescent="0.2">
      <c r="A5406" s="76"/>
      <c r="C5406" s="76"/>
    </row>
    <row r="5407" spans="1:3" x14ac:dyDescent="0.2">
      <c r="A5407" s="76"/>
      <c r="C5407" s="76"/>
    </row>
    <row r="5408" spans="1:3" x14ac:dyDescent="0.2">
      <c r="A5408" s="76"/>
      <c r="C5408" s="76"/>
    </row>
    <row r="5409" spans="1:3" x14ac:dyDescent="0.2">
      <c r="A5409" s="76"/>
      <c r="C5409" s="76"/>
    </row>
    <row r="5410" spans="1:3" x14ac:dyDescent="0.2">
      <c r="A5410" s="76"/>
      <c r="C5410" s="76"/>
    </row>
    <row r="5411" spans="1:3" x14ac:dyDescent="0.2">
      <c r="A5411" s="76"/>
      <c r="C5411" s="76"/>
    </row>
    <row r="5412" spans="1:3" x14ac:dyDescent="0.2">
      <c r="A5412" s="76"/>
      <c r="C5412" s="76"/>
    </row>
    <row r="5413" spans="1:3" x14ac:dyDescent="0.2">
      <c r="A5413" s="76"/>
      <c r="C5413" s="76"/>
    </row>
    <row r="5414" spans="1:3" x14ac:dyDescent="0.2">
      <c r="A5414" s="76"/>
      <c r="C5414" s="76"/>
    </row>
    <row r="5415" spans="1:3" x14ac:dyDescent="0.2">
      <c r="A5415" s="76"/>
      <c r="C5415" s="76"/>
    </row>
    <row r="5416" spans="1:3" x14ac:dyDescent="0.2">
      <c r="A5416" s="76"/>
      <c r="C5416" s="76"/>
    </row>
    <row r="5417" spans="1:3" x14ac:dyDescent="0.2">
      <c r="A5417" s="76"/>
      <c r="C5417" s="76"/>
    </row>
    <row r="5418" spans="1:3" x14ac:dyDescent="0.2">
      <c r="A5418" s="76"/>
      <c r="C5418" s="76"/>
    </row>
    <row r="5419" spans="1:3" x14ac:dyDescent="0.2">
      <c r="A5419" s="76"/>
      <c r="C5419" s="76"/>
    </row>
    <row r="5420" spans="1:3" x14ac:dyDescent="0.2">
      <c r="A5420" s="76"/>
      <c r="C5420" s="76"/>
    </row>
    <row r="5421" spans="1:3" x14ac:dyDescent="0.2">
      <c r="A5421" s="76"/>
      <c r="C5421" s="76"/>
    </row>
    <row r="5422" spans="1:3" x14ac:dyDescent="0.2">
      <c r="A5422" s="76"/>
      <c r="C5422" s="76"/>
    </row>
    <row r="5423" spans="1:3" x14ac:dyDescent="0.2">
      <c r="A5423" s="76"/>
      <c r="C5423" s="76"/>
    </row>
    <row r="5424" spans="1:3" x14ac:dyDescent="0.2">
      <c r="A5424" s="76"/>
      <c r="C5424" s="76"/>
    </row>
    <row r="5425" spans="1:3" x14ac:dyDescent="0.2">
      <c r="A5425" s="76"/>
      <c r="C5425" s="76"/>
    </row>
    <row r="5426" spans="1:3" x14ac:dyDescent="0.2">
      <c r="A5426" s="76"/>
      <c r="C5426" s="76"/>
    </row>
    <row r="5427" spans="1:3" x14ac:dyDescent="0.2">
      <c r="A5427" s="76"/>
      <c r="C5427" s="76"/>
    </row>
    <row r="5428" spans="1:3" x14ac:dyDescent="0.2">
      <c r="A5428" s="76"/>
      <c r="C5428" s="76"/>
    </row>
    <row r="5429" spans="1:3" x14ac:dyDescent="0.2">
      <c r="A5429" s="76"/>
      <c r="C5429" s="76"/>
    </row>
    <row r="5430" spans="1:3" x14ac:dyDescent="0.2">
      <c r="A5430" s="76"/>
      <c r="C5430" s="76"/>
    </row>
    <row r="5431" spans="1:3" x14ac:dyDescent="0.2">
      <c r="A5431" s="76"/>
      <c r="C5431" s="76"/>
    </row>
    <row r="5432" spans="1:3" x14ac:dyDescent="0.2">
      <c r="A5432" s="76"/>
      <c r="C5432" s="76"/>
    </row>
    <row r="5433" spans="1:3" x14ac:dyDescent="0.2">
      <c r="A5433" s="76"/>
      <c r="C5433" s="76"/>
    </row>
    <row r="5434" spans="1:3" x14ac:dyDescent="0.2">
      <c r="A5434" s="76"/>
      <c r="C5434" s="76"/>
    </row>
    <row r="5435" spans="1:3" x14ac:dyDescent="0.2">
      <c r="A5435" s="76"/>
      <c r="C5435" s="76"/>
    </row>
    <row r="5436" spans="1:3" x14ac:dyDescent="0.2">
      <c r="A5436" s="76"/>
      <c r="C5436" s="76"/>
    </row>
    <row r="5437" spans="1:3" x14ac:dyDescent="0.2">
      <c r="A5437" s="76"/>
      <c r="C5437" s="76"/>
    </row>
    <row r="5438" spans="1:3" x14ac:dyDescent="0.2">
      <c r="A5438" s="76"/>
      <c r="C5438" s="76"/>
    </row>
    <row r="5439" spans="1:3" x14ac:dyDescent="0.2">
      <c r="A5439" s="76"/>
      <c r="C5439" s="76"/>
    </row>
    <row r="5440" spans="1:3" x14ac:dyDescent="0.2">
      <c r="A5440" s="76"/>
      <c r="C5440" s="76"/>
    </row>
    <row r="5441" spans="1:3" x14ac:dyDescent="0.2">
      <c r="A5441" s="76"/>
      <c r="C5441" s="76"/>
    </row>
    <row r="5442" spans="1:3" x14ac:dyDescent="0.2">
      <c r="A5442" s="76"/>
      <c r="C5442" s="76"/>
    </row>
    <row r="5443" spans="1:3" x14ac:dyDescent="0.2">
      <c r="A5443" s="76"/>
      <c r="C5443" s="76"/>
    </row>
    <row r="5444" spans="1:3" x14ac:dyDescent="0.2">
      <c r="A5444" s="76"/>
      <c r="C5444" s="76"/>
    </row>
    <row r="5445" spans="1:3" x14ac:dyDescent="0.2">
      <c r="A5445" s="76"/>
      <c r="C5445" s="76"/>
    </row>
    <row r="5446" spans="1:3" x14ac:dyDescent="0.2">
      <c r="A5446" s="76"/>
      <c r="C5446" s="76"/>
    </row>
    <row r="5447" spans="1:3" x14ac:dyDescent="0.2">
      <c r="A5447" s="76"/>
      <c r="C5447" s="76"/>
    </row>
    <row r="5448" spans="1:3" x14ac:dyDescent="0.2">
      <c r="A5448" s="76"/>
      <c r="C5448" s="76"/>
    </row>
    <row r="5449" spans="1:3" x14ac:dyDescent="0.2">
      <c r="A5449" s="76"/>
      <c r="C5449" s="76"/>
    </row>
    <row r="5450" spans="1:3" x14ac:dyDescent="0.2">
      <c r="A5450" s="76"/>
      <c r="C5450" s="76"/>
    </row>
    <row r="5451" spans="1:3" x14ac:dyDescent="0.2">
      <c r="A5451" s="76"/>
      <c r="C5451" s="76"/>
    </row>
    <row r="5452" spans="1:3" x14ac:dyDescent="0.2">
      <c r="A5452" s="76"/>
      <c r="C5452" s="76"/>
    </row>
    <row r="5453" spans="1:3" x14ac:dyDescent="0.2">
      <c r="A5453" s="76"/>
      <c r="C5453" s="76"/>
    </row>
    <row r="5454" spans="1:3" x14ac:dyDescent="0.2">
      <c r="A5454" s="76"/>
      <c r="C5454" s="76"/>
    </row>
    <row r="5455" spans="1:3" x14ac:dyDescent="0.2">
      <c r="A5455" s="76"/>
      <c r="C5455" s="76"/>
    </row>
    <row r="5456" spans="1:3" x14ac:dyDescent="0.2">
      <c r="A5456" s="76"/>
      <c r="C5456" s="76"/>
    </row>
    <row r="5457" spans="1:3" x14ac:dyDescent="0.2">
      <c r="A5457" s="76"/>
      <c r="C5457" s="76"/>
    </row>
    <row r="5458" spans="1:3" x14ac:dyDescent="0.2">
      <c r="A5458" s="76"/>
      <c r="C5458" s="76"/>
    </row>
    <row r="5459" spans="1:3" x14ac:dyDescent="0.2">
      <c r="A5459" s="76"/>
      <c r="C5459" s="76"/>
    </row>
    <row r="5460" spans="1:3" x14ac:dyDescent="0.2">
      <c r="A5460" s="76"/>
      <c r="C5460" s="76"/>
    </row>
    <row r="5461" spans="1:3" x14ac:dyDescent="0.2">
      <c r="A5461" s="76"/>
      <c r="C5461" s="76"/>
    </row>
    <row r="5462" spans="1:3" x14ac:dyDescent="0.2">
      <c r="A5462" s="76"/>
      <c r="C5462" s="76"/>
    </row>
    <row r="5463" spans="1:3" x14ac:dyDescent="0.2">
      <c r="A5463" s="76"/>
      <c r="C5463" s="76"/>
    </row>
    <row r="5464" spans="1:3" x14ac:dyDescent="0.2">
      <c r="A5464" s="76"/>
      <c r="C5464" s="76"/>
    </row>
    <row r="5465" spans="1:3" x14ac:dyDescent="0.2">
      <c r="A5465" s="76"/>
      <c r="C5465" s="76"/>
    </row>
    <row r="5466" spans="1:3" x14ac:dyDescent="0.2">
      <c r="A5466" s="76"/>
      <c r="C5466" s="76"/>
    </row>
    <row r="5467" spans="1:3" x14ac:dyDescent="0.2">
      <c r="A5467" s="76"/>
      <c r="C5467" s="76"/>
    </row>
    <row r="5468" spans="1:3" x14ac:dyDescent="0.2">
      <c r="A5468" s="76"/>
      <c r="C5468" s="76"/>
    </row>
    <row r="5469" spans="1:3" x14ac:dyDescent="0.2">
      <c r="A5469" s="76"/>
      <c r="C5469" s="76"/>
    </row>
    <row r="5470" spans="1:3" x14ac:dyDescent="0.2">
      <c r="A5470" s="76"/>
      <c r="C5470" s="76"/>
    </row>
    <row r="5471" spans="1:3" x14ac:dyDescent="0.2">
      <c r="A5471" s="76"/>
      <c r="C5471" s="76"/>
    </row>
    <row r="5472" spans="1:3" x14ac:dyDescent="0.2">
      <c r="A5472" s="76"/>
      <c r="C5472" s="76"/>
    </row>
    <row r="5473" spans="1:3" x14ac:dyDescent="0.2">
      <c r="A5473" s="76"/>
      <c r="C5473" s="76"/>
    </row>
    <row r="5474" spans="1:3" x14ac:dyDescent="0.2">
      <c r="A5474" s="76"/>
      <c r="C5474" s="76"/>
    </row>
    <row r="5475" spans="1:3" x14ac:dyDescent="0.2">
      <c r="A5475" s="76"/>
      <c r="C5475" s="76"/>
    </row>
    <row r="5476" spans="1:3" x14ac:dyDescent="0.2">
      <c r="A5476" s="76"/>
      <c r="C5476" s="76"/>
    </row>
    <row r="5477" spans="1:3" x14ac:dyDescent="0.2">
      <c r="A5477" s="76"/>
      <c r="C5477" s="76"/>
    </row>
    <row r="5478" spans="1:3" x14ac:dyDescent="0.2">
      <c r="A5478" s="76"/>
      <c r="C5478" s="76"/>
    </row>
    <row r="5479" spans="1:3" x14ac:dyDescent="0.2">
      <c r="A5479" s="76"/>
      <c r="C5479" s="76"/>
    </row>
    <row r="5480" spans="1:3" x14ac:dyDescent="0.2">
      <c r="A5480" s="76"/>
      <c r="C5480" s="76"/>
    </row>
    <row r="5481" spans="1:3" x14ac:dyDescent="0.2">
      <c r="A5481" s="76"/>
      <c r="C5481" s="76"/>
    </row>
    <row r="5482" spans="1:3" x14ac:dyDescent="0.2">
      <c r="A5482" s="76"/>
      <c r="C5482" s="76"/>
    </row>
    <row r="5483" spans="1:3" x14ac:dyDescent="0.2">
      <c r="A5483" s="76"/>
      <c r="C5483" s="76"/>
    </row>
    <row r="5484" spans="1:3" x14ac:dyDescent="0.2">
      <c r="A5484" s="76"/>
      <c r="C5484" s="76"/>
    </row>
    <row r="5485" spans="1:3" x14ac:dyDescent="0.2">
      <c r="A5485" s="76"/>
      <c r="C5485" s="76"/>
    </row>
    <row r="5486" spans="1:3" x14ac:dyDescent="0.2">
      <c r="A5486" s="76"/>
      <c r="C5486" s="76"/>
    </row>
    <row r="5487" spans="1:3" x14ac:dyDescent="0.2">
      <c r="A5487" s="76"/>
      <c r="C5487" s="76"/>
    </row>
    <row r="5488" spans="1:3" x14ac:dyDescent="0.2">
      <c r="A5488" s="76"/>
      <c r="C5488" s="76"/>
    </row>
    <row r="5489" spans="1:3" x14ac:dyDescent="0.2">
      <c r="A5489" s="76"/>
      <c r="C5489" s="76"/>
    </row>
    <row r="5490" spans="1:3" x14ac:dyDescent="0.2">
      <c r="A5490" s="76"/>
      <c r="C5490" s="76"/>
    </row>
    <row r="5491" spans="1:3" x14ac:dyDescent="0.2">
      <c r="A5491" s="76"/>
      <c r="C5491" s="76"/>
    </row>
    <row r="5492" spans="1:3" x14ac:dyDescent="0.2">
      <c r="A5492" s="76"/>
      <c r="C5492" s="76"/>
    </row>
    <row r="5493" spans="1:3" x14ac:dyDescent="0.2">
      <c r="A5493" s="76"/>
      <c r="C5493" s="76"/>
    </row>
    <row r="5494" spans="1:3" x14ac:dyDescent="0.2">
      <c r="A5494" s="76"/>
      <c r="C5494" s="76"/>
    </row>
    <row r="5495" spans="1:3" x14ac:dyDescent="0.2">
      <c r="A5495" s="76"/>
      <c r="C5495" s="76"/>
    </row>
    <row r="5496" spans="1:3" x14ac:dyDescent="0.2">
      <c r="A5496" s="76"/>
      <c r="C5496" s="76"/>
    </row>
    <row r="5497" spans="1:3" x14ac:dyDescent="0.2">
      <c r="A5497" s="76"/>
      <c r="C5497" s="76"/>
    </row>
    <row r="5498" spans="1:3" x14ac:dyDescent="0.2">
      <c r="A5498" s="76"/>
      <c r="C5498" s="76"/>
    </row>
    <row r="5499" spans="1:3" x14ac:dyDescent="0.2">
      <c r="A5499" s="76"/>
      <c r="C5499" s="76"/>
    </row>
    <row r="5500" spans="1:3" x14ac:dyDescent="0.2">
      <c r="A5500" s="76"/>
      <c r="C5500" s="76"/>
    </row>
    <row r="5501" spans="1:3" x14ac:dyDescent="0.2">
      <c r="A5501" s="76"/>
      <c r="C5501" s="76"/>
    </row>
    <row r="5502" spans="1:3" x14ac:dyDescent="0.2">
      <c r="A5502" s="76"/>
      <c r="C5502" s="76"/>
    </row>
    <row r="5503" spans="1:3" x14ac:dyDescent="0.2">
      <c r="A5503" s="76"/>
      <c r="C5503" s="76"/>
    </row>
    <row r="5504" spans="1:3" x14ac:dyDescent="0.2">
      <c r="A5504" s="76"/>
      <c r="C5504" s="76"/>
    </row>
    <row r="5505" spans="1:3" x14ac:dyDescent="0.2">
      <c r="A5505" s="76"/>
      <c r="C5505" s="76"/>
    </row>
    <row r="5506" spans="1:3" x14ac:dyDescent="0.2">
      <c r="A5506" s="76"/>
      <c r="C5506" s="76"/>
    </row>
    <row r="5507" spans="1:3" x14ac:dyDescent="0.2">
      <c r="A5507" s="76"/>
      <c r="C5507" s="76"/>
    </row>
    <row r="5508" spans="1:3" x14ac:dyDescent="0.2">
      <c r="A5508" s="76"/>
      <c r="C5508" s="76"/>
    </row>
    <row r="5509" spans="1:3" x14ac:dyDescent="0.2">
      <c r="A5509" s="76"/>
      <c r="C5509" s="76"/>
    </row>
    <row r="5510" spans="1:3" x14ac:dyDescent="0.2">
      <c r="A5510" s="76"/>
      <c r="C5510" s="76"/>
    </row>
    <row r="5511" spans="1:3" x14ac:dyDescent="0.2">
      <c r="A5511" s="76"/>
      <c r="C5511" s="76"/>
    </row>
    <row r="5512" spans="1:3" x14ac:dyDescent="0.2">
      <c r="A5512" s="76"/>
      <c r="C5512" s="76"/>
    </row>
    <row r="5513" spans="1:3" x14ac:dyDescent="0.2">
      <c r="A5513" s="76"/>
      <c r="C5513" s="76"/>
    </row>
    <row r="5514" spans="1:3" x14ac:dyDescent="0.2">
      <c r="A5514" s="76"/>
      <c r="C5514" s="76"/>
    </row>
    <row r="5515" spans="1:3" x14ac:dyDescent="0.2">
      <c r="A5515" s="76"/>
      <c r="C5515" s="76"/>
    </row>
    <row r="5516" spans="1:3" x14ac:dyDescent="0.2">
      <c r="A5516" s="76"/>
      <c r="C5516" s="76"/>
    </row>
    <row r="5517" spans="1:3" x14ac:dyDescent="0.2">
      <c r="A5517" s="76"/>
      <c r="C5517" s="76"/>
    </row>
    <row r="5518" spans="1:3" x14ac:dyDescent="0.2">
      <c r="A5518" s="76"/>
      <c r="C5518" s="76"/>
    </row>
    <row r="5519" spans="1:3" x14ac:dyDescent="0.2">
      <c r="A5519" s="76"/>
      <c r="C5519" s="76"/>
    </row>
    <row r="5520" spans="1:3" x14ac:dyDescent="0.2">
      <c r="A5520" s="76"/>
      <c r="C5520" s="76"/>
    </row>
    <row r="5521" spans="1:3" x14ac:dyDescent="0.2">
      <c r="A5521" s="76"/>
      <c r="C5521" s="76"/>
    </row>
    <row r="5522" spans="1:3" x14ac:dyDescent="0.2">
      <c r="A5522" s="76"/>
      <c r="C5522" s="76"/>
    </row>
    <row r="5523" spans="1:3" x14ac:dyDescent="0.2">
      <c r="A5523" s="76"/>
      <c r="C5523" s="76"/>
    </row>
    <row r="5524" spans="1:3" x14ac:dyDescent="0.2">
      <c r="A5524" s="76"/>
      <c r="C5524" s="76"/>
    </row>
    <row r="5525" spans="1:3" x14ac:dyDescent="0.2">
      <c r="A5525" s="76"/>
      <c r="C5525" s="76"/>
    </row>
    <row r="5526" spans="1:3" x14ac:dyDescent="0.2">
      <c r="A5526" s="76"/>
      <c r="C5526" s="76"/>
    </row>
    <row r="5527" spans="1:3" x14ac:dyDescent="0.2">
      <c r="A5527" s="76"/>
      <c r="C5527" s="76"/>
    </row>
    <row r="5528" spans="1:3" x14ac:dyDescent="0.2">
      <c r="A5528" s="76"/>
      <c r="C5528" s="76"/>
    </row>
    <row r="5529" spans="1:3" x14ac:dyDescent="0.2">
      <c r="A5529" s="76"/>
      <c r="C5529" s="76"/>
    </row>
    <row r="5530" spans="1:3" x14ac:dyDescent="0.2">
      <c r="A5530" s="76"/>
      <c r="C5530" s="76"/>
    </row>
    <row r="5531" spans="1:3" x14ac:dyDescent="0.2">
      <c r="A5531" s="76"/>
      <c r="C5531" s="76"/>
    </row>
    <row r="5532" spans="1:3" x14ac:dyDescent="0.2">
      <c r="A5532" s="76"/>
      <c r="C5532" s="76"/>
    </row>
    <row r="5533" spans="1:3" x14ac:dyDescent="0.2">
      <c r="A5533" s="76"/>
      <c r="C5533" s="76"/>
    </row>
    <row r="5534" spans="1:3" x14ac:dyDescent="0.2">
      <c r="A5534" s="76"/>
      <c r="C5534" s="76"/>
    </row>
    <row r="5535" spans="1:3" x14ac:dyDescent="0.2">
      <c r="A5535" s="76"/>
      <c r="C5535" s="76"/>
    </row>
    <row r="5536" spans="1:3" x14ac:dyDescent="0.2">
      <c r="A5536" s="76"/>
      <c r="C5536" s="76"/>
    </row>
    <row r="5537" spans="1:3" x14ac:dyDescent="0.2">
      <c r="A5537" s="76"/>
      <c r="C5537" s="76"/>
    </row>
    <row r="5538" spans="1:3" x14ac:dyDescent="0.2">
      <c r="A5538" s="76"/>
      <c r="C5538" s="76"/>
    </row>
    <row r="5539" spans="1:3" x14ac:dyDescent="0.2">
      <c r="A5539" s="76"/>
      <c r="C5539" s="76"/>
    </row>
    <row r="5540" spans="1:3" x14ac:dyDescent="0.2">
      <c r="A5540" s="76"/>
      <c r="C5540" s="76"/>
    </row>
    <row r="5541" spans="1:3" x14ac:dyDescent="0.2">
      <c r="A5541" s="76"/>
      <c r="C5541" s="76"/>
    </row>
    <row r="5542" spans="1:3" x14ac:dyDescent="0.2">
      <c r="A5542" s="76"/>
      <c r="C5542" s="76"/>
    </row>
    <row r="5543" spans="1:3" x14ac:dyDescent="0.2">
      <c r="A5543" s="76"/>
      <c r="C5543" s="76"/>
    </row>
    <row r="5544" spans="1:3" x14ac:dyDescent="0.2">
      <c r="A5544" s="76"/>
      <c r="C5544" s="76"/>
    </row>
    <row r="5545" spans="1:3" x14ac:dyDescent="0.2">
      <c r="A5545" s="76"/>
      <c r="C5545" s="76"/>
    </row>
    <row r="5546" spans="1:3" x14ac:dyDescent="0.2">
      <c r="A5546" s="76"/>
      <c r="C5546" s="76"/>
    </row>
    <row r="5547" spans="1:3" x14ac:dyDescent="0.2">
      <c r="A5547" s="76"/>
      <c r="C5547" s="76"/>
    </row>
    <row r="5548" spans="1:3" x14ac:dyDescent="0.2">
      <c r="A5548" s="76"/>
      <c r="C5548" s="76"/>
    </row>
    <row r="5549" spans="1:3" x14ac:dyDescent="0.2">
      <c r="A5549" s="76"/>
      <c r="C5549" s="76"/>
    </row>
    <row r="5550" spans="1:3" x14ac:dyDescent="0.2">
      <c r="A5550" s="76"/>
      <c r="C5550" s="76"/>
    </row>
    <row r="5551" spans="1:3" x14ac:dyDescent="0.2">
      <c r="A5551" s="76"/>
      <c r="C5551" s="76"/>
    </row>
    <row r="5552" spans="1:3" x14ac:dyDescent="0.2">
      <c r="A5552" s="76"/>
      <c r="C5552" s="76"/>
    </row>
    <row r="5553" spans="1:3" x14ac:dyDescent="0.2">
      <c r="A5553" s="76"/>
      <c r="C5553" s="76"/>
    </row>
    <row r="5554" spans="1:3" x14ac:dyDescent="0.2">
      <c r="A5554" s="76"/>
      <c r="C5554" s="76"/>
    </row>
    <row r="5555" spans="1:3" x14ac:dyDescent="0.2">
      <c r="A5555" s="76"/>
      <c r="C5555" s="76"/>
    </row>
    <row r="5556" spans="1:3" x14ac:dyDescent="0.2">
      <c r="A5556" s="76"/>
      <c r="C5556" s="76"/>
    </row>
    <row r="5557" spans="1:3" x14ac:dyDescent="0.2">
      <c r="A5557" s="76"/>
      <c r="C5557" s="76"/>
    </row>
    <row r="5558" spans="1:3" x14ac:dyDescent="0.2">
      <c r="A5558" s="76"/>
      <c r="C5558" s="76"/>
    </row>
    <row r="5559" spans="1:3" x14ac:dyDescent="0.2">
      <c r="A5559" s="76"/>
      <c r="C5559" s="76"/>
    </row>
    <row r="5560" spans="1:3" x14ac:dyDescent="0.2">
      <c r="A5560" s="76"/>
      <c r="C5560" s="76"/>
    </row>
    <row r="5561" spans="1:3" x14ac:dyDescent="0.2">
      <c r="A5561" s="76"/>
      <c r="C5561" s="76"/>
    </row>
    <row r="5562" spans="1:3" x14ac:dyDescent="0.2">
      <c r="A5562" s="76"/>
      <c r="C5562" s="76"/>
    </row>
    <row r="5563" spans="1:3" x14ac:dyDescent="0.2">
      <c r="A5563" s="76"/>
      <c r="C5563" s="76"/>
    </row>
    <row r="5564" spans="1:3" x14ac:dyDescent="0.2">
      <c r="A5564" s="76"/>
      <c r="C5564" s="76"/>
    </row>
    <row r="5565" spans="1:3" x14ac:dyDescent="0.2">
      <c r="A5565" s="76"/>
      <c r="C5565" s="76"/>
    </row>
    <row r="5566" spans="1:3" x14ac:dyDescent="0.2">
      <c r="A5566" s="76"/>
      <c r="C5566" s="76"/>
    </row>
    <row r="5567" spans="1:3" x14ac:dyDescent="0.2">
      <c r="A5567" s="76"/>
      <c r="C5567" s="76"/>
    </row>
    <row r="5568" spans="1:3" x14ac:dyDescent="0.2">
      <c r="A5568" s="76"/>
      <c r="C5568" s="76"/>
    </row>
    <row r="5569" spans="1:3" x14ac:dyDescent="0.2">
      <c r="A5569" s="76"/>
      <c r="C5569" s="76"/>
    </row>
    <row r="5570" spans="1:3" x14ac:dyDescent="0.2">
      <c r="A5570" s="76"/>
      <c r="C5570" s="76"/>
    </row>
    <row r="5571" spans="1:3" x14ac:dyDescent="0.2">
      <c r="A5571" s="76"/>
      <c r="C5571" s="76"/>
    </row>
    <row r="5572" spans="1:3" x14ac:dyDescent="0.2">
      <c r="A5572" s="76"/>
      <c r="C5572" s="76"/>
    </row>
    <row r="5573" spans="1:3" x14ac:dyDescent="0.2">
      <c r="A5573" s="76"/>
      <c r="C5573" s="76"/>
    </row>
    <row r="5574" spans="1:3" x14ac:dyDescent="0.2">
      <c r="A5574" s="76"/>
      <c r="C5574" s="76"/>
    </row>
    <row r="5575" spans="1:3" x14ac:dyDescent="0.2">
      <c r="A5575" s="76"/>
      <c r="C5575" s="76"/>
    </row>
    <row r="5576" spans="1:3" x14ac:dyDescent="0.2">
      <c r="A5576" s="76"/>
      <c r="C5576" s="76"/>
    </row>
    <row r="5577" spans="1:3" x14ac:dyDescent="0.2">
      <c r="A5577" s="76"/>
      <c r="C5577" s="76"/>
    </row>
    <row r="5578" spans="1:3" x14ac:dyDescent="0.2">
      <c r="A5578" s="76"/>
      <c r="C5578" s="76"/>
    </row>
    <row r="5579" spans="1:3" x14ac:dyDescent="0.2">
      <c r="A5579" s="76"/>
      <c r="C5579" s="76"/>
    </row>
    <row r="5580" spans="1:3" x14ac:dyDescent="0.2">
      <c r="A5580" s="76"/>
      <c r="C5580" s="76"/>
    </row>
    <row r="5581" spans="1:3" x14ac:dyDescent="0.2">
      <c r="A5581" s="76"/>
      <c r="C5581" s="76"/>
    </row>
    <row r="5582" spans="1:3" x14ac:dyDescent="0.2">
      <c r="A5582" s="76"/>
      <c r="C5582" s="76"/>
    </row>
    <row r="5583" spans="1:3" x14ac:dyDescent="0.2">
      <c r="A5583" s="76"/>
      <c r="C5583" s="76"/>
    </row>
    <row r="5584" spans="1:3" x14ac:dyDescent="0.2">
      <c r="A5584" s="76"/>
      <c r="C5584" s="76"/>
    </row>
    <row r="5585" spans="1:3" x14ac:dyDescent="0.2">
      <c r="A5585" s="76"/>
      <c r="C5585" s="76"/>
    </row>
    <row r="5586" spans="1:3" x14ac:dyDescent="0.2">
      <c r="A5586" s="76"/>
      <c r="C5586" s="76"/>
    </row>
    <row r="5587" spans="1:3" x14ac:dyDescent="0.2">
      <c r="A5587" s="76"/>
      <c r="C5587" s="76"/>
    </row>
    <row r="5588" spans="1:3" x14ac:dyDescent="0.2">
      <c r="A5588" s="76"/>
      <c r="C5588" s="76"/>
    </row>
    <row r="5589" spans="1:3" x14ac:dyDescent="0.2">
      <c r="A5589" s="76"/>
      <c r="C5589" s="76"/>
    </row>
    <row r="5590" spans="1:3" x14ac:dyDescent="0.2">
      <c r="A5590" s="76"/>
      <c r="C5590" s="76"/>
    </row>
    <row r="5591" spans="1:3" x14ac:dyDescent="0.2">
      <c r="A5591" s="76"/>
      <c r="C5591" s="76"/>
    </row>
    <row r="5592" spans="1:3" x14ac:dyDescent="0.2">
      <c r="A5592" s="76"/>
      <c r="C5592" s="76"/>
    </row>
    <row r="5593" spans="1:3" x14ac:dyDescent="0.2">
      <c r="A5593" s="76"/>
      <c r="C5593" s="76"/>
    </row>
    <row r="5594" spans="1:3" x14ac:dyDescent="0.2">
      <c r="A5594" s="76"/>
      <c r="C5594" s="76"/>
    </row>
    <row r="5595" spans="1:3" x14ac:dyDescent="0.2">
      <c r="A5595" s="76"/>
      <c r="C5595" s="76"/>
    </row>
    <row r="5596" spans="1:3" x14ac:dyDescent="0.2">
      <c r="A5596" s="76"/>
      <c r="C5596" s="76"/>
    </row>
    <row r="5597" spans="1:3" x14ac:dyDescent="0.2">
      <c r="A5597" s="76"/>
      <c r="C5597" s="76"/>
    </row>
    <row r="5598" spans="1:3" x14ac:dyDescent="0.2">
      <c r="A5598" s="76"/>
      <c r="C5598" s="76"/>
    </row>
    <row r="5599" spans="1:3" x14ac:dyDescent="0.2">
      <c r="A5599" s="76"/>
      <c r="C5599" s="76"/>
    </row>
    <row r="5600" spans="1:3" x14ac:dyDescent="0.2">
      <c r="A5600" s="76"/>
      <c r="C5600" s="76"/>
    </row>
    <row r="5601" spans="1:3" x14ac:dyDescent="0.2">
      <c r="A5601" s="76"/>
      <c r="C5601" s="76"/>
    </row>
    <row r="5602" spans="1:3" x14ac:dyDescent="0.2">
      <c r="A5602" s="76"/>
      <c r="C5602" s="76"/>
    </row>
    <row r="5603" spans="1:3" x14ac:dyDescent="0.2">
      <c r="A5603" s="76"/>
      <c r="C5603" s="76"/>
    </row>
    <row r="5604" spans="1:3" x14ac:dyDescent="0.2">
      <c r="A5604" s="76"/>
      <c r="C5604" s="76"/>
    </row>
    <row r="5605" spans="1:3" x14ac:dyDescent="0.2">
      <c r="A5605" s="76"/>
      <c r="C5605" s="76"/>
    </row>
    <row r="5606" spans="1:3" x14ac:dyDescent="0.2">
      <c r="A5606" s="76"/>
      <c r="C5606" s="76"/>
    </row>
    <row r="5607" spans="1:3" x14ac:dyDescent="0.2">
      <c r="A5607" s="76"/>
      <c r="C5607" s="76"/>
    </row>
    <row r="5608" spans="1:3" x14ac:dyDescent="0.2">
      <c r="A5608" s="76"/>
      <c r="C5608" s="76"/>
    </row>
    <row r="5609" spans="1:3" x14ac:dyDescent="0.2">
      <c r="A5609" s="76"/>
      <c r="C5609" s="76"/>
    </row>
    <row r="5610" spans="1:3" x14ac:dyDescent="0.2">
      <c r="A5610" s="76"/>
      <c r="C5610" s="76"/>
    </row>
    <row r="5611" spans="1:3" x14ac:dyDescent="0.2">
      <c r="A5611" s="76"/>
      <c r="C5611" s="76"/>
    </row>
    <row r="5612" spans="1:3" x14ac:dyDescent="0.2">
      <c r="A5612" s="76"/>
      <c r="C5612" s="76"/>
    </row>
    <row r="5613" spans="1:3" x14ac:dyDescent="0.2">
      <c r="A5613" s="76"/>
      <c r="C5613" s="76"/>
    </row>
    <row r="5614" spans="1:3" x14ac:dyDescent="0.2">
      <c r="A5614" s="76"/>
      <c r="C5614" s="76"/>
    </row>
    <row r="5615" spans="1:3" x14ac:dyDescent="0.2">
      <c r="A5615" s="76"/>
      <c r="C5615" s="76"/>
    </row>
    <row r="5616" spans="1:3" x14ac:dyDescent="0.2">
      <c r="A5616" s="76"/>
      <c r="C5616" s="76"/>
    </row>
    <row r="5617" spans="1:3" x14ac:dyDescent="0.2">
      <c r="A5617" s="76"/>
      <c r="C5617" s="76"/>
    </row>
    <row r="5618" spans="1:3" x14ac:dyDescent="0.2">
      <c r="A5618" s="76"/>
      <c r="C5618" s="76"/>
    </row>
    <row r="5619" spans="1:3" x14ac:dyDescent="0.2">
      <c r="A5619" s="76"/>
      <c r="C5619" s="76"/>
    </row>
    <row r="5620" spans="1:3" x14ac:dyDescent="0.2">
      <c r="A5620" s="76"/>
      <c r="C5620" s="76"/>
    </row>
    <row r="5621" spans="1:3" x14ac:dyDescent="0.2">
      <c r="A5621" s="76"/>
      <c r="C5621" s="76"/>
    </row>
    <row r="5622" spans="1:3" x14ac:dyDescent="0.2">
      <c r="A5622" s="76"/>
      <c r="C5622" s="76"/>
    </row>
    <row r="5623" spans="1:3" x14ac:dyDescent="0.2">
      <c r="A5623" s="76"/>
      <c r="C5623" s="76"/>
    </row>
    <row r="5624" spans="1:3" x14ac:dyDescent="0.2">
      <c r="A5624" s="76"/>
      <c r="C5624" s="76"/>
    </row>
    <row r="5625" spans="1:3" x14ac:dyDescent="0.2">
      <c r="A5625" s="76"/>
      <c r="C5625" s="76"/>
    </row>
    <row r="5626" spans="1:3" x14ac:dyDescent="0.2">
      <c r="A5626" s="76"/>
      <c r="C5626" s="76"/>
    </row>
    <row r="5627" spans="1:3" x14ac:dyDescent="0.2">
      <c r="A5627" s="76"/>
      <c r="C5627" s="76"/>
    </row>
    <row r="5628" spans="1:3" x14ac:dyDescent="0.2">
      <c r="A5628" s="76"/>
      <c r="C5628" s="76"/>
    </row>
    <row r="5629" spans="1:3" x14ac:dyDescent="0.2">
      <c r="A5629" s="76"/>
      <c r="C5629" s="76"/>
    </row>
    <row r="5630" spans="1:3" x14ac:dyDescent="0.2">
      <c r="A5630" s="76"/>
      <c r="C5630" s="76"/>
    </row>
    <row r="5631" spans="1:3" x14ac:dyDescent="0.2">
      <c r="A5631" s="76"/>
      <c r="C5631" s="76"/>
    </row>
    <row r="5632" spans="1:3" x14ac:dyDescent="0.2">
      <c r="A5632" s="76"/>
      <c r="C5632" s="76"/>
    </row>
    <row r="5633" spans="1:3" x14ac:dyDescent="0.2">
      <c r="A5633" s="76"/>
      <c r="C5633" s="76"/>
    </row>
    <row r="5634" spans="1:3" x14ac:dyDescent="0.2">
      <c r="A5634" s="76"/>
      <c r="C5634" s="76"/>
    </row>
    <row r="5635" spans="1:3" x14ac:dyDescent="0.2">
      <c r="A5635" s="76"/>
      <c r="C5635" s="76"/>
    </row>
    <row r="5636" spans="1:3" x14ac:dyDescent="0.2">
      <c r="A5636" s="76"/>
      <c r="C5636" s="76"/>
    </row>
    <row r="5637" spans="1:3" x14ac:dyDescent="0.2">
      <c r="A5637" s="76"/>
      <c r="C5637" s="76"/>
    </row>
    <row r="5638" spans="1:3" x14ac:dyDescent="0.2">
      <c r="A5638" s="76"/>
      <c r="C5638" s="76"/>
    </row>
    <row r="5639" spans="1:3" x14ac:dyDescent="0.2">
      <c r="A5639" s="76"/>
      <c r="C5639" s="76"/>
    </row>
    <row r="5640" spans="1:3" x14ac:dyDescent="0.2">
      <c r="A5640" s="76"/>
      <c r="C5640" s="76"/>
    </row>
    <row r="5641" spans="1:3" x14ac:dyDescent="0.2">
      <c r="A5641" s="76"/>
      <c r="C5641" s="76"/>
    </row>
    <row r="5642" spans="1:3" x14ac:dyDescent="0.2">
      <c r="A5642" s="76"/>
      <c r="C5642" s="76"/>
    </row>
    <row r="5643" spans="1:3" x14ac:dyDescent="0.2">
      <c r="A5643" s="76"/>
      <c r="C5643" s="76"/>
    </row>
    <row r="5644" spans="1:3" x14ac:dyDescent="0.2">
      <c r="A5644" s="76"/>
      <c r="C5644" s="76"/>
    </row>
    <row r="5645" spans="1:3" x14ac:dyDescent="0.2">
      <c r="A5645" s="76"/>
      <c r="C5645" s="76"/>
    </row>
    <row r="5646" spans="1:3" x14ac:dyDescent="0.2">
      <c r="A5646" s="76"/>
      <c r="C5646" s="76"/>
    </row>
    <row r="5647" spans="1:3" x14ac:dyDescent="0.2">
      <c r="A5647" s="76"/>
      <c r="C5647" s="76"/>
    </row>
    <row r="5648" spans="1:3" x14ac:dyDescent="0.2">
      <c r="A5648" s="76"/>
      <c r="C5648" s="76"/>
    </row>
    <row r="5649" spans="1:3" x14ac:dyDescent="0.2">
      <c r="A5649" s="76"/>
      <c r="C5649" s="76"/>
    </row>
    <row r="5650" spans="1:3" x14ac:dyDescent="0.2">
      <c r="A5650" s="76"/>
      <c r="C5650" s="76"/>
    </row>
    <row r="5651" spans="1:3" x14ac:dyDescent="0.2">
      <c r="A5651" s="76"/>
      <c r="C5651" s="76"/>
    </row>
    <row r="5652" spans="1:3" x14ac:dyDescent="0.2">
      <c r="A5652" s="76"/>
      <c r="C5652" s="76"/>
    </row>
    <row r="5653" spans="1:3" x14ac:dyDescent="0.2">
      <c r="A5653" s="76"/>
      <c r="C5653" s="76"/>
    </row>
    <row r="5654" spans="1:3" x14ac:dyDescent="0.2">
      <c r="A5654" s="76"/>
      <c r="C5654" s="76"/>
    </row>
    <row r="5655" spans="1:3" x14ac:dyDescent="0.2">
      <c r="A5655" s="76"/>
      <c r="C5655" s="76"/>
    </row>
    <row r="5656" spans="1:3" x14ac:dyDescent="0.2">
      <c r="A5656" s="76"/>
      <c r="C5656" s="76"/>
    </row>
    <row r="5657" spans="1:3" x14ac:dyDescent="0.2">
      <c r="A5657" s="76"/>
      <c r="C5657" s="76"/>
    </row>
    <row r="5658" spans="1:3" x14ac:dyDescent="0.2">
      <c r="A5658" s="76"/>
      <c r="C5658" s="76"/>
    </row>
    <row r="5659" spans="1:3" x14ac:dyDescent="0.2">
      <c r="A5659" s="76"/>
      <c r="C5659" s="76"/>
    </row>
    <row r="5660" spans="1:3" x14ac:dyDescent="0.2">
      <c r="A5660" s="76"/>
      <c r="C5660" s="76"/>
    </row>
    <row r="5661" spans="1:3" x14ac:dyDescent="0.2">
      <c r="A5661" s="76"/>
      <c r="C5661" s="76"/>
    </row>
    <row r="5662" spans="1:3" x14ac:dyDescent="0.2">
      <c r="A5662" s="76"/>
      <c r="C5662" s="76"/>
    </row>
    <row r="5663" spans="1:3" x14ac:dyDescent="0.2">
      <c r="A5663" s="76"/>
      <c r="C5663" s="76"/>
    </row>
    <row r="5664" spans="1:3" x14ac:dyDescent="0.2">
      <c r="A5664" s="76"/>
      <c r="C5664" s="76"/>
    </row>
    <row r="5665" spans="1:3" x14ac:dyDescent="0.2">
      <c r="A5665" s="76"/>
      <c r="C5665" s="76"/>
    </row>
    <row r="5666" spans="1:3" x14ac:dyDescent="0.2">
      <c r="A5666" s="76"/>
      <c r="C5666" s="76"/>
    </row>
    <row r="5667" spans="1:3" x14ac:dyDescent="0.2">
      <c r="A5667" s="76"/>
      <c r="C5667" s="76"/>
    </row>
    <row r="5668" spans="1:3" x14ac:dyDescent="0.2">
      <c r="A5668" s="76"/>
      <c r="C5668" s="76"/>
    </row>
    <row r="5669" spans="1:3" x14ac:dyDescent="0.2">
      <c r="A5669" s="76"/>
      <c r="C5669" s="76"/>
    </row>
    <row r="5670" spans="1:3" x14ac:dyDescent="0.2">
      <c r="A5670" s="76"/>
      <c r="C5670" s="76"/>
    </row>
    <row r="5671" spans="1:3" x14ac:dyDescent="0.2">
      <c r="A5671" s="76"/>
      <c r="C5671" s="76"/>
    </row>
    <row r="5672" spans="1:3" x14ac:dyDescent="0.2">
      <c r="A5672" s="76"/>
      <c r="C5672" s="76"/>
    </row>
    <row r="5673" spans="1:3" x14ac:dyDescent="0.2">
      <c r="A5673" s="76"/>
      <c r="C5673" s="76"/>
    </row>
    <row r="5674" spans="1:3" x14ac:dyDescent="0.2">
      <c r="A5674" s="76"/>
      <c r="C5674" s="76"/>
    </row>
    <row r="5675" spans="1:3" x14ac:dyDescent="0.2">
      <c r="A5675" s="76"/>
      <c r="C5675" s="76"/>
    </row>
    <row r="5676" spans="1:3" x14ac:dyDescent="0.2">
      <c r="A5676" s="76"/>
      <c r="C5676" s="76"/>
    </row>
    <row r="5677" spans="1:3" x14ac:dyDescent="0.2">
      <c r="A5677" s="76"/>
      <c r="C5677" s="76"/>
    </row>
    <row r="5678" spans="1:3" x14ac:dyDescent="0.2">
      <c r="A5678" s="76"/>
      <c r="C5678" s="76"/>
    </row>
    <row r="5679" spans="1:3" x14ac:dyDescent="0.2">
      <c r="A5679" s="76"/>
      <c r="C5679" s="76"/>
    </row>
    <row r="5680" spans="1:3" x14ac:dyDescent="0.2">
      <c r="A5680" s="76"/>
      <c r="C5680" s="76"/>
    </row>
    <row r="5681" spans="1:3" x14ac:dyDescent="0.2">
      <c r="A5681" s="76"/>
      <c r="C5681" s="76"/>
    </row>
    <row r="5682" spans="1:3" x14ac:dyDescent="0.2">
      <c r="A5682" s="76"/>
      <c r="C5682" s="76"/>
    </row>
    <row r="5683" spans="1:3" x14ac:dyDescent="0.2">
      <c r="A5683" s="76"/>
      <c r="C5683" s="76"/>
    </row>
    <row r="5684" spans="1:3" x14ac:dyDescent="0.2">
      <c r="A5684" s="76"/>
      <c r="C5684" s="76"/>
    </row>
    <row r="5685" spans="1:3" x14ac:dyDescent="0.2">
      <c r="A5685" s="76"/>
      <c r="C5685" s="76"/>
    </row>
    <row r="5686" spans="1:3" x14ac:dyDescent="0.2">
      <c r="A5686" s="76"/>
      <c r="C5686" s="76"/>
    </row>
    <row r="5687" spans="1:3" x14ac:dyDescent="0.2">
      <c r="A5687" s="76"/>
      <c r="C5687" s="76"/>
    </row>
    <row r="5688" spans="1:3" x14ac:dyDescent="0.2">
      <c r="A5688" s="76"/>
      <c r="C5688" s="76"/>
    </row>
    <row r="5689" spans="1:3" x14ac:dyDescent="0.2">
      <c r="A5689" s="76"/>
      <c r="C5689" s="76"/>
    </row>
    <row r="5690" spans="1:3" x14ac:dyDescent="0.2">
      <c r="A5690" s="76"/>
      <c r="C5690" s="76"/>
    </row>
    <row r="5691" spans="1:3" x14ac:dyDescent="0.2">
      <c r="A5691" s="76"/>
      <c r="C5691" s="76"/>
    </row>
    <row r="5692" spans="1:3" x14ac:dyDescent="0.2">
      <c r="A5692" s="76"/>
      <c r="C5692" s="76"/>
    </row>
    <row r="5693" spans="1:3" x14ac:dyDescent="0.2">
      <c r="A5693" s="76"/>
      <c r="C5693" s="76"/>
    </row>
    <row r="5694" spans="1:3" x14ac:dyDescent="0.2">
      <c r="A5694" s="76"/>
      <c r="C5694" s="76"/>
    </row>
    <row r="5695" spans="1:3" x14ac:dyDescent="0.2">
      <c r="A5695" s="76"/>
      <c r="C5695" s="76"/>
    </row>
    <row r="5696" spans="1:3" x14ac:dyDescent="0.2">
      <c r="A5696" s="76"/>
      <c r="C5696" s="76"/>
    </row>
    <row r="5697" spans="1:3" x14ac:dyDescent="0.2">
      <c r="A5697" s="76"/>
      <c r="C5697" s="76"/>
    </row>
    <row r="5698" spans="1:3" x14ac:dyDescent="0.2">
      <c r="A5698" s="76"/>
      <c r="C5698" s="76"/>
    </row>
    <row r="5699" spans="1:3" x14ac:dyDescent="0.2">
      <c r="A5699" s="76"/>
      <c r="C5699" s="76"/>
    </row>
    <row r="5700" spans="1:3" x14ac:dyDescent="0.2">
      <c r="A5700" s="76"/>
      <c r="C5700" s="76"/>
    </row>
    <row r="5701" spans="1:3" x14ac:dyDescent="0.2">
      <c r="A5701" s="76"/>
      <c r="C5701" s="76"/>
    </row>
    <row r="5702" spans="1:3" x14ac:dyDescent="0.2">
      <c r="A5702" s="76"/>
      <c r="C5702" s="76"/>
    </row>
    <row r="5703" spans="1:3" x14ac:dyDescent="0.2">
      <c r="A5703" s="76"/>
      <c r="C5703" s="76"/>
    </row>
    <row r="5704" spans="1:3" x14ac:dyDescent="0.2">
      <c r="A5704" s="76"/>
      <c r="C5704" s="76"/>
    </row>
    <row r="5705" spans="1:3" x14ac:dyDescent="0.2">
      <c r="A5705" s="76"/>
      <c r="C5705" s="76"/>
    </row>
    <row r="5706" spans="1:3" x14ac:dyDescent="0.2">
      <c r="A5706" s="76"/>
      <c r="C5706" s="76"/>
    </row>
    <row r="5707" spans="1:3" x14ac:dyDescent="0.2">
      <c r="A5707" s="76"/>
      <c r="C5707" s="76"/>
    </row>
    <row r="5708" spans="1:3" x14ac:dyDescent="0.2">
      <c r="A5708" s="76"/>
      <c r="C5708" s="76"/>
    </row>
    <row r="5709" spans="1:3" x14ac:dyDescent="0.2">
      <c r="A5709" s="76"/>
      <c r="C5709" s="76"/>
    </row>
    <row r="5710" spans="1:3" x14ac:dyDescent="0.2">
      <c r="A5710" s="76"/>
      <c r="C5710" s="76"/>
    </row>
    <row r="5711" spans="1:3" x14ac:dyDescent="0.2">
      <c r="A5711" s="76"/>
      <c r="C5711" s="76"/>
    </row>
    <row r="5712" spans="1:3" x14ac:dyDescent="0.2">
      <c r="A5712" s="76"/>
      <c r="C5712" s="76"/>
    </row>
    <row r="5713" spans="1:3" x14ac:dyDescent="0.2">
      <c r="A5713" s="76"/>
      <c r="C5713" s="76"/>
    </row>
    <row r="5714" spans="1:3" x14ac:dyDescent="0.2">
      <c r="A5714" s="76"/>
      <c r="C5714" s="76"/>
    </row>
    <row r="5715" spans="1:3" x14ac:dyDescent="0.2">
      <c r="A5715" s="76"/>
      <c r="C5715" s="76"/>
    </row>
    <row r="5716" spans="1:3" x14ac:dyDescent="0.2">
      <c r="A5716" s="76"/>
      <c r="C5716" s="76"/>
    </row>
    <row r="5717" spans="1:3" x14ac:dyDescent="0.2">
      <c r="A5717" s="76"/>
      <c r="C5717" s="76"/>
    </row>
    <row r="5718" spans="1:3" x14ac:dyDescent="0.2">
      <c r="A5718" s="76"/>
      <c r="C5718" s="76"/>
    </row>
    <row r="5719" spans="1:3" x14ac:dyDescent="0.2">
      <c r="A5719" s="76"/>
      <c r="C5719" s="76"/>
    </row>
    <row r="5720" spans="1:3" x14ac:dyDescent="0.2">
      <c r="A5720" s="76"/>
      <c r="C5720" s="76"/>
    </row>
    <row r="5721" spans="1:3" x14ac:dyDescent="0.2">
      <c r="A5721" s="76"/>
      <c r="C5721" s="76"/>
    </row>
    <row r="5722" spans="1:3" x14ac:dyDescent="0.2">
      <c r="A5722" s="76"/>
      <c r="C5722" s="76"/>
    </row>
    <row r="5723" spans="1:3" x14ac:dyDescent="0.2">
      <c r="A5723" s="76"/>
      <c r="C5723" s="76"/>
    </row>
    <row r="5724" spans="1:3" x14ac:dyDescent="0.2">
      <c r="A5724" s="76"/>
      <c r="C5724" s="76"/>
    </row>
    <row r="5725" spans="1:3" x14ac:dyDescent="0.2">
      <c r="A5725" s="76"/>
      <c r="C5725" s="76"/>
    </row>
    <row r="5726" spans="1:3" x14ac:dyDescent="0.2">
      <c r="A5726" s="76"/>
      <c r="C5726" s="76"/>
    </row>
    <row r="5727" spans="1:3" x14ac:dyDescent="0.2">
      <c r="A5727" s="76"/>
      <c r="C5727" s="76"/>
    </row>
    <row r="5728" spans="1:3" x14ac:dyDescent="0.2">
      <c r="A5728" s="76"/>
      <c r="C5728" s="76"/>
    </row>
    <row r="5729" spans="1:3" x14ac:dyDescent="0.2">
      <c r="A5729" s="76"/>
      <c r="C5729" s="76"/>
    </row>
    <row r="5730" spans="1:3" x14ac:dyDescent="0.2">
      <c r="A5730" s="76"/>
      <c r="C5730" s="76"/>
    </row>
    <row r="5731" spans="1:3" x14ac:dyDescent="0.2">
      <c r="A5731" s="76"/>
      <c r="C5731" s="76"/>
    </row>
    <row r="5732" spans="1:3" x14ac:dyDescent="0.2">
      <c r="A5732" s="76"/>
      <c r="C5732" s="76"/>
    </row>
    <row r="5733" spans="1:3" x14ac:dyDescent="0.2">
      <c r="A5733" s="76"/>
      <c r="C5733" s="76"/>
    </row>
    <row r="5734" spans="1:3" x14ac:dyDescent="0.2">
      <c r="A5734" s="76"/>
      <c r="C5734" s="76"/>
    </row>
    <row r="5735" spans="1:3" x14ac:dyDescent="0.2">
      <c r="A5735" s="76"/>
      <c r="C5735" s="76"/>
    </row>
    <row r="5736" spans="1:3" x14ac:dyDescent="0.2">
      <c r="A5736" s="76"/>
      <c r="C5736" s="76"/>
    </row>
    <row r="5737" spans="1:3" x14ac:dyDescent="0.2">
      <c r="A5737" s="76"/>
      <c r="C5737" s="76"/>
    </row>
    <row r="5738" spans="1:3" x14ac:dyDescent="0.2">
      <c r="A5738" s="76"/>
      <c r="C5738" s="76"/>
    </row>
    <row r="5739" spans="1:3" x14ac:dyDescent="0.2">
      <c r="A5739" s="76"/>
      <c r="C5739" s="76"/>
    </row>
    <row r="5740" spans="1:3" x14ac:dyDescent="0.2">
      <c r="A5740" s="76"/>
      <c r="C5740" s="76"/>
    </row>
    <row r="5741" spans="1:3" x14ac:dyDescent="0.2">
      <c r="A5741" s="76"/>
      <c r="C5741" s="76"/>
    </row>
    <row r="5742" spans="1:3" x14ac:dyDescent="0.2">
      <c r="A5742" s="76"/>
      <c r="C5742" s="76"/>
    </row>
    <row r="5743" spans="1:3" x14ac:dyDescent="0.2">
      <c r="A5743" s="76"/>
      <c r="C5743" s="76"/>
    </row>
    <row r="5744" spans="1:3" x14ac:dyDescent="0.2">
      <c r="A5744" s="76"/>
      <c r="C5744" s="76"/>
    </row>
    <row r="5745" spans="1:3" x14ac:dyDescent="0.2">
      <c r="A5745" s="76"/>
      <c r="C5745" s="76"/>
    </row>
    <row r="5746" spans="1:3" x14ac:dyDescent="0.2">
      <c r="A5746" s="76"/>
      <c r="C5746" s="76"/>
    </row>
    <row r="5747" spans="1:3" x14ac:dyDescent="0.2">
      <c r="A5747" s="76"/>
      <c r="C5747" s="76"/>
    </row>
    <row r="5748" spans="1:3" x14ac:dyDescent="0.2">
      <c r="A5748" s="76"/>
      <c r="C5748" s="76"/>
    </row>
    <row r="5749" spans="1:3" x14ac:dyDescent="0.2">
      <c r="A5749" s="76"/>
      <c r="C5749" s="76"/>
    </row>
    <row r="5750" spans="1:3" x14ac:dyDescent="0.2">
      <c r="A5750" s="76"/>
      <c r="C5750" s="76"/>
    </row>
    <row r="5751" spans="1:3" x14ac:dyDescent="0.2">
      <c r="A5751" s="76"/>
      <c r="C5751" s="76"/>
    </row>
    <row r="5752" spans="1:3" x14ac:dyDescent="0.2">
      <c r="A5752" s="76"/>
      <c r="C5752" s="76"/>
    </row>
    <row r="5753" spans="1:3" x14ac:dyDescent="0.2">
      <c r="A5753" s="76"/>
      <c r="C5753" s="76"/>
    </row>
    <row r="5754" spans="1:3" x14ac:dyDescent="0.2">
      <c r="A5754" s="76"/>
      <c r="C5754" s="76"/>
    </row>
    <row r="5755" spans="1:3" x14ac:dyDescent="0.2">
      <c r="A5755" s="76"/>
      <c r="C5755" s="76"/>
    </row>
    <row r="5756" spans="1:3" x14ac:dyDescent="0.2">
      <c r="A5756" s="76"/>
      <c r="C5756" s="76"/>
    </row>
    <row r="5757" spans="1:3" x14ac:dyDescent="0.2">
      <c r="A5757" s="76"/>
      <c r="C5757" s="76"/>
    </row>
    <row r="5758" spans="1:3" x14ac:dyDescent="0.2">
      <c r="A5758" s="76"/>
      <c r="C5758" s="76"/>
    </row>
    <row r="5759" spans="1:3" x14ac:dyDescent="0.2">
      <c r="A5759" s="76"/>
      <c r="C5759" s="76"/>
    </row>
    <row r="5760" spans="1:3" x14ac:dyDescent="0.2">
      <c r="A5760" s="76"/>
      <c r="C5760" s="76"/>
    </row>
    <row r="5761" spans="1:3" x14ac:dyDescent="0.2">
      <c r="A5761" s="76"/>
      <c r="C5761" s="76"/>
    </row>
    <row r="5762" spans="1:3" x14ac:dyDescent="0.2">
      <c r="A5762" s="76"/>
      <c r="C5762" s="76"/>
    </row>
    <row r="5763" spans="1:3" x14ac:dyDescent="0.2">
      <c r="A5763" s="76"/>
      <c r="C5763" s="76"/>
    </row>
    <row r="5764" spans="1:3" x14ac:dyDescent="0.2">
      <c r="A5764" s="76"/>
      <c r="C5764" s="76"/>
    </row>
    <row r="5765" spans="1:3" x14ac:dyDescent="0.2">
      <c r="A5765" s="76"/>
      <c r="C5765" s="76"/>
    </row>
    <row r="5766" spans="1:3" x14ac:dyDescent="0.2">
      <c r="A5766" s="76"/>
      <c r="C5766" s="76"/>
    </row>
    <row r="5767" spans="1:3" x14ac:dyDescent="0.2">
      <c r="A5767" s="76"/>
      <c r="C5767" s="76"/>
    </row>
    <row r="5768" spans="1:3" x14ac:dyDescent="0.2">
      <c r="A5768" s="76"/>
      <c r="C5768" s="76"/>
    </row>
    <row r="5769" spans="1:3" x14ac:dyDescent="0.2">
      <c r="A5769" s="76"/>
      <c r="C5769" s="76"/>
    </row>
    <row r="5770" spans="1:3" x14ac:dyDescent="0.2">
      <c r="A5770" s="76"/>
      <c r="C5770" s="76"/>
    </row>
    <row r="5771" spans="1:3" x14ac:dyDescent="0.2">
      <c r="A5771" s="76"/>
      <c r="C5771" s="76"/>
    </row>
    <row r="5772" spans="1:3" x14ac:dyDescent="0.2">
      <c r="A5772" s="76"/>
      <c r="C5772" s="76"/>
    </row>
    <row r="5773" spans="1:3" x14ac:dyDescent="0.2">
      <c r="A5773" s="76"/>
      <c r="C5773" s="76"/>
    </row>
    <row r="5774" spans="1:3" x14ac:dyDescent="0.2">
      <c r="A5774" s="76"/>
      <c r="C5774" s="76"/>
    </row>
    <row r="5775" spans="1:3" x14ac:dyDescent="0.2">
      <c r="A5775" s="76"/>
      <c r="C5775" s="76"/>
    </row>
    <row r="5776" spans="1:3" x14ac:dyDescent="0.2">
      <c r="A5776" s="76"/>
      <c r="C5776" s="76"/>
    </row>
    <row r="5777" spans="1:3" x14ac:dyDescent="0.2">
      <c r="A5777" s="76"/>
      <c r="C5777" s="76"/>
    </row>
    <row r="5778" spans="1:3" x14ac:dyDescent="0.2">
      <c r="A5778" s="76"/>
      <c r="C5778" s="76"/>
    </row>
    <row r="5779" spans="1:3" x14ac:dyDescent="0.2">
      <c r="A5779" s="76"/>
      <c r="C5779" s="76"/>
    </row>
    <row r="5780" spans="1:3" x14ac:dyDescent="0.2">
      <c r="A5780" s="76"/>
      <c r="C5780" s="76"/>
    </row>
    <row r="5781" spans="1:3" x14ac:dyDescent="0.2">
      <c r="A5781" s="76"/>
      <c r="C5781" s="76"/>
    </row>
    <row r="5782" spans="1:3" x14ac:dyDescent="0.2">
      <c r="A5782" s="76"/>
      <c r="C5782" s="76"/>
    </row>
    <row r="5783" spans="1:3" x14ac:dyDescent="0.2">
      <c r="A5783" s="76"/>
      <c r="C5783" s="76"/>
    </row>
    <row r="5784" spans="1:3" x14ac:dyDescent="0.2">
      <c r="A5784" s="76"/>
      <c r="C5784" s="76"/>
    </row>
    <row r="5785" spans="1:3" x14ac:dyDescent="0.2">
      <c r="A5785" s="76"/>
      <c r="C5785" s="76"/>
    </row>
    <row r="5786" spans="1:3" x14ac:dyDescent="0.2">
      <c r="A5786" s="76"/>
      <c r="C5786" s="76"/>
    </row>
    <row r="5787" spans="1:3" x14ac:dyDescent="0.2">
      <c r="A5787" s="76"/>
      <c r="C5787" s="76"/>
    </row>
    <row r="5788" spans="1:3" x14ac:dyDescent="0.2">
      <c r="A5788" s="76"/>
      <c r="C5788" s="76"/>
    </row>
    <row r="5789" spans="1:3" x14ac:dyDescent="0.2">
      <c r="A5789" s="76"/>
      <c r="C5789" s="76"/>
    </row>
    <row r="5790" spans="1:3" x14ac:dyDescent="0.2">
      <c r="A5790" s="76"/>
      <c r="C5790" s="76"/>
    </row>
    <row r="5791" spans="1:3" x14ac:dyDescent="0.2">
      <c r="A5791" s="76"/>
      <c r="C5791" s="76"/>
    </row>
    <row r="5792" spans="1:3" x14ac:dyDescent="0.2">
      <c r="A5792" s="76"/>
      <c r="C5792" s="76"/>
    </row>
    <row r="5793" spans="1:3" x14ac:dyDescent="0.2">
      <c r="A5793" s="76"/>
      <c r="C5793" s="76"/>
    </row>
    <row r="5794" spans="1:3" x14ac:dyDescent="0.2">
      <c r="A5794" s="76"/>
      <c r="C5794" s="76"/>
    </row>
    <row r="5795" spans="1:3" x14ac:dyDescent="0.2">
      <c r="A5795" s="76"/>
      <c r="C5795" s="76"/>
    </row>
    <row r="5796" spans="1:3" x14ac:dyDescent="0.2">
      <c r="A5796" s="76"/>
      <c r="C5796" s="76"/>
    </row>
    <row r="5797" spans="1:3" x14ac:dyDescent="0.2">
      <c r="A5797" s="76"/>
      <c r="C5797" s="76"/>
    </row>
    <row r="5798" spans="1:3" x14ac:dyDescent="0.2">
      <c r="A5798" s="76"/>
      <c r="C5798" s="76"/>
    </row>
    <row r="5799" spans="1:3" x14ac:dyDescent="0.2">
      <c r="A5799" s="76"/>
      <c r="C5799" s="76"/>
    </row>
    <row r="5800" spans="1:3" x14ac:dyDescent="0.2">
      <c r="A5800" s="76"/>
      <c r="C5800" s="76"/>
    </row>
    <row r="5801" spans="1:3" x14ac:dyDescent="0.2">
      <c r="A5801" s="76"/>
      <c r="C5801" s="76"/>
    </row>
    <row r="5802" spans="1:3" x14ac:dyDescent="0.2">
      <c r="A5802" s="76"/>
      <c r="C5802" s="76"/>
    </row>
    <row r="5803" spans="1:3" x14ac:dyDescent="0.2">
      <c r="A5803" s="76"/>
      <c r="C5803" s="76"/>
    </row>
    <row r="5804" spans="1:3" x14ac:dyDescent="0.2">
      <c r="A5804" s="76"/>
      <c r="C5804" s="76"/>
    </row>
    <row r="5805" spans="1:3" x14ac:dyDescent="0.2">
      <c r="A5805" s="76"/>
      <c r="C5805" s="76"/>
    </row>
    <row r="5806" spans="1:3" x14ac:dyDescent="0.2">
      <c r="A5806" s="76"/>
      <c r="C5806" s="76"/>
    </row>
    <row r="5807" spans="1:3" x14ac:dyDescent="0.2">
      <c r="A5807" s="76"/>
      <c r="C5807" s="76"/>
    </row>
    <row r="5808" spans="1:3" x14ac:dyDescent="0.2">
      <c r="A5808" s="76"/>
      <c r="C5808" s="76"/>
    </row>
    <row r="5809" spans="1:3" x14ac:dyDescent="0.2">
      <c r="A5809" s="76"/>
      <c r="C5809" s="76"/>
    </row>
    <row r="5810" spans="1:3" x14ac:dyDescent="0.2">
      <c r="A5810" s="76"/>
      <c r="C5810" s="76"/>
    </row>
    <row r="5811" spans="1:3" x14ac:dyDescent="0.2">
      <c r="A5811" s="76"/>
      <c r="C5811" s="76"/>
    </row>
    <row r="5812" spans="1:3" x14ac:dyDescent="0.2">
      <c r="A5812" s="76"/>
      <c r="C5812" s="76"/>
    </row>
    <row r="5813" spans="1:3" x14ac:dyDescent="0.2">
      <c r="A5813" s="76"/>
      <c r="C5813" s="76"/>
    </row>
    <row r="5814" spans="1:3" x14ac:dyDescent="0.2">
      <c r="A5814" s="76"/>
      <c r="C5814" s="76"/>
    </row>
    <row r="5815" spans="1:3" x14ac:dyDescent="0.2">
      <c r="A5815" s="76"/>
      <c r="C5815" s="76"/>
    </row>
    <row r="5816" spans="1:3" x14ac:dyDescent="0.2">
      <c r="A5816" s="76"/>
      <c r="C5816" s="76"/>
    </row>
    <row r="5817" spans="1:3" x14ac:dyDescent="0.2">
      <c r="A5817" s="76"/>
      <c r="C5817" s="76"/>
    </row>
    <row r="5818" spans="1:3" x14ac:dyDescent="0.2">
      <c r="A5818" s="76"/>
      <c r="C5818" s="76"/>
    </row>
    <row r="5819" spans="1:3" x14ac:dyDescent="0.2">
      <c r="A5819" s="76"/>
      <c r="C5819" s="76"/>
    </row>
    <row r="5820" spans="1:3" x14ac:dyDescent="0.2">
      <c r="A5820" s="76"/>
      <c r="C5820" s="76"/>
    </row>
    <row r="5821" spans="1:3" x14ac:dyDescent="0.2">
      <c r="A5821" s="76"/>
      <c r="C5821" s="76"/>
    </row>
    <row r="5822" spans="1:3" x14ac:dyDescent="0.2">
      <c r="A5822" s="76"/>
      <c r="C5822" s="76"/>
    </row>
    <row r="5823" spans="1:3" x14ac:dyDescent="0.2">
      <c r="A5823" s="76"/>
      <c r="C5823" s="76"/>
    </row>
    <row r="5824" spans="1:3" x14ac:dyDescent="0.2">
      <c r="A5824" s="76"/>
      <c r="C5824" s="76"/>
    </row>
    <row r="5825" spans="1:3" x14ac:dyDescent="0.2">
      <c r="A5825" s="76"/>
      <c r="C5825" s="76"/>
    </row>
    <row r="5826" spans="1:3" x14ac:dyDescent="0.2">
      <c r="A5826" s="76"/>
      <c r="C5826" s="76"/>
    </row>
    <row r="5827" spans="1:3" x14ac:dyDescent="0.2">
      <c r="A5827" s="76"/>
      <c r="C5827" s="76"/>
    </row>
    <row r="5828" spans="1:3" x14ac:dyDescent="0.2">
      <c r="A5828" s="76"/>
      <c r="C5828" s="76"/>
    </row>
    <row r="5829" spans="1:3" x14ac:dyDescent="0.2">
      <c r="A5829" s="76"/>
      <c r="C5829" s="76"/>
    </row>
    <row r="5830" spans="1:3" x14ac:dyDescent="0.2">
      <c r="A5830" s="76"/>
      <c r="C5830" s="76"/>
    </row>
    <row r="5831" spans="1:3" x14ac:dyDescent="0.2">
      <c r="A5831" s="76"/>
      <c r="C5831" s="76"/>
    </row>
    <row r="5832" spans="1:3" x14ac:dyDescent="0.2">
      <c r="A5832" s="76"/>
      <c r="C5832" s="76"/>
    </row>
    <row r="5833" spans="1:3" x14ac:dyDescent="0.2">
      <c r="A5833" s="76"/>
      <c r="C5833" s="76"/>
    </row>
    <row r="5834" spans="1:3" x14ac:dyDescent="0.2">
      <c r="A5834" s="76"/>
      <c r="C5834" s="76"/>
    </row>
    <row r="5835" spans="1:3" x14ac:dyDescent="0.2">
      <c r="A5835" s="76"/>
      <c r="C5835" s="76"/>
    </row>
    <row r="5836" spans="1:3" x14ac:dyDescent="0.2">
      <c r="A5836" s="76"/>
      <c r="C5836" s="76"/>
    </row>
    <row r="5837" spans="1:3" x14ac:dyDescent="0.2">
      <c r="A5837" s="76"/>
      <c r="C5837" s="76"/>
    </row>
    <row r="5838" spans="1:3" x14ac:dyDescent="0.2">
      <c r="A5838" s="76"/>
      <c r="C5838" s="76"/>
    </row>
    <row r="5839" spans="1:3" x14ac:dyDescent="0.2">
      <c r="A5839" s="76"/>
      <c r="C5839" s="76"/>
    </row>
    <row r="5840" spans="1:3" x14ac:dyDescent="0.2">
      <c r="A5840" s="76"/>
      <c r="C5840" s="76"/>
    </row>
    <row r="5841" spans="1:3" x14ac:dyDescent="0.2">
      <c r="A5841" s="76"/>
      <c r="C5841" s="76"/>
    </row>
    <row r="5842" spans="1:3" x14ac:dyDescent="0.2">
      <c r="A5842" s="76"/>
      <c r="C5842" s="76"/>
    </row>
    <row r="5843" spans="1:3" x14ac:dyDescent="0.2">
      <c r="A5843" s="76"/>
      <c r="C5843" s="76"/>
    </row>
    <row r="5844" spans="1:3" x14ac:dyDescent="0.2">
      <c r="A5844" s="76"/>
      <c r="C5844" s="76"/>
    </row>
    <row r="5845" spans="1:3" x14ac:dyDescent="0.2">
      <c r="A5845" s="76"/>
      <c r="C5845" s="76"/>
    </row>
    <row r="5846" spans="1:3" x14ac:dyDescent="0.2">
      <c r="A5846" s="76"/>
      <c r="C5846" s="76"/>
    </row>
    <row r="5847" spans="1:3" x14ac:dyDescent="0.2">
      <c r="A5847" s="76"/>
      <c r="C5847" s="76"/>
    </row>
    <row r="5848" spans="1:3" x14ac:dyDescent="0.2">
      <c r="A5848" s="76"/>
      <c r="C5848" s="76"/>
    </row>
    <row r="5849" spans="1:3" x14ac:dyDescent="0.2">
      <c r="A5849" s="76"/>
      <c r="C5849" s="76"/>
    </row>
    <row r="5850" spans="1:3" x14ac:dyDescent="0.2">
      <c r="A5850" s="76"/>
      <c r="C5850" s="76"/>
    </row>
    <row r="5851" spans="1:3" x14ac:dyDescent="0.2">
      <c r="A5851" s="76"/>
      <c r="C5851" s="76"/>
    </row>
    <row r="5852" spans="1:3" x14ac:dyDescent="0.2">
      <c r="A5852" s="76"/>
      <c r="C5852" s="76"/>
    </row>
    <row r="5853" spans="1:3" x14ac:dyDescent="0.2">
      <c r="A5853" s="76"/>
      <c r="C5853" s="76"/>
    </row>
    <row r="5854" spans="1:3" x14ac:dyDescent="0.2">
      <c r="A5854" s="76"/>
      <c r="C5854" s="76"/>
    </row>
    <row r="5855" spans="1:3" x14ac:dyDescent="0.2">
      <c r="A5855" s="76"/>
      <c r="C5855" s="76"/>
    </row>
    <row r="5856" spans="1:3" x14ac:dyDescent="0.2">
      <c r="A5856" s="76"/>
      <c r="C5856" s="76"/>
    </row>
    <row r="5857" spans="1:3" x14ac:dyDescent="0.2">
      <c r="A5857" s="76"/>
      <c r="C5857" s="76"/>
    </row>
    <row r="5858" spans="1:3" x14ac:dyDescent="0.2">
      <c r="A5858" s="76"/>
      <c r="C5858" s="76"/>
    </row>
    <row r="5859" spans="1:3" x14ac:dyDescent="0.2">
      <c r="A5859" s="76"/>
      <c r="C5859" s="76"/>
    </row>
    <row r="5860" spans="1:3" x14ac:dyDescent="0.2">
      <c r="A5860" s="76"/>
      <c r="C5860" s="76"/>
    </row>
    <row r="5861" spans="1:3" x14ac:dyDescent="0.2">
      <c r="A5861" s="76"/>
      <c r="C5861" s="76"/>
    </row>
    <row r="5862" spans="1:3" x14ac:dyDescent="0.2">
      <c r="A5862" s="76"/>
      <c r="C5862" s="76"/>
    </row>
    <row r="5863" spans="1:3" x14ac:dyDescent="0.2">
      <c r="A5863" s="76"/>
      <c r="C5863" s="76"/>
    </row>
    <row r="5864" spans="1:3" x14ac:dyDescent="0.2">
      <c r="A5864" s="76"/>
      <c r="C5864" s="76"/>
    </row>
    <row r="5865" spans="1:3" x14ac:dyDescent="0.2">
      <c r="A5865" s="76"/>
      <c r="C5865" s="76"/>
    </row>
    <row r="5866" spans="1:3" x14ac:dyDescent="0.2">
      <c r="A5866" s="76"/>
      <c r="C5866" s="76"/>
    </row>
    <row r="5867" spans="1:3" x14ac:dyDescent="0.2">
      <c r="A5867" s="76"/>
      <c r="C5867" s="76"/>
    </row>
    <row r="5868" spans="1:3" x14ac:dyDescent="0.2">
      <c r="A5868" s="76"/>
      <c r="C5868" s="76"/>
    </row>
    <row r="5869" spans="1:3" x14ac:dyDescent="0.2">
      <c r="A5869" s="76"/>
      <c r="C5869" s="76"/>
    </row>
    <row r="5870" spans="1:3" x14ac:dyDescent="0.2">
      <c r="A5870" s="76"/>
      <c r="C5870" s="76"/>
    </row>
    <row r="5871" spans="1:3" x14ac:dyDescent="0.2">
      <c r="A5871" s="76"/>
      <c r="C5871" s="76"/>
    </row>
    <row r="5872" spans="1:3" x14ac:dyDescent="0.2">
      <c r="A5872" s="76"/>
      <c r="C5872" s="76"/>
    </row>
    <row r="5873" spans="1:3" x14ac:dyDescent="0.2">
      <c r="A5873" s="76"/>
      <c r="C5873" s="76"/>
    </row>
    <row r="5874" spans="1:3" x14ac:dyDescent="0.2">
      <c r="A5874" s="76"/>
      <c r="C5874" s="76"/>
    </row>
    <row r="5875" spans="1:3" x14ac:dyDescent="0.2">
      <c r="A5875" s="76"/>
      <c r="C5875" s="76"/>
    </row>
    <row r="5876" spans="1:3" x14ac:dyDescent="0.2">
      <c r="A5876" s="76"/>
      <c r="C5876" s="76"/>
    </row>
    <row r="5877" spans="1:3" x14ac:dyDescent="0.2">
      <c r="A5877" s="76"/>
      <c r="C5877" s="76"/>
    </row>
    <row r="5878" spans="1:3" x14ac:dyDescent="0.2">
      <c r="A5878" s="76"/>
      <c r="C5878" s="76"/>
    </row>
    <row r="5879" spans="1:3" x14ac:dyDescent="0.2">
      <c r="A5879" s="76"/>
      <c r="C5879" s="76"/>
    </row>
    <row r="5880" spans="1:3" x14ac:dyDescent="0.2">
      <c r="A5880" s="76"/>
      <c r="C5880" s="76"/>
    </row>
    <row r="5881" spans="1:3" x14ac:dyDescent="0.2">
      <c r="A5881" s="76"/>
      <c r="C5881" s="76"/>
    </row>
    <row r="5882" spans="1:3" x14ac:dyDescent="0.2">
      <c r="A5882" s="76"/>
      <c r="C5882" s="76"/>
    </row>
    <row r="5883" spans="1:3" x14ac:dyDescent="0.2">
      <c r="A5883" s="76"/>
      <c r="C5883" s="76"/>
    </row>
    <row r="5884" spans="1:3" x14ac:dyDescent="0.2">
      <c r="A5884" s="76"/>
      <c r="C5884" s="76"/>
    </row>
    <row r="5885" spans="1:3" x14ac:dyDescent="0.2">
      <c r="A5885" s="76"/>
      <c r="C5885" s="76"/>
    </row>
    <row r="5886" spans="1:3" x14ac:dyDescent="0.2">
      <c r="A5886" s="76"/>
      <c r="C5886" s="76"/>
    </row>
    <row r="5887" spans="1:3" x14ac:dyDescent="0.2">
      <c r="A5887" s="76"/>
      <c r="C5887" s="76"/>
    </row>
    <row r="5888" spans="1:3" x14ac:dyDescent="0.2">
      <c r="A5888" s="76"/>
      <c r="C5888" s="76"/>
    </row>
    <row r="5889" spans="1:3" x14ac:dyDescent="0.2">
      <c r="A5889" s="76"/>
      <c r="C5889" s="76"/>
    </row>
    <row r="5890" spans="1:3" x14ac:dyDescent="0.2">
      <c r="A5890" s="76"/>
      <c r="C5890" s="76"/>
    </row>
    <row r="5891" spans="1:3" x14ac:dyDescent="0.2">
      <c r="A5891" s="76"/>
      <c r="C5891" s="76"/>
    </row>
    <row r="5892" spans="1:3" x14ac:dyDescent="0.2">
      <c r="A5892" s="76"/>
      <c r="C5892" s="76"/>
    </row>
    <row r="5893" spans="1:3" x14ac:dyDescent="0.2">
      <c r="A5893" s="76"/>
      <c r="C5893" s="76"/>
    </row>
    <row r="5894" spans="1:3" x14ac:dyDescent="0.2">
      <c r="A5894" s="76"/>
      <c r="C5894" s="76"/>
    </row>
    <row r="5895" spans="1:3" x14ac:dyDescent="0.2">
      <c r="A5895" s="76"/>
      <c r="C5895" s="76"/>
    </row>
    <row r="5896" spans="1:3" x14ac:dyDescent="0.2">
      <c r="A5896" s="76"/>
      <c r="C5896" s="76"/>
    </row>
    <row r="5897" spans="1:3" x14ac:dyDescent="0.2">
      <c r="A5897" s="76"/>
      <c r="C5897" s="76"/>
    </row>
    <row r="5898" spans="1:3" x14ac:dyDescent="0.2">
      <c r="A5898" s="76"/>
      <c r="C5898" s="76"/>
    </row>
    <row r="5899" spans="1:3" x14ac:dyDescent="0.2">
      <c r="A5899" s="76"/>
      <c r="C5899" s="76"/>
    </row>
    <row r="5900" spans="1:3" x14ac:dyDescent="0.2">
      <c r="A5900" s="76"/>
      <c r="C5900" s="76"/>
    </row>
    <row r="5901" spans="1:3" x14ac:dyDescent="0.2">
      <c r="A5901" s="76"/>
      <c r="C5901" s="76"/>
    </row>
    <row r="5902" spans="1:3" x14ac:dyDescent="0.2">
      <c r="A5902" s="76"/>
      <c r="C5902" s="76"/>
    </row>
    <row r="5903" spans="1:3" x14ac:dyDescent="0.2">
      <c r="A5903" s="76"/>
      <c r="C5903" s="76"/>
    </row>
    <row r="5904" spans="1:3" x14ac:dyDescent="0.2">
      <c r="A5904" s="76"/>
      <c r="C5904" s="76"/>
    </row>
    <row r="5905" spans="1:3" x14ac:dyDescent="0.2">
      <c r="A5905" s="76"/>
      <c r="C5905" s="76"/>
    </row>
    <row r="5906" spans="1:3" x14ac:dyDescent="0.2">
      <c r="A5906" s="76"/>
      <c r="C5906" s="76"/>
    </row>
    <row r="5907" spans="1:3" x14ac:dyDescent="0.2">
      <c r="A5907" s="76"/>
      <c r="C5907" s="76"/>
    </row>
    <row r="5908" spans="1:3" x14ac:dyDescent="0.2">
      <c r="A5908" s="76"/>
      <c r="C5908" s="76"/>
    </row>
    <row r="5909" spans="1:3" x14ac:dyDescent="0.2">
      <c r="A5909" s="76"/>
      <c r="C5909" s="76"/>
    </row>
    <row r="5910" spans="1:3" x14ac:dyDescent="0.2">
      <c r="A5910" s="76"/>
      <c r="C5910" s="76"/>
    </row>
    <row r="5911" spans="1:3" x14ac:dyDescent="0.2">
      <c r="A5911" s="76"/>
      <c r="C5911" s="76"/>
    </row>
    <row r="5912" spans="1:3" x14ac:dyDescent="0.2">
      <c r="A5912" s="76"/>
      <c r="C5912" s="76"/>
    </row>
    <row r="5913" spans="1:3" x14ac:dyDescent="0.2">
      <c r="A5913" s="76"/>
      <c r="C5913" s="76"/>
    </row>
    <row r="5914" spans="1:3" x14ac:dyDescent="0.2">
      <c r="A5914" s="76"/>
      <c r="C5914" s="76"/>
    </row>
    <row r="5915" spans="1:3" x14ac:dyDescent="0.2">
      <c r="A5915" s="76"/>
      <c r="C5915" s="76"/>
    </row>
    <row r="5916" spans="1:3" x14ac:dyDescent="0.2">
      <c r="A5916" s="76"/>
      <c r="C5916" s="76"/>
    </row>
    <row r="5917" spans="1:3" x14ac:dyDescent="0.2">
      <c r="A5917" s="76"/>
      <c r="C5917" s="76"/>
    </row>
    <row r="5918" spans="1:3" x14ac:dyDescent="0.2">
      <c r="A5918" s="76"/>
      <c r="C5918" s="76"/>
    </row>
    <row r="5919" spans="1:3" x14ac:dyDescent="0.2">
      <c r="A5919" s="76"/>
      <c r="C5919" s="76"/>
    </row>
    <row r="5920" spans="1:3" x14ac:dyDescent="0.2">
      <c r="A5920" s="76"/>
      <c r="C5920" s="76"/>
    </row>
    <row r="5921" spans="1:3" x14ac:dyDescent="0.2">
      <c r="A5921" s="76"/>
      <c r="C5921" s="76"/>
    </row>
    <row r="5922" spans="1:3" x14ac:dyDescent="0.2">
      <c r="A5922" s="76"/>
      <c r="C5922" s="76"/>
    </row>
    <row r="5923" spans="1:3" x14ac:dyDescent="0.2">
      <c r="A5923" s="76"/>
      <c r="C5923" s="76"/>
    </row>
    <row r="5924" spans="1:3" x14ac:dyDescent="0.2">
      <c r="A5924" s="76"/>
      <c r="C5924" s="76"/>
    </row>
    <row r="5925" spans="1:3" x14ac:dyDescent="0.2">
      <c r="A5925" s="76"/>
      <c r="C5925" s="76"/>
    </row>
    <row r="5926" spans="1:3" x14ac:dyDescent="0.2">
      <c r="A5926" s="76"/>
      <c r="C5926" s="76"/>
    </row>
    <row r="5927" spans="1:3" x14ac:dyDescent="0.2">
      <c r="A5927" s="76"/>
      <c r="C5927" s="76"/>
    </row>
    <row r="5928" spans="1:3" x14ac:dyDescent="0.2">
      <c r="A5928" s="76"/>
      <c r="C5928" s="76"/>
    </row>
    <row r="5929" spans="1:3" x14ac:dyDescent="0.2">
      <c r="A5929" s="76"/>
      <c r="C5929" s="76"/>
    </row>
    <row r="5930" spans="1:3" x14ac:dyDescent="0.2">
      <c r="A5930" s="76"/>
      <c r="C5930" s="76"/>
    </row>
    <row r="5931" spans="1:3" x14ac:dyDescent="0.2">
      <c r="A5931" s="76"/>
      <c r="C5931" s="76"/>
    </row>
    <row r="5932" spans="1:3" x14ac:dyDescent="0.2">
      <c r="A5932" s="76"/>
      <c r="C5932" s="76"/>
    </row>
    <row r="5933" spans="1:3" x14ac:dyDescent="0.2">
      <c r="A5933" s="76"/>
      <c r="C5933" s="76"/>
    </row>
    <row r="5934" spans="1:3" x14ac:dyDescent="0.2">
      <c r="A5934" s="76"/>
      <c r="C5934" s="76"/>
    </row>
    <row r="5935" spans="1:3" x14ac:dyDescent="0.2">
      <c r="A5935" s="76"/>
      <c r="C5935" s="76"/>
    </row>
    <row r="5936" spans="1:3" x14ac:dyDescent="0.2">
      <c r="A5936" s="76"/>
      <c r="C5936" s="76"/>
    </row>
    <row r="5937" spans="1:3" x14ac:dyDescent="0.2">
      <c r="A5937" s="76"/>
      <c r="C5937" s="76"/>
    </row>
    <row r="5938" spans="1:3" x14ac:dyDescent="0.2">
      <c r="A5938" s="76"/>
      <c r="C5938" s="76"/>
    </row>
    <row r="5939" spans="1:3" x14ac:dyDescent="0.2">
      <c r="A5939" s="76"/>
      <c r="C5939" s="76"/>
    </row>
    <row r="5940" spans="1:3" x14ac:dyDescent="0.2">
      <c r="A5940" s="76"/>
      <c r="C5940" s="76"/>
    </row>
    <row r="5941" spans="1:3" x14ac:dyDescent="0.2">
      <c r="A5941" s="76"/>
      <c r="C5941" s="76"/>
    </row>
    <row r="5942" spans="1:3" x14ac:dyDescent="0.2">
      <c r="A5942" s="76"/>
      <c r="C5942" s="76"/>
    </row>
    <row r="5943" spans="1:3" x14ac:dyDescent="0.2">
      <c r="A5943" s="76"/>
      <c r="C5943" s="76"/>
    </row>
    <row r="5944" spans="1:3" x14ac:dyDescent="0.2">
      <c r="A5944" s="76"/>
      <c r="C5944" s="76"/>
    </row>
    <row r="5945" spans="1:3" x14ac:dyDescent="0.2">
      <c r="A5945" s="76"/>
      <c r="C5945" s="76"/>
    </row>
    <row r="5946" spans="1:3" x14ac:dyDescent="0.2">
      <c r="A5946" s="76"/>
      <c r="C5946" s="76"/>
    </row>
    <row r="5947" spans="1:3" x14ac:dyDescent="0.2">
      <c r="A5947" s="76"/>
      <c r="C5947" s="76"/>
    </row>
    <row r="5948" spans="1:3" x14ac:dyDescent="0.2">
      <c r="A5948" s="76"/>
      <c r="C5948" s="76"/>
    </row>
    <row r="5949" spans="1:3" x14ac:dyDescent="0.2">
      <c r="A5949" s="76"/>
      <c r="C5949" s="76"/>
    </row>
    <row r="5950" spans="1:3" x14ac:dyDescent="0.2">
      <c r="A5950" s="76"/>
      <c r="C5950" s="76"/>
    </row>
    <row r="5951" spans="1:3" x14ac:dyDescent="0.2">
      <c r="A5951" s="76"/>
      <c r="C5951" s="76"/>
    </row>
    <row r="5952" spans="1:3" x14ac:dyDescent="0.2">
      <c r="A5952" s="76"/>
      <c r="C5952" s="76"/>
    </row>
    <row r="5953" spans="1:3" x14ac:dyDescent="0.2">
      <c r="A5953" s="76"/>
      <c r="C5953" s="76"/>
    </row>
    <row r="5954" spans="1:3" x14ac:dyDescent="0.2">
      <c r="A5954" s="76"/>
      <c r="C5954" s="76"/>
    </row>
    <row r="5955" spans="1:3" x14ac:dyDescent="0.2">
      <c r="A5955" s="76"/>
      <c r="C5955" s="76"/>
    </row>
    <row r="5956" spans="1:3" x14ac:dyDescent="0.2">
      <c r="A5956" s="76"/>
      <c r="C5956" s="76"/>
    </row>
    <row r="5957" spans="1:3" x14ac:dyDescent="0.2">
      <c r="A5957" s="76"/>
      <c r="C5957" s="76"/>
    </row>
    <row r="5958" spans="1:3" x14ac:dyDescent="0.2">
      <c r="A5958" s="76"/>
      <c r="C5958" s="76"/>
    </row>
    <row r="5959" spans="1:3" x14ac:dyDescent="0.2">
      <c r="A5959" s="76"/>
      <c r="C5959" s="76"/>
    </row>
    <row r="5960" spans="1:3" x14ac:dyDescent="0.2">
      <c r="A5960" s="76"/>
      <c r="C5960" s="76"/>
    </row>
    <row r="5961" spans="1:3" x14ac:dyDescent="0.2">
      <c r="A5961" s="76"/>
      <c r="C5961" s="76"/>
    </row>
    <row r="5962" spans="1:3" x14ac:dyDescent="0.2">
      <c r="A5962" s="76"/>
      <c r="C5962" s="76"/>
    </row>
    <row r="5963" spans="1:3" x14ac:dyDescent="0.2">
      <c r="A5963" s="76"/>
      <c r="C5963" s="76"/>
    </row>
    <row r="5964" spans="1:3" x14ac:dyDescent="0.2">
      <c r="A5964" s="76"/>
      <c r="C5964" s="76"/>
    </row>
    <row r="5965" spans="1:3" x14ac:dyDescent="0.2">
      <c r="A5965" s="76"/>
      <c r="C5965" s="76"/>
    </row>
    <row r="5966" spans="1:3" x14ac:dyDescent="0.2">
      <c r="A5966" s="76"/>
      <c r="C5966" s="76"/>
    </row>
    <row r="5967" spans="1:3" x14ac:dyDescent="0.2">
      <c r="A5967" s="76"/>
      <c r="C5967" s="76"/>
    </row>
    <row r="5968" spans="1:3" x14ac:dyDescent="0.2">
      <c r="A5968" s="76"/>
      <c r="C5968" s="76"/>
    </row>
    <row r="5969" spans="1:3" x14ac:dyDescent="0.2">
      <c r="A5969" s="76"/>
      <c r="C5969" s="76"/>
    </row>
    <row r="5970" spans="1:3" x14ac:dyDescent="0.2">
      <c r="A5970" s="76"/>
      <c r="C5970" s="76"/>
    </row>
    <row r="5971" spans="1:3" x14ac:dyDescent="0.2">
      <c r="A5971" s="76"/>
      <c r="C5971" s="76"/>
    </row>
    <row r="5972" spans="1:3" x14ac:dyDescent="0.2">
      <c r="A5972" s="76"/>
      <c r="C5972" s="76"/>
    </row>
    <row r="5973" spans="1:3" x14ac:dyDescent="0.2">
      <c r="A5973" s="76"/>
      <c r="C5973" s="76"/>
    </row>
    <row r="5974" spans="1:3" x14ac:dyDescent="0.2">
      <c r="A5974" s="76"/>
      <c r="C5974" s="76"/>
    </row>
    <row r="5975" spans="1:3" x14ac:dyDescent="0.2">
      <c r="A5975" s="76"/>
      <c r="C5975" s="76"/>
    </row>
    <row r="5976" spans="1:3" x14ac:dyDescent="0.2">
      <c r="A5976" s="76"/>
      <c r="C5976" s="76"/>
    </row>
    <row r="5977" spans="1:3" x14ac:dyDescent="0.2">
      <c r="A5977" s="76"/>
      <c r="C5977" s="76"/>
    </row>
    <row r="5978" spans="1:3" x14ac:dyDescent="0.2">
      <c r="A5978" s="76"/>
      <c r="C5978" s="76"/>
    </row>
    <row r="5979" spans="1:3" x14ac:dyDescent="0.2">
      <c r="A5979" s="76"/>
      <c r="C5979" s="76"/>
    </row>
    <row r="5980" spans="1:3" x14ac:dyDescent="0.2">
      <c r="A5980" s="76"/>
      <c r="C5980" s="76"/>
    </row>
    <row r="5981" spans="1:3" x14ac:dyDescent="0.2">
      <c r="A5981" s="76"/>
      <c r="C5981" s="76"/>
    </row>
    <row r="5982" spans="1:3" x14ac:dyDescent="0.2">
      <c r="A5982" s="76"/>
      <c r="C5982" s="76"/>
    </row>
    <row r="5983" spans="1:3" x14ac:dyDescent="0.2">
      <c r="A5983" s="76"/>
      <c r="C5983" s="76"/>
    </row>
    <row r="5984" spans="1:3" x14ac:dyDescent="0.2">
      <c r="A5984" s="76"/>
      <c r="C5984" s="76"/>
    </row>
    <row r="5985" spans="1:3" x14ac:dyDescent="0.2">
      <c r="A5985" s="76"/>
      <c r="C5985" s="76"/>
    </row>
    <row r="5986" spans="1:3" x14ac:dyDescent="0.2">
      <c r="A5986" s="76"/>
      <c r="C5986" s="76"/>
    </row>
    <row r="5987" spans="1:3" x14ac:dyDescent="0.2">
      <c r="A5987" s="76"/>
      <c r="C5987" s="76"/>
    </row>
    <row r="5988" spans="1:3" x14ac:dyDescent="0.2">
      <c r="A5988" s="76"/>
      <c r="C5988" s="76"/>
    </row>
    <row r="5989" spans="1:3" x14ac:dyDescent="0.2">
      <c r="A5989" s="76"/>
      <c r="C5989" s="76"/>
    </row>
    <row r="5990" spans="1:3" x14ac:dyDescent="0.2">
      <c r="A5990" s="76"/>
      <c r="C5990" s="76"/>
    </row>
    <row r="5991" spans="1:3" x14ac:dyDescent="0.2">
      <c r="A5991" s="76"/>
      <c r="C5991" s="76"/>
    </row>
    <row r="5992" spans="1:3" x14ac:dyDescent="0.2">
      <c r="A5992" s="76"/>
      <c r="C5992" s="76"/>
    </row>
    <row r="5993" spans="1:3" x14ac:dyDescent="0.2">
      <c r="A5993" s="76"/>
      <c r="C5993" s="76"/>
    </row>
    <row r="5994" spans="1:3" x14ac:dyDescent="0.2">
      <c r="A5994" s="76"/>
      <c r="C5994" s="76"/>
    </row>
    <row r="5995" spans="1:3" x14ac:dyDescent="0.2">
      <c r="A5995" s="76"/>
      <c r="C5995" s="76"/>
    </row>
    <row r="5996" spans="1:3" x14ac:dyDescent="0.2">
      <c r="A5996" s="76"/>
      <c r="C5996" s="76"/>
    </row>
    <row r="5997" spans="1:3" x14ac:dyDescent="0.2">
      <c r="A5997" s="76"/>
      <c r="C5997" s="76"/>
    </row>
    <row r="5998" spans="1:3" x14ac:dyDescent="0.2">
      <c r="A5998" s="76"/>
      <c r="C5998" s="76"/>
    </row>
    <row r="5999" spans="1:3" x14ac:dyDescent="0.2">
      <c r="A5999" s="76"/>
      <c r="C5999" s="76"/>
    </row>
    <row r="6000" spans="1:3" x14ac:dyDescent="0.2">
      <c r="A6000" s="76"/>
      <c r="C6000" s="76"/>
    </row>
    <row r="6001" spans="1:3" x14ac:dyDescent="0.2">
      <c r="A6001" s="76"/>
      <c r="C6001" s="76"/>
    </row>
    <row r="6002" spans="1:3" x14ac:dyDescent="0.2">
      <c r="A6002" s="76"/>
      <c r="C6002" s="76"/>
    </row>
    <row r="6003" spans="1:3" x14ac:dyDescent="0.2">
      <c r="A6003" s="76"/>
      <c r="C6003" s="76"/>
    </row>
    <row r="6004" spans="1:3" x14ac:dyDescent="0.2">
      <c r="A6004" s="76"/>
      <c r="C6004" s="76"/>
    </row>
    <row r="6005" spans="1:3" x14ac:dyDescent="0.2">
      <c r="A6005" s="76"/>
      <c r="C6005" s="76"/>
    </row>
    <row r="6006" spans="1:3" x14ac:dyDescent="0.2">
      <c r="A6006" s="76"/>
      <c r="C6006" s="76"/>
    </row>
    <row r="6007" spans="1:3" x14ac:dyDescent="0.2">
      <c r="A6007" s="76"/>
      <c r="C6007" s="76"/>
    </row>
    <row r="6008" spans="1:3" x14ac:dyDescent="0.2">
      <c r="A6008" s="76"/>
      <c r="C6008" s="76"/>
    </row>
    <row r="6009" spans="1:3" x14ac:dyDescent="0.2">
      <c r="A6009" s="76"/>
      <c r="C6009" s="76"/>
    </row>
    <row r="6010" spans="1:3" x14ac:dyDescent="0.2">
      <c r="A6010" s="76"/>
      <c r="C6010" s="76"/>
    </row>
    <row r="6011" spans="1:3" x14ac:dyDescent="0.2">
      <c r="A6011" s="76"/>
      <c r="C6011" s="76"/>
    </row>
    <row r="6012" spans="1:3" x14ac:dyDescent="0.2">
      <c r="A6012" s="76"/>
      <c r="C6012" s="76"/>
    </row>
    <row r="6013" spans="1:3" x14ac:dyDescent="0.2">
      <c r="A6013" s="76"/>
      <c r="C6013" s="76"/>
    </row>
    <row r="6014" spans="1:3" x14ac:dyDescent="0.2">
      <c r="A6014" s="76"/>
      <c r="C6014" s="76"/>
    </row>
    <row r="6015" spans="1:3" x14ac:dyDescent="0.2">
      <c r="A6015" s="76"/>
      <c r="C6015" s="76"/>
    </row>
    <row r="6016" spans="1:3" x14ac:dyDescent="0.2">
      <c r="A6016" s="76"/>
      <c r="C6016" s="76"/>
    </row>
    <row r="6017" spans="1:3" x14ac:dyDescent="0.2">
      <c r="A6017" s="76"/>
      <c r="C6017" s="76"/>
    </row>
    <row r="6018" spans="1:3" x14ac:dyDescent="0.2">
      <c r="A6018" s="76"/>
      <c r="C6018" s="76"/>
    </row>
    <row r="6019" spans="1:3" x14ac:dyDescent="0.2">
      <c r="A6019" s="76"/>
      <c r="C6019" s="76"/>
    </row>
    <row r="6020" spans="1:3" x14ac:dyDescent="0.2">
      <c r="A6020" s="76"/>
      <c r="C6020" s="76"/>
    </row>
    <row r="6021" spans="1:3" x14ac:dyDescent="0.2">
      <c r="A6021" s="76"/>
      <c r="C6021" s="76"/>
    </row>
    <row r="6022" spans="1:3" x14ac:dyDescent="0.2">
      <c r="A6022" s="76"/>
      <c r="C6022" s="76"/>
    </row>
    <row r="6023" spans="1:3" x14ac:dyDescent="0.2">
      <c r="A6023" s="76"/>
      <c r="C6023" s="76"/>
    </row>
    <row r="6024" spans="1:3" x14ac:dyDescent="0.2">
      <c r="A6024" s="76"/>
      <c r="C6024" s="76"/>
    </row>
    <row r="6025" spans="1:3" x14ac:dyDescent="0.2">
      <c r="A6025" s="76"/>
      <c r="C6025" s="76"/>
    </row>
    <row r="6026" spans="1:3" x14ac:dyDescent="0.2">
      <c r="A6026" s="76"/>
      <c r="C6026" s="76"/>
    </row>
    <row r="6027" spans="1:3" x14ac:dyDescent="0.2">
      <c r="A6027" s="76"/>
      <c r="C6027" s="76"/>
    </row>
    <row r="6028" spans="1:3" x14ac:dyDescent="0.2">
      <c r="A6028" s="76"/>
      <c r="C6028" s="76"/>
    </row>
    <row r="6029" spans="1:3" x14ac:dyDescent="0.2">
      <c r="A6029" s="76"/>
      <c r="C6029" s="76"/>
    </row>
    <row r="6030" spans="1:3" x14ac:dyDescent="0.2">
      <c r="A6030" s="76"/>
      <c r="C6030" s="76"/>
    </row>
    <row r="6031" spans="1:3" x14ac:dyDescent="0.2">
      <c r="A6031" s="76"/>
      <c r="C6031" s="76"/>
    </row>
    <row r="6032" spans="1:3" x14ac:dyDescent="0.2">
      <c r="A6032" s="76"/>
      <c r="C6032" s="76"/>
    </row>
    <row r="6033" spans="1:3" x14ac:dyDescent="0.2">
      <c r="A6033" s="76"/>
      <c r="C6033" s="76"/>
    </row>
    <row r="6034" spans="1:3" x14ac:dyDescent="0.2">
      <c r="A6034" s="76"/>
      <c r="C6034" s="76"/>
    </row>
    <row r="6035" spans="1:3" x14ac:dyDescent="0.2">
      <c r="A6035" s="76"/>
      <c r="C6035" s="76"/>
    </row>
    <row r="6036" spans="1:3" x14ac:dyDescent="0.2">
      <c r="A6036" s="76"/>
      <c r="C6036" s="76"/>
    </row>
    <row r="6037" spans="1:3" x14ac:dyDescent="0.2">
      <c r="A6037" s="76"/>
      <c r="C6037" s="76"/>
    </row>
    <row r="6038" spans="1:3" x14ac:dyDescent="0.2">
      <c r="A6038" s="76"/>
      <c r="C6038" s="76"/>
    </row>
    <row r="6039" spans="1:3" x14ac:dyDescent="0.2">
      <c r="A6039" s="76"/>
      <c r="C6039" s="76"/>
    </row>
    <row r="6040" spans="1:3" x14ac:dyDescent="0.2">
      <c r="A6040" s="76"/>
      <c r="C6040" s="76"/>
    </row>
    <row r="6041" spans="1:3" x14ac:dyDescent="0.2">
      <c r="A6041" s="76"/>
      <c r="C6041" s="76"/>
    </row>
    <row r="6042" spans="1:3" x14ac:dyDescent="0.2">
      <c r="A6042" s="76"/>
      <c r="C6042" s="76"/>
    </row>
    <row r="6043" spans="1:3" x14ac:dyDescent="0.2">
      <c r="A6043" s="76"/>
      <c r="C6043" s="76"/>
    </row>
    <row r="6044" spans="1:3" x14ac:dyDescent="0.2">
      <c r="A6044" s="76"/>
      <c r="C6044" s="76"/>
    </row>
    <row r="6045" spans="1:3" x14ac:dyDescent="0.2">
      <c r="A6045" s="76"/>
      <c r="C6045" s="76"/>
    </row>
    <row r="6046" spans="1:3" x14ac:dyDescent="0.2">
      <c r="A6046" s="76"/>
      <c r="C6046" s="76"/>
    </row>
    <row r="6047" spans="1:3" x14ac:dyDescent="0.2">
      <c r="A6047" s="76"/>
      <c r="C6047" s="76"/>
    </row>
    <row r="6048" spans="1:3" x14ac:dyDescent="0.2">
      <c r="A6048" s="76"/>
      <c r="C6048" s="76"/>
    </row>
    <row r="6049" spans="1:3" x14ac:dyDescent="0.2">
      <c r="A6049" s="76"/>
      <c r="C6049" s="76"/>
    </row>
    <row r="6050" spans="1:3" x14ac:dyDescent="0.2">
      <c r="A6050" s="76"/>
      <c r="C6050" s="76"/>
    </row>
    <row r="6051" spans="1:3" x14ac:dyDescent="0.2">
      <c r="A6051" s="76"/>
      <c r="C6051" s="76"/>
    </row>
    <row r="6052" spans="1:3" x14ac:dyDescent="0.2">
      <c r="A6052" s="76"/>
      <c r="C6052" s="76"/>
    </row>
    <row r="6053" spans="1:3" x14ac:dyDescent="0.2">
      <c r="A6053" s="76"/>
      <c r="C6053" s="76"/>
    </row>
    <row r="6054" spans="1:3" x14ac:dyDescent="0.2">
      <c r="A6054" s="76"/>
      <c r="C6054" s="76"/>
    </row>
    <row r="6055" spans="1:3" x14ac:dyDescent="0.2">
      <c r="A6055" s="76"/>
      <c r="C6055" s="76"/>
    </row>
    <row r="6056" spans="1:3" x14ac:dyDescent="0.2">
      <c r="A6056" s="76"/>
      <c r="C6056" s="76"/>
    </row>
    <row r="6057" spans="1:3" x14ac:dyDescent="0.2">
      <c r="A6057" s="76"/>
      <c r="C6057" s="76"/>
    </row>
    <row r="6058" spans="1:3" x14ac:dyDescent="0.2">
      <c r="A6058" s="76"/>
      <c r="C6058" s="76"/>
    </row>
    <row r="6059" spans="1:3" x14ac:dyDescent="0.2">
      <c r="A6059" s="76"/>
      <c r="C6059" s="76"/>
    </row>
    <row r="6060" spans="1:3" x14ac:dyDescent="0.2">
      <c r="A6060" s="76"/>
      <c r="C6060" s="76"/>
    </row>
    <row r="6061" spans="1:3" x14ac:dyDescent="0.2">
      <c r="A6061" s="76"/>
      <c r="C6061" s="76"/>
    </row>
    <row r="6062" spans="1:3" x14ac:dyDescent="0.2">
      <c r="A6062" s="76"/>
      <c r="C6062" s="76"/>
    </row>
    <row r="6063" spans="1:3" x14ac:dyDescent="0.2">
      <c r="A6063" s="76"/>
      <c r="C6063" s="76"/>
    </row>
    <row r="6064" spans="1:3" x14ac:dyDescent="0.2">
      <c r="A6064" s="76"/>
      <c r="C6064" s="76"/>
    </row>
    <row r="6065" spans="1:3" x14ac:dyDescent="0.2">
      <c r="A6065" s="76"/>
      <c r="C6065" s="76"/>
    </row>
    <row r="6066" spans="1:3" x14ac:dyDescent="0.2">
      <c r="A6066" s="76"/>
      <c r="C6066" s="76"/>
    </row>
    <row r="6067" spans="1:3" x14ac:dyDescent="0.2">
      <c r="A6067" s="76"/>
      <c r="C6067" s="76"/>
    </row>
    <row r="6068" spans="1:3" x14ac:dyDescent="0.2">
      <c r="A6068" s="76"/>
      <c r="C6068" s="76"/>
    </row>
    <row r="6069" spans="1:3" x14ac:dyDescent="0.2">
      <c r="A6069" s="76"/>
      <c r="C6069" s="76"/>
    </row>
    <row r="6070" spans="1:3" x14ac:dyDescent="0.2">
      <c r="A6070" s="76"/>
      <c r="C6070" s="76"/>
    </row>
    <row r="6071" spans="1:3" x14ac:dyDescent="0.2">
      <c r="A6071" s="76"/>
      <c r="C6071" s="76"/>
    </row>
    <row r="6072" spans="1:3" x14ac:dyDescent="0.2">
      <c r="A6072" s="76"/>
      <c r="C6072" s="76"/>
    </row>
    <row r="6073" spans="1:3" x14ac:dyDescent="0.2">
      <c r="A6073" s="76"/>
      <c r="C6073" s="76"/>
    </row>
    <row r="6074" spans="1:3" x14ac:dyDescent="0.2">
      <c r="A6074" s="76"/>
      <c r="C6074" s="76"/>
    </row>
    <row r="6075" spans="1:3" x14ac:dyDescent="0.2">
      <c r="A6075" s="76"/>
      <c r="C6075" s="76"/>
    </row>
    <row r="6076" spans="1:3" x14ac:dyDescent="0.2">
      <c r="A6076" s="76"/>
      <c r="C6076" s="76"/>
    </row>
    <row r="6077" spans="1:3" x14ac:dyDescent="0.2">
      <c r="A6077" s="76"/>
      <c r="C6077" s="76"/>
    </row>
    <row r="6078" spans="1:3" x14ac:dyDescent="0.2">
      <c r="A6078" s="76"/>
      <c r="C6078" s="76"/>
    </row>
    <row r="6079" spans="1:3" x14ac:dyDescent="0.2">
      <c r="A6079" s="76"/>
      <c r="C6079" s="76"/>
    </row>
    <row r="6080" spans="1:3" x14ac:dyDescent="0.2">
      <c r="A6080" s="76"/>
      <c r="C6080" s="76"/>
    </row>
    <row r="6081" spans="1:3" x14ac:dyDescent="0.2">
      <c r="A6081" s="76"/>
      <c r="C6081" s="76"/>
    </row>
    <row r="6082" spans="1:3" x14ac:dyDescent="0.2">
      <c r="A6082" s="76"/>
      <c r="C6082" s="76"/>
    </row>
    <row r="6083" spans="1:3" x14ac:dyDescent="0.2">
      <c r="A6083" s="76"/>
      <c r="C6083" s="76"/>
    </row>
    <row r="6084" spans="1:3" x14ac:dyDescent="0.2">
      <c r="A6084" s="76"/>
      <c r="C6084" s="76"/>
    </row>
    <row r="6085" spans="1:3" x14ac:dyDescent="0.2">
      <c r="A6085" s="76"/>
      <c r="C6085" s="76"/>
    </row>
    <row r="6086" spans="1:3" x14ac:dyDescent="0.2">
      <c r="A6086" s="76"/>
      <c r="C6086" s="76"/>
    </row>
    <row r="6087" spans="1:3" x14ac:dyDescent="0.2">
      <c r="A6087" s="76"/>
      <c r="C6087" s="76"/>
    </row>
    <row r="6088" spans="1:3" x14ac:dyDescent="0.2">
      <c r="A6088" s="76"/>
      <c r="C6088" s="76"/>
    </row>
    <row r="6089" spans="1:3" x14ac:dyDescent="0.2">
      <c r="A6089" s="76"/>
      <c r="C6089" s="76"/>
    </row>
    <row r="6090" spans="1:3" x14ac:dyDescent="0.2">
      <c r="A6090" s="76"/>
      <c r="C6090" s="76"/>
    </row>
    <row r="6091" spans="1:3" x14ac:dyDescent="0.2">
      <c r="A6091" s="76"/>
      <c r="C6091" s="76"/>
    </row>
    <row r="6092" spans="1:3" x14ac:dyDescent="0.2">
      <c r="A6092" s="76"/>
      <c r="C6092" s="76"/>
    </row>
    <row r="6093" spans="1:3" x14ac:dyDescent="0.2">
      <c r="A6093" s="76"/>
      <c r="C6093" s="76"/>
    </row>
    <row r="6094" spans="1:3" x14ac:dyDescent="0.2">
      <c r="A6094" s="76"/>
      <c r="C6094" s="76"/>
    </row>
    <row r="6095" spans="1:3" x14ac:dyDescent="0.2">
      <c r="A6095" s="76"/>
      <c r="C6095" s="76"/>
    </row>
    <row r="6096" spans="1:3" x14ac:dyDescent="0.2">
      <c r="A6096" s="76"/>
      <c r="C6096" s="76"/>
    </row>
    <row r="6097" spans="1:3" x14ac:dyDescent="0.2">
      <c r="A6097" s="76"/>
      <c r="C6097" s="76"/>
    </row>
    <row r="6098" spans="1:3" x14ac:dyDescent="0.2">
      <c r="A6098" s="76"/>
      <c r="C6098" s="76"/>
    </row>
    <row r="6099" spans="1:3" x14ac:dyDescent="0.2">
      <c r="A6099" s="76"/>
      <c r="C6099" s="76"/>
    </row>
    <row r="6100" spans="1:3" x14ac:dyDescent="0.2">
      <c r="A6100" s="76"/>
      <c r="C6100" s="76"/>
    </row>
    <row r="6101" spans="1:3" x14ac:dyDescent="0.2">
      <c r="A6101" s="76"/>
      <c r="C6101" s="76"/>
    </row>
    <row r="6102" spans="1:3" x14ac:dyDescent="0.2">
      <c r="A6102" s="76"/>
      <c r="C6102" s="76"/>
    </row>
    <row r="6103" spans="1:3" x14ac:dyDescent="0.2">
      <c r="A6103" s="76"/>
      <c r="C6103" s="76"/>
    </row>
    <row r="6104" spans="1:3" x14ac:dyDescent="0.2">
      <c r="A6104" s="76"/>
      <c r="C6104" s="76"/>
    </row>
    <row r="6105" spans="1:3" x14ac:dyDescent="0.2">
      <c r="A6105" s="76"/>
      <c r="C6105" s="76"/>
    </row>
    <row r="6106" spans="1:3" x14ac:dyDescent="0.2">
      <c r="A6106" s="76"/>
      <c r="C6106" s="76"/>
    </row>
    <row r="6107" spans="1:3" x14ac:dyDescent="0.2">
      <c r="A6107" s="76"/>
      <c r="C6107" s="76"/>
    </row>
    <row r="6108" spans="1:3" x14ac:dyDescent="0.2">
      <c r="A6108" s="76"/>
      <c r="C6108" s="76"/>
    </row>
    <row r="6109" spans="1:3" x14ac:dyDescent="0.2">
      <c r="A6109" s="76"/>
      <c r="C6109" s="76"/>
    </row>
    <row r="6110" spans="1:3" x14ac:dyDescent="0.2">
      <c r="A6110" s="76"/>
      <c r="C6110" s="76"/>
    </row>
    <row r="6111" spans="1:3" x14ac:dyDescent="0.2">
      <c r="A6111" s="76"/>
      <c r="C6111" s="76"/>
    </row>
    <row r="6112" spans="1:3" x14ac:dyDescent="0.2">
      <c r="A6112" s="76"/>
      <c r="C6112" s="76"/>
    </row>
    <row r="6113" spans="1:3" x14ac:dyDescent="0.2">
      <c r="A6113" s="76"/>
      <c r="C6113" s="76"/>
    </row>
    <row r="6114" spans="1:3" x14ac:dyDescent="0.2">
      <c r="A6114" s="76"/>
      <c r="C6114" s="76"/>
    </row>
    <row r="6115" spans="1:3" x14ac:dyDescent="0.2">
      <c r="A6115" s="76"/>
      <c r="C6115" s="76"/>
    </row>
    <row r="6116" spans="1:3" x14ac:dyDescent="0.2">
      <c r="A6116" s="76"/>
      <c r="C6116" s="76"/>
    </row>
    <row r="6117" spans="1:3" x14ac:dyDescent="0.2">
      <c r="A6117" s="76"/>
      <c r="C6117" s="76"/>
    </row>
    <row r="6118" spans="1:3" x14ac:dyDescent="0.2">
      <c r="A6118" s="76"/>
      <c r="C6118" s="76"/>
    </row>
    <row r="6119" spans="1:3" x14ac:dyDescent="0.2">
      <c r="A6119" s="76"/>
      <c r="C6119" s="76"/>
    </row>
    <row r="6120" spans="1:3" x14ac:dyDescent="0.2">
      <c r="A6120" s="76"/>
      <c r="C6120" s="76"/>
    </row>
    <row r="6121" spans="1:3" x14ac:dyDescent="0.2">
      <c r="A6121" s="76"/>
      <c r="C6121" s="76"/>
    </row>
    <row r="6122" spans="1:3" x14ac:dyDescent="0.2">
      <c r="A6122" s="76"/>
      <c r="C6122" s="76"/>
    </row>
    <row r="6123" spans="1:3" x14ac:dyDescent="0.2">
      <c r="A6123" s="76"/>
      <c r="C6123" s="76"/>
    </row>
    <row r="6124" spans="1:3" x14ac:dyDescent="0.2">
      <c r="A6124" s="76"/>
      <c r="C6124" s="76"/>
    </row>
    <row r="6125" spans="1:3" x14ac:dyDescent="0.2">
      <c r="A6125" s="76"/>
      <c r="C6125" s="76"/>
    </row>
    <row r="6126" spans="1:3" x14ac:dyDescent="0.2">
      <c r="A6126" s="76"/>
      <c r="C6126" s="76"/>
    </row>
    <row r="6127" spans="1:3" x14ac:dyDescent="0.2">
      <c r="A6127" s="76"/>
      <c r="C6127" s="76"/>
    </row>
    <row r="6128" spans="1:3" x14ac:dyDescent="0.2">
      <c r="A6128" s="76"/>
      <c r="C6128" s="76"/>
    </row>
    <row r="6129" spans="1:3" x14ac:dyDescent="0.2">
      <c r="A6129" s="76"/>
      <c r="C6129" s="76"/>
    </row>
    <row r="6130" spans="1:3" x14ac:dyDescent="0.2">
      <c r="A6130" s="76"/>
      <c r="C6130" s="76"/>
    </row>
    <row r="6131" spans="1:3" x14ac:dyDescent="0.2">
      <c r="A6131" s="76"/>
      <c r="C6131" s="76"/>
    </row>
    <row r="6132" spans="1:3" x14ac:dyDescent="0.2">
      <c r="A6132" s="76"/>
      <c r="C6132" s="76"/>
    </row>
    <row r="6133" spans="1:3" x14ac:dyDescent="0.2">
      <c r="A6133" s="76"/>
      <c r="C6133" s="76"/>
    </row>
    <row r="6134" spans="1:3" x14ac:dyDescent="0.2">
      <c r="A6134" s="76"/>
      <c r="C6134" s="76"/>
    </row>
    <row r="6135" spans="1:3" x14ac:dyDescent="0.2">
      <c r="A6135" s="76"/>
      <c r="C6135" s="76"/>
    </row>
    <row r="6136" spans="1:3" x14ac:dyDescent="0.2">
      <c r="A6136" s="76"/>
      <c r="C6136" s="76"/>
    </row>
    <row r="6137" spans="1:3" x14ac:dyDescent="0.2">
      <c r="A6137" s="76"/>
      <c r="C6137" s="76"/>
    </row>
    <row r="6138" spans="1:3" x14ac:dyDescent="0.2">
      <c r="A6138" s="76"/>
      <c r="C6138" s="76"/>
    </row>
    <row r="6139" spans="1:3" x14ac:dyDescent="0.2">
      <c r="A6139" s="76"/>
      <c r="C6139" s="76"/>
    </row>
    <row r="6140" spans="1:3" x14ac:dyDescent="0.2">
      <c r="A6140" s="76"/>
      <c r="C6140" s="76"/>
    </row>
    <row r="6141" spans="1:3" x14ac:dyDescent="0.2">
      <c r="A6141" s="76"/>
      <c r="C6141" s="76"/>
    </row>
    <row r="6142" spans="1:3" x14ac:dyDescent="0.2">
      <c r="A6142" s="76"/>
      <c r="C6142" s="76"/>
    </row>
    <row r="6143" spans="1:3" x14ac:dyDescent="0.2">
      <c r="A6143" s="76"/>
      <c r="C6143" s="76"/>
    </row>
    <row r="6144" spans="1:3" x14ac:dyDescent="0.2">
      <c r="A6144" s="76"/>
      <c r="C6144" s="76"/>
    </row>
    <row r="6145" spans="1:3" x14ac:dyDescent="0.2">
      <c r="A6145" s="76"/>
      <c r="C6145" s="76"/>
    </row>
    <row r="6146" spans="1:3" x14ac:dyDescent="0.2">
      <c r="A6146" s="76"/>
      <c r="C6146" s="76"/>
    </row>
    <row r="6147" spans="1:3" x14ac:dyDescent="0.2">
      <c r="A6147" s="76"/>
      <c r="C6147" s="76"/>
    </row>
    <row r="6148" spans="1:3" x14ac:dyDescent="0.2">
      <c r="A6148" s="76"/>
      <c r="C6148" s="76"/>
    </row>
    <row r="6149" spans="1:3" x14ac:dyDescent="0.2">
      <c r="A6149" s="76"/>
      <c r="C6149" s="76"/>
    </row>
    <row r="6150" spans="1:3" x14ac:dyDescent="0.2">
      <c r="A6150" s="76"/>
      <c r="C6150" s="76"/>
    </row>
    <row r="6151" spans="1:3" x14ac:dyDescent="0.2">
      <c r="A6151" s="76"/>
      <c r="C6151" s="76"/>
    </row>
    <row r="6152" spans="1:3" x14ac:dyDescent="0.2">
      <c r="A6152" s="76"/>
      <c r="C6152" s="76"/>
    </row>
    <row r="6153" spans="1:3" x14ac:dyDescent="0.2">
      <c r="A6153" s="76"/>
      <c r="C6153" s="76"/>
    </row>
    <row r="6154" spans="1:3" x14ac:dyDescent="0.2">
      <c r="A6154" s="76"/>
      <c r="C6154" s="76"/>
    </row>
    <row r="6155" spans="1:3" x14ac:dyDescent="0.2">
      <c r="A6155" s="76"/>
      <c r="C6155" s="76"/>
    </row>
    <row r="6156" spans="1:3" x14ac:dyDescent="0.2">
      <c r="A6156" s="76"/>
      <c r="C6156" s="76"/>
    </row>
    <row r="6157" spans="1:3" x14ac:dyDescent="0.2">
      <c r="A6157" s="76"/>
      <c r="C6157" s="76"/>
    </row>
    <row r="6158" spans="1:3" x14ac:dyDescent="0.2">
      <c r="A6158" s="76"/>
      <c r="C6158" s="76"/>
    </row>
    <row r="6159" spans="1:3" x14ac:dyDescent="0.2">
      <c r="A6159" s="76"/>
      <c r="C6159" s="76"/>
    </row>
    <row r="6160" spans="1:3" x14ac:dyDescent="0.2">
      <c r="A6160" s="76"/>
      <c r="C6160" s="76"/>
    </row>
    <row r="6161" spans="1:3" x14ac:dyDescent="0.2">
      <c r="A6161" s="76"/>
      <c r="C6161" s="76"/>
    </row>
    <row r="6162" spans="1:3" x14ac:dyDescent="0.2">
      <c r="A6162" s="76"/>
      <c r="C6162" s="76"/>
    </row>
    <row r="6163" spans="1:3" x14ac:dyDescent="0.2">
      <c r="A6163" s="76"/>
      <c r="C6163" s="76"/>
    </row>
    <row r="6164" spans="1:3" x14ac:dyDescent="0.2">
      <c r="A6164" s="76"/>
      <c r="C6164" s="76"/>
    </row>
    <row r="6165" spans="1:3" x14ac:dyDescent="0.2">
      <c r="A6165" s="76"/>
      <c r="C6165" s="76"/>
    </row>
    <row r="6166" spans="1:3" x14ac:dyDescent="0.2">
      <c r="A6166" s="76"/>
      <c r="C6166" s="76"/>
    </row>
    <row r="6167" spans="1:3" x14ac:dyDescent="0.2">
      <c r="A6167" s="76"/>
      <c r="C6167" s="76"/>
    </row>
    <row r="6168" spans="1:3" x14ac:dyDescent="0.2">
      <c r="A6168" s="76"/>
      <c r="C6168" s="76"/>
    </row>
    <row r="6169" spans="1:3" x14ac:dyDescent="0.2">
      <c r="A6169" s="76"/>
      <c r="C6169" s="76"/>
    </row>
    <row r="6170" spans="1:3" x14ac:dyDescent="0.2">
      <c r="A6170" s="76"/>
      <c r="C6170" s="76"/>
    </row>
    <row r="6171" spans="1:3" x14ac:dyDescent="0.2">
      <c r="A6171" s="76"/>
      <c r="C6171" s="76"/>
    </row>
    <row r="6172" spans="1:3" x14ac:dyDescent="0.2">
      <c r="A6172" s="76"/>
      <c r="C6172" s="76"/>
    </row>
    <row r="6173" spans="1:3" x14ac:dyDescent="0.2">
      <c r="A6173" s="76"/>
      <c r="C6173" s="76"/>
    </row>
    <row r="6174" spans="1:3" x14ac:dyDescent="0.2">
      <c r="A6174" s="76"/>
      <c r="C6174" s="76"/>
    </row>
    <row r="6175" spans="1:3" x14ac:dyDescent="0.2">
      <c r="A6175" s="76"/>
      <c r="C6175" s="76"/>
    </row>
    <row r="6176" spans="1:3" x14ac:dyDescent="0.2">
      <c r="A6176" s="76"/>
      <c r="C6176" s="76"/>
    </row>
    <row r="6177" spans="1:3" x14ac:dyDescent="0.2">
      <c r="A6177" s="76"/>
      <c r="C6177" s="76"/>
    </row>
    <row r="6178" spans="1:3" x14ac:dyDescent="0.2">
      <c r="A6178" s="76"/>
      <c r="C6178" s="76"/>
    </row>
    <row r="6179" spans="1:3" x14ac:dyDescent="0.2">
      <c r="A6179" s="76"/>
      <c r="C6179" s="76"/>
    </row>
    <row r="6180" spans="1:3" x14ac:dyDescent="0.2">
      <c r="A6180" s="76"/>
      <c r="C6180" s="76"/>
    </row>
    <row r="6181" spans="1:3" x14ac:dyDescent="0.2">
      <c r="A6181" s="76"/>
      <c r="C6181" s="76"/>
    </row>
    <row r="6182" spans="1:3" x14ac:dyDescent="0.2">
      <c r="A6182" s="76"/>
      <c r="C6182" s="76"/>
    </row>
    <row r="6183" spans="1:3" x14ac:dyDescent="0.2">
      <c r="A6183" s="76"/>
      <c r="C6183" s="76"/>
    </row>
    <row r="6184" spans="1:3" x14ac:dyDescent="0.2">
      <c r="A6184" s="76"/>
      <c r="C6184" s="76"/>
    </row>
    <row r="6185" spans="1:3" x14ac:dyDescent="0.2">
      <c r="A6185" s="76"/>
      <c r="C6185" s="76"/>
    </row>
    <row r="6186" spans="1:3" x14ac:dyDescent="0.2">
      <c r="A6186" s="76"/>
      <c r="C6186" s="76"/>
    </row>
    <row r="6187" spans="1:3" x14ac:dyDescent="0.2">
      <c r="A6187" s="76"/>
      <c r="C6187" s="76"/>
    </row>
    <row r="6188" spans="1:3" x14ac:dyDescent="0.2">
      <c r="A6188" s="76"/>
      <c r="C6188" s="76"/>
    </row>
    <row r="6189" spans="1:3" x14ac:dyDescent="0.2">
      <c r="A6189" s="76"/>
      <c r="C6189" s="76"/>
    </row>
    <row r="6190" spans="1:3" x14ac:dyDescent="0.2">
      <c r="A6190" s="76"/>
      <c r="C6190" s="76"/>
    </row>
    <row r="6191" spans="1:3" x14ac:dyDescent="0.2">
      <c r="A6191" s="76"/>
      <c r="C6191" s="76"/>
    </row>
    <row r="6192" spans="1:3" x14ac:dyDescent="0.2">
      <c r="A6192" s="76"/>
      <c r="C6192" s="76"/>
    </row>
    <row r="6193" spans="1:3" x14ac:dyDescent="0.2">
      <c r="A6193" s="76"/>
      <c r="C6193" s="76"/>
    </row>
    <row r="6194" spans="1:3" x14ac:dyDescent="0.2">
      <c r="A6194" s="76"/>
      <c r="C6194" s="76"/>
    </row>
    <row r="6195" spans="1:3" x14ac:dyDescent="0.2">
      <c r="A6195" s="76"/>
      <c r="C6195" s="76"/>
    </row>
    <row r="6196" spans="1:3" x14ac:dyDescent="0.2">
      <c r="A6196" s="76"/>
      <c r="C6196" s="76"/>
    </row>
    <row r="6197" spans="1:3" x14ac:dyDescent="0.2">
      <c r="A6197" s="76"/>
      <c r="C6197" s="76"/>
    </row>
    <row r="6198" spans="1:3" x14ac:dyDescent="0.2">
      <c r="A6198" s="76"/>
      <c r="C6198" s="76"/>
    </row>
    <row r="6199" spans="1:3" x14ac:dyDescent="0.2">
      <c r="A6199" s="76"/>
      <c r="C6199" s="76"/>
    </row>
    <row r="6200" spans="1:3" x14ac:dyDescent="0.2">
      <c r="A6200" s="76"/>
      <c r="C6200" s="76"/>
    </row>
    <row r="6201" spans="1:3" x14ac:dyDescent="0.2">
      <c r="A6201" s="76"/>
      <c r="C6201" s="76"/>
    </row>
    <row r="6202" spans="1:3" x14ac:dyDescent="0.2">
      <c r="A6202" s="76"/>
      <c r="C6202" s="76"/>
    </row>
    <row r="6203" spans="1:3" x14ac:dyDescent="0.2">
      <c r="A6203" s="76"/>
      <c r="C6203" s="76"/>
    </row>
    <row r="6204" spans="1:3" x14ac:dyDescent="0.2">
      <c r="A6204" s="76"/>
      <c r="C6204" s="76"/>
    </row>
    <row r="6205" spans="1:3" x14ac:dyDescent="0.2">
      <c r="A6205" s="76"/>
      <c r="C6205" s="76"/>
    </row>
    <row r="6206" spans="1:3" x14ac:dyDescent="0.2">
      <c r="A6206" s="76"/>
      <c r="C6206" s="76"/>
    </row>
    <row r="6207" spans="1:3" x14ac:dyDescent="0.2">
      <c r="A6207" s="76"/>
      <c r="C6207" s="76"/>
    </row>
    <row r="6208" spans="1:3" x14ac:dyDescent="0.2">
      <c r="A6208" s="76"/>
      <c r="C6208" s="76"/>
    </row>
    <row r="6209" spans="1:3" x14ac:dyDescent="0.2">
      <c r="A6209" s="76"/>
      <c r="C6209" s="76"/>
    </row>
    <row r="6210" spans="1:3" x14ac:dyDescent="0.2">
      <c r="A6210" s="76"/>
      <c r="C6210" s="76"/>
    </row>
    <row r="6211" spans="1:3" x14ac:dyDescent="0.2">
      <c r="A6211" s="76"/>
      <c r="C6211" s="76"/>
    </row>
    <row r="6212" spans="1:3" x14ac:dyDescent="0.2">
      <c r="A6212" s="76"/>
      <c r="C6212" s="76"/>
    </row>
    <row r="6213" spans="1:3" x14ac:dyDescent="0.2">
      <c r="A6213" s="76"/>
      <c r="C6213" s="76"/>
    </row>
    <row r="6214" spans="1:3" x14ac:dyDescent="0.2">
      <c r="A6214" s="76"/>
      <c r="C6214" s="76"/>
    </row>
    <row r="6215" spans="1:3" x14ac:dyDescent="0.2">
      <c r="A6215" s="76"/>
      <c r="C6215" s="76"/>
    </row>
    <row r="6216" spans="1:3" x14ac:dyDescent="0.2">
      <c r="A6216" s="76"/>
      <c r="C6216" s="76"/>
    </row>
    <row r="6217" spans="1:3" x14ac:dyDescent="0.2">
      <c r="A6217" s="76"/>
      <c r="C6217" s="76"/>
    </row>
    <row r="6218" spans="1:3" x14ac:dyDescent="0.2">
      <c r="A6218" s="76"/>
      <c r="C6218" s="76"/>
    </row>
    <row r="6219" spans="1:3" x14ac:dyDescent="0.2">
      <c r="A6219" s="76"/>
      <c r="C6219" s="76"/>
    </row>
    <row r="6220" spans="1:3" x14ac:dyDescent="0.2">
      <c r="A6220" s="76"/>
      <c r="C6220" s="76"/>
    </row>
    <row r="6221" spans="1:3" x14ac:dyDescent="0.2">
      <c r="A6221" s="76"/>
      <c r="C6221" s="76"/>
    </row>
    <row r="6222" spans="1:3" x14ac:dyDescent="0.2">
      <c r="A6222" s="76"/>
      <c r="C6222" s="76"/>
    </row>
    <row r="6223" spans="1:3" x14ac:dyDescent="0.2">
      <c r="A6223" s="76"/>
      <c r="C6223" s="76"/>
    </row>
    <row r="6224" spans="1:3" x14ac:dyDescent="0.2">
      <c r="A6224" s="76"/>
      <c r="C6224" s="76"/>
    </row>
    <row r="6225" spans="1:3" x14ac:dyDescent="0.2">
      <c r="A6225" s="76"/>
      <c r="C6225" s="76"/>
    </row>
    <row r="6226" spans="1:3" x14ac:dyDescent="0.2">
      <c r="A6226" s="76"/>
      <c r="C6226" s="76"/>
    </row>
    <row r="6227" spans="1:3" x14ac:dyDescent="0.2">
      <c r="A6227" s="76"/>
      <c r="C6227" s="76"/>
    </row>
    <row r="6228" spans="1:3" x14ac:dyDescent="0.2">
      <c r="A6228" s="76"/>
      <c r="C6228" s="76"/>
    </row>
    <row r="6229" spans="1:3" x14ac:dyDescent="0.2">
      <c r="A6229" s="76"/>
      <c r="C6229" s="76"/>
    </row>
    <row r="6230" spans="1:3" x14ac:dyDescent="0.2">
      <c r="A6230" s="76"/>
      <c r="C6230" s="76"/>
    </row>
    <row r="6231" spans="1:3" x14ac:dyDescent="0.2">
      <c r="A6231" s="76"/>
      <c r="C6231" s="76"/>
    </row>
    <row r="6232" spans="1:3" x14ac:dyDescent="0.2">
      <c r="A6232" s="76"/>
      <c r="C6232" s="76"/>
    </row>
    <row r="6233" spans="1:3" x14ac:dyDescent="0.2">
      <c r="A6233" s="76"/>
      <c r="C6233" s="76"/>
    </row>
    <row r="6234" spans="1:3" x14ac:dyDescent="0.2">
      <c r="A6234" s="76"/>
      <c r="C6234" s="76"/>
    </row>
    <row r="6235" spans="1:3" x14ac:dyDescent="0.2">
      <c r="A6235" s="76"/>
      <c r="C6235" s="76"/>
    </row>
    <row r="6236" spans="1:3" x14ac:dyDescent="0.2">
      <c r="A6236" s="76"/>
      <c r="C6236" s="76"/>
    </row>
    <row r="6237" spans="1:3" x14ac:dyDescent="0.2">
      <c r="A6237" s="76"/>
      <c r="C6237" s="76"/>
    </row>
    <row r="6238" spans="1:3" x14ac:dyDescent="0.2">
      <c r="A6238" s="76"/>
      <c r="C6238" s="76"/>
    </row>
    <row r="6239" spans="1:3" x14ac:dyDescent="0.2">
      <c r="A6239" s="76"/>
      <c r="C6239" s="76"/>
    </row>
    <row r="6240" spans="1:3" x14ac:dyDescent="0.2">
      <c r="A6240" s="76"/>
      <c r="C6240" s="76"/>
    </row>
    <row r="6241" spans="1:3" x14ac:dyDescent="0.2">
      <c r="A6241" s="76"/>
      <c r="C6241" s="76"/>
    </row>
    <row r="6242" spans="1:3" x14ac:dyDescent="0.2">
      <c r="A6242" s="76"/>
      <c r="C6242" s="76"/>
    </row>
    <row r="6243" spans="1:3" x14ac:dyDescent="0.2">
      <c r="A6243" s="76"/>
      <c r="C6243" s="76"/>
    </row>
    <row r="6244" spans="1:3" x14ac:dyDescent="0.2">
      <c r="A6244" s="76"/>
      <c r="C6244" s="76"/>
    </row>
    <row r="6245" spans="1:3" x14ac:dyDescent="0.2">
      <c r="A6245" s="76"/>
      <c r="C6245" s="76"/>
    </row>
    <row r="6246" spans="1:3" x14ac:dyDescent="0.2">
      <c r="A6246" s="76"/>
      <c r="C6246" s="76"/>
    </row>
    <row r="6247" spans="1:3" x14ac:dyDescent="0.2">
      <c r="A6247" s="76"/>
      <c r="C6247" s="76"/>
    </row>
    <row r="6248" spans="1:3" x14ac:dyDescent="0.2">
      <c r="A6248" s="76"/>
      <c r="C6248" s="76"/>
    </row>
    <row r="6249" spans="1:3" x14ac:dyDescent="0.2">
      <c r="A6249" s="76"/>
      <c r="C6249" s="76"/>
    </row>
    <row r="6250" spans="1:3" x14ac:dyDescent="0.2">
      <c r="A6250" s="76"/>
      <c r="C6250" s="76"/>
    </row>
    <row r="6251" spans="1:3" x14ac:dyDescent="0.2">
      <c r="A6251" s="76"/>
      <c r="C6251" s="76"/>
    </row>
    <row r="6252" spans="1:3" x14ac:dyDescent="0.2">
      <c r="A6252" s="76"/>
      <c r="C6252" s="76"/>
    </row>
    <row r="6253" spans="1:3" x14ac:dyDescent="0.2">
      <c r="A6253" s="76"/>
      <c r="C6253" s="76"/>
    </row>
    <row r="6254" spans="1:3" x14ac:dyDescent="0.2">
      <c r="A6254" s="76"/>
      <c r="C6254" s="76"/>
    </row>
    <row r="6255" spans="1:3" x14ac:dyDescent="0.2">
      <c r="A6255" s="76"/>
      <c r="C6255" s="76"/>
    </row>
    <row r="6256" spans="1:3" x14ac:dyDescent="0.2">
      <c r="A6256" s="76"/>
      <c r="C6256" s="76"/>
    </row>
    <row r="6257" spans="1:3" x14ac:dyDescent="0.2">
      <c r="A6257" s="76"/>
      <c r="C6257" s="76"/>
    </row>
    <row r="6258" spans="1:3" x14ac:dyDescent="0.2">
      <c r="A6258" s="76"/>
      <c r="C6258" s="76"/>
    </row>
    <row r="6259" spans="1:3" x14ac:dyDescent="0.2">
      <c r="A6259" s="76"/>
      <c r="C6259" s="76"/>
    </row>
    <row r="6260" spans="1:3" x14ac:dyDescent="0.2">
      <c r="A6260" s="76"/>
      <c r="C6260" s="76"/>
    </row>
    <row r="6261" spans="1:3" x14ac:dyDescent="0.2">
      <c r="A6261" s="76"/>
      <c r="C6261" s="76"/>
    </row>
    <row r="6262" spans="1:3" x14ac:dyDescent="0.2">
      <c r="A6262" s="76"/>
      <c r="C6262" s="76"/>
    </row>
    <row r="6263" spans="1:3" x14ac:dyDescent="0.2">
      <c r="A6263" s="76"/>
      <c r="C6263" s="76"/>
    </row>
    <row r="6264" spans="1:3" x14ac:dyDescent="0.2">
      <c r="A6264" s="76"/>
      <c r="C6264" s="76"/>
    </row>
    <row r="6265" spans="1:3" x14ac:dyDescent="0.2">
      <c r="A6265" s="76"/>
      <c r="C6265" s="76"/>
    </row>
    <row r="6266" spans="1:3" x14ac:dyDescent="0.2">
      <c r="A6266" s="76"/>
      <c r="C6266" s="76"/>
    </row>
    <row r="6267" spans="1:3" x14ac:dyDescent="0.2">
      <c r="A6267" s="76"/>
      <c r="C6267" s="76"/>
    </row>
    <row r="6268" spans="1:3" x14ac:dyDescent="0.2">
      <c r="A6268" s="76"/>
      <c r="C6268" s="76"/>
    </row>
    <row r="6269" spans="1:3" x14ac:dyDescent="0.2">
      <c r="A6269" s="76"/>
      <c r="C6269" s="76"/>
    </row>
    <row r="6270" spans="1:3" x14ac:dyDescent="0.2">
      <c r="A6270" s="76"/>
      <c r="C6270" s="76"/>
    </row>
    <row r="6271" spans="1:3" x14ac:dyDescent="0.2">
      <c r="A6271" s="76"/>
      <c r="C6271" s="76"/>
    </row>
    <row r="6272" spans="1:3" x14ac:dyDescent="0.2">
      <c r="A6272" s="76"/>
      <c r="C6272" s="76"/>
    </row>
    <row r="6273" spans="1:3" x14ac:dyDescent="0.2">
      <c r="A6273" s="76"/>
      <c r="C6273" s="76"/>
    </row>
    <row r="6274" spans="1:3" x14ac:dyDescent="0.2">
      <c r="A6274" s="76"/>
      <c r="C6274" s="76"/>
    </row>
    <row r="6275" spans="1:3" x14ac:dyDescent="0.2">
      <c r="A6275" s="76"/>
      <c r="C6275" s="76"/>
    </row>
    <row r="6276" spans="1:3" x14ac:dyDescent="0.2">
      <c r="A6276" s="76"/>
      <c r="C6276" s="76"/>
    </row>
    <row r="6277" spans="1:3" x14ac:dyDescent="0.2">
      <c r="A6277" s="76"/>
      <c r="C6277" s="76"/>
    </row>
    <row r="6278" spans="1:3" x14ac:dyDescent="0.2">
      <c r="A6278" s="76"/>
      <c r="C6278" s="76"/>
    </row>
    <row r="6279" spans="1:3" x14ac:dyDescent="0.2">
      <c r="A6279" s="76"/>
      <c r="C6279" s="76"/>
    </row>
    <row r="6280" spans="1:3" x14ac:dyDescent="0.2">
      <c r="A6280" s="76"/>
      <c r="C6280" s="76"/>
    </row>
    <row r="6281" spans="1:3" x14ac:dyDescent="0.2">
      <c r="A6281" s="76"/>
      <c r="C6281" s="76"/>
    </row>
    <row r="6282" spans="1:3" x14ac:dyDescent="0.2">
      <c r="A6282" s="76"/>
      <c r="C6282" s="76"/>
    </row>
    <row r="6283" spans="1:3" x14ac:dyDescent="0.2">
      <c r="A6283" s="76"/>
      <c r="C6283" s="76"/>
    </row>
    <row r="6284" spans="1:3" x14ac:dyDescent="0.2">
      <c r="A6284" s="76"/>
      <c r="C6284" s="76"/>
    </row>
    <row r="6285" spans="1:3" x14ac:dyDescent="0.2">
      <c r="A6285" s="76"/>
      <c r="C6285" s="76"/>
    </row>
    <row r="6286" spans="1:3" x14ac:dyDescent="0.2">
      <c r="A6286" s="76"/>
      <c r="C6286" s="76"/>
    </row>
    <row r="6287" spans="1:3" x14ac:dyDescent="0.2">
      <c r="A6287" s="76"/>
      <c r="C6287" s="76"/>
    </row>
    <row r="6288" spans="1:3" x14ac:dyDescent="0.2">
      <c r="A6288" s="76"/>
      <c r="C6288" s="76"/>
    </row>
    <row r="6289" spans="1:3" x14ac:dyDescent="0.2">
      <c r="A6289" s="76"/>
      <c r="C6289" s="76"/>
    </row>
    <row r="6290" spans="1:3" x14ac:dyDescent="0.2">
      <c r="A6290" s="76"/>
      <c r="C6290" s="76"/>
    </row>
    <row r="6291" spans="1:3" x14ac:dyDescent="0.2">
      <c r="A6291" s="76"/>
      <c r="C6291" s="76"/>
    </row>
    <row r="6292" spans="1:3" x14ac:dyDescent="0.2">
      <c r="A6292" s="76"/>
      <c r="C6292" s="76"/>
    </row>
    <row r="6293" spans="1:3" x14ac:dyDescent="0.2">
      <c r="A6293" s="76"/>
      <c r="C6293" s="76"/>
    </row>
    <row r="6294" spans="1:3" x14ac:dyDescent="0.2">
      <c r="A6294" s="76"/>
      <c r="C6294" s="76"/>
    </row>
    <row r="6295" spans="1:3" x14ac:dyDescent="0.2">
      <c r="A6295" s="76"/>
      <c r="C6295" s="76"/>
    </row>
    <row r="6296" spans="1:3" x14ac:dyDescent="0.2">
      <c r="A6296" s="76"/>
      <c r="C6296" s="76"/>
    </row>
    <row r="6297" spans="1:3" x14ac:dyDescent="0.2">
      <c r="A6297" s="76"/>
      <c r="C6297" s="76"/>
    </row>
    <row r="6298" spans="1:3" x14ac:dyDescent="0.2">
      <c r="A6298" s="76"/>
      <c r="C6298" s="76"/>
    </row>
    <row r="6299" spans="1:3" x14ac:dyDescent="0.2">
      <c r="A6299" s="76"/>
      <c r="C6299" s="76"/>
    </row>
    <row r="6300" spans="1:3" x14ac:dyDescent="0.2">
      <c r="A6300" s="76"/>
      <c r="C6300" s="76"/>
    </row>
    <row r="6301" spans="1:3" x14ac:dyDescent="0.2">
      <c r="A6301" s="76"/>
      <c r="C6301" s="76"/>
    </row>
    <row r="6302" spans="1:3" x14ac:dyDescent="0.2">
      <c r="A6302" s="76"/>
      <c r="C6302" s="76"/>
    </row>
    <row r="6303" spans="1:3" x14ac:dyDescent="0.2">
      <c r="A6303" s="76"/>
      <c r="C6303" s="76"/>
    </row>
    <row r="6304" spans="1:3" x14ac:dyDescent="0.2">
      <c r="A6304" s="76"/>
      <c r="C6304" s="76"/>
    </row>
    <row r="6305" spans="1:3" x14ac:dyDescent="0.2">
      <c r="A6305" s="76"/>
      <c r="C6305" s="76"/>
    </row>
    <row r="6306" spans="1:3" x14ac:dyDescent="0.2">
      <c r="A6306" s="76"/>
      <c r="C6306" s="76"/>
    </row>
    <row r="6307" spans="1:3" x14ac:dyDescent="0.2">
      <c r="A6307" s="76"/>
      <c r="C6307" s="76"/>
    </row>
    <row r="6308" spans="1:3" x14ac:dyDescent="0.2">
      <c r="A6308" s="76"/>
      <c r="C6308" s="76"/>
    </row>
    <row r="6309" spans="1:3" x14ac:dyDescent="0.2">
      <c r="A6309" s="76"/>
      <c r="C6309" s="76"/>
    </row>
    <row r="6310" spans="1:3" x14ac:dyDescent="0.2">
      <c r="A6310" s="76"/>
      <c r="C6310" s="76"/>
    </row>
    <row r="6311" spans="1:3" x14ac:dyDescent="0.2">
      <c r="A6311" s="76"/>
      <c r="C6311" s="76"/>
    </row>
    <row r="6312" spans="1:3" x14ac:dyDescent="0.2">
      <c r="A6312" s="76"/>
      <c r="C6312" s="76"/>
    </row>
    <row r="6313" spans="1:3" x14ac:dyDescent="0.2">
      <c r="A6313" s="76"/>
      <c r="C6313" s="76"/>
    </row>
    <row r="6314" spans="1:3" x14ac:dyDescent="0.2">
      <c r="A6314" s="76"/>
      <c r="C6314" s="76"/>
    </row>
    <row r="6315" spans="1:3" x14ac:dyDescent="0.2">
      <c r="A6315" s="76"/>
      <c r="C6315" s="76"/>
    </row>
    <row r="6316" spans="1:3" x14ac:dyDescent="0.2">
      <c r="A6316" s="76"/>
      <c r="C6316" s="76"/>
    </row>
    <row r="6317" spans="1:3" x14ac:dyDescent="0.2">
      <c r="A6317" s="76"/>
      <c r="C6317" s="76"/>
    </row>
    <row r="6318" spans="1:3" x14ac:dyDescent="0.2">
      <c r="A6318" s="76"/>
      <c r="C6318" s="76"/>
    </row>
    <row r="6319" spans="1:3" x14ac:dyDescent="0.2">
      <c r="A6319" s="76"/>
      <c r="C6319" s="76"/>
    </row>
    <row r="6320" spans="1:3" x14ac:dyDescent="0.2">
      <c r="A6320" s="76"/>
      <c r="C6320" s="76"/>
    </row>
    <row r="6321" spans="1:3" x14ac:dyDescent="0.2">
      <c r="A6321" s="76"/>
      <c r="C6321" s="76"/>
    </row>
    <row r="6322" spans="1:3" x14ac:dyDescent="0.2">
      <c r="A6322" s="76"/>
      <c r="C6322" s="76"/>
    </row>
    <row r="6323" spans="1:3" x14ac:dyDescent="0.2">
      <c r="A6323" s="76"/>
      <c r="C6323" s="76"/>
    </row>
    <row r="6324" spans="1:3" x14ac:dyDescent="0.2">
      <c r="A6324" s="76"/>
      <c r="C6324" s="76"/>
    </row>
    <row r="6325" spans="1:3" x14ac:dyDescent="0.2">
      <c r="A6325" s="76"/>
      <c r="C6325" s="76"/>
    </row>
    <row r="6326" spans="1:3" x14ac:dyDescent="0.2">
      <c r="A6326" s="76"/>
      <c r="C6326" s="76"/>
    </row>
    <row r="6327" spans="1:3" x14ac:dyDescent="0.2">
      <c r="A6327" s="76"/>
      <c r="C6327" s="76"/>
    </row>
    <row r="6328" spans="1:3" x14ac:dyDescent="0.2">
      <c r="A6328" s="76"/>
      <c r="C6328" s="76"/>
    </row>
    <row r="6329" spans="1:3" x14ac:dyDescent="0.2">
      <c r="A6329" s="76"/>
      <c r="C6329" s="76"/>
    </row>
    <row r="6330" spans="1:3" x14ac:dyDescent="0.2">
      <c r="A6330" s="76"/>
      <c r="C6330" s="76"/>
    </row>
    <row r="6331" spans="1:3" x14ac:dyDescent="0.2">
      <c r="A6331" s="76"/>
      <c r="C6331" s="76"/>
    </row>
    <row r="6332" spans="1:3" x14ac:dyDescent="0.2">
      <c r="A6332" s="76"/>
      <c r="C6332" s="76"/>
    </row>
    <row r="6333" spans="1:3" x14ac:dyDescent="0.2">
      <c r="A6333" s="76"/>
      <c r="C6333" s="76"/>
    </row>
    <row r="6334" spans="1:3" x14ac:dyDescent="0.2">
      <c r="A6334" s="76"/>
      <c r="C6334" s="76"/>
    </row>
    <row r="6335" spans="1:3" x14ac:dyDescent="0.2">
      <c r="A6335" s="76"/>
      <c r="C6335" s="76"/>
    </row>
    <row r="6336" spans="1:3" x14ac:dyDescent="0.2">
      <c r="A6336" s="76"/>
      <c r="C6336" s="76"/>
    </row>
    <row r="6337" spans="1:3" x14ac:dyDescent="0.2">
      <c r="A6337" s="76"/>
      <c r="C6337" s="76"/>
    </row>
    <row r="6338" spans="1:3" x14ac:dyDescent="0.2">
      <c r="A6338" s="76"/>
      <c r="C6338" s="76"/>
    </row>
    <row r="6339" spans="1:3" x14ac:dyDescent="0.2">
      <c r="A6339" s="76"/>
      <c r="C6339" s="76"/>
    </row>
    <row r="6340" spans="1:3" x14ac:dyDescent="0.2">
      <c r="A6340" s="76"/>
      <c r="C6340" s="76"/>
    </row>
    <row r="6341" spans="1:3" x14ac:dyDescent="0.2">
      <c r="A6341" s="76"/>
      <c r="C6341" s="76"/>
    </row>
    <row r="6342" spans="1:3" x14ac:dyDescent="0.2">
      <c r="A6342" s="76"/>
      <c r="C6342" s="76"/>
    </row>
    <row r="6343" spans="1:3" x14ac:dyDescent="0.2">
      <c r="A6343" s="76"/>
      <c r="C6343" s="76"/>
    </row>
    <row r="6344" spans="1:3" x14ac:dyDescent="0.2">
      <c r="A6344" s="76"/>
      <c r="C6344" s="76"/>
    </row>
    <row r="6345" spans="1:3" x14ac:dyDescent="0.2">
      <c r="A6345" s="76"/>
      <c r="C6345" s="76"/>
    </row>
    <row r="6346" spans="1:3" x14ac:dyDescent="0.2">
      <c r="A6346" s="76"/>
      <c r="C6346" s="76"/>
    </row>
    <row r="6347" spans="1:3" x14ac:dyDescent="0.2">
      <c r="A6347" s="76"/>
      <c r="C6347" s="76"/>
    </row>
    <row r="6348" spans="1:3" x14ac:dyDescent="0.2">
      <c r="A6348" s="76"/>
      <c r="C6348" s="76"/>
    </row>
    <row r="6349" spans="1:3" x14ac:dyDescent="0.2">
      <c r="A6349" s="76"/>
      <c r="C6349" s="76"/>
    </row>
    <row r="6350" spans="1:3" x14ac:dyDescent="0.2">
      <c r="A6350" s="76"/>
      <c r="C6350" s="76"/>
    </row>
    <row r="6351" spans="1:3" x14ac:dyDescent="0.2">
      <c r="A6351" s="76"/>
      <c r="C6351" s="76"/>
    </row>
    <row r="6352" spans="1:3" x14ac:dyDescent="0.2">
      <c r="A6352" s="76"/>
      <c r="C6352" s="76"/>
    </row>
    <row r="6353" spans="1:3" x14ac:dyDescent="0.2">
      <c r="A6353" s="76"/>
      <c r="C6353" s="76"/>
    </row>
    <row r="6354" spans="1:3" x14ac:dyDescent="0.2">
      <c r="A6354" s="76"/>
      <c r="C6354" s="76"/>
    </row>
    <row r="6355" spans="1:3" x14ac:dyDescent="0.2">
      <c r="A6355" s="76"/>
      <c r="C6355" s="76"/>
    </row>
    <row r="6356" spans="1:3" x14ac:dyDescent="0.2">
      <c r="A6356" s="76"/>
      <c r="C6356" s="76"/>
    </row>
    <row r="6357" spans="1:3" x14ac:dyDescent="0.2">
      <c r="A6357" s="76"/>
      <c r="C6357" s="76"/>
    </row>
    <row r="6358" spans="1:3" x14ac:dyDescent="0.2">
      <c r="A6358" s="76"/>
      <c r="C6358" s="76"/>
    </row>
    <row r="6359" spans="1:3" x14ac:dyDescent="0.2">
      <c r="A6359" s="76"/>
      <c r="C6359" s="76"/>
    </row>
    <row r="6360" spans="1:3" x14ac:dyDescent="0.2">
      <c r="A6360" s="76"/>
      <c r="C6360" s="76"/>
    </row>
    <row r="6361" spans="1:3" x14ac:dyDescent="0.2">
      <c r="A6361" s="76"/>
      <c r="C6361" s="76"/>
    </row>
    <row r="6362" spans="1:3" x14ac:dyDescent="0.2">
      <c r="A6362" s="76"/>
      <c r="C6362" s="76"/>
    </row>
    <row r="6363" spans="1:3" x14ac:dyDescent="0.2">
      <c r="A6363" s="76"/>
      <c r="C6363" s="76"/>
    </row>
    <row r="6364" spans="1:3" x14ac:dyDescent="0.2">
      <c r="A6364" s="76"/>
      <c r="C6364" s="76"/>
    </row>
    <row r="6365" spans="1:3" x14ac:dyDescent="0.2">
      <c r="A6365" s="76"/>
      <c r="C6365" s="76"/>
    </row>
    <row r="6366" spans="1:3" x14ac:dyDescent="0.2">
      <c r="A6366" s="76"/>
      <c r="C6366" s="76"/>
    </row>
    <row r="6367" spans="1:3" x14ac:dyDescent="0.2">
      <c r="A6367" s="76"/>
      <c r="C6367" s="76"/>
    </row>
    <row r="6368" spans="1:3" x14ac:dyDescent="0.2">
      <c r="A6368" s="76"/>
      <c r="C6368" s="76"/>
    </row>
    <row r="6369" spans="1:3" x14ac:dyDescent="0.2">
      <c r="A6369" s="76"/>
      <c r="C6369" s="76"/>
    </row>
    <row r="6370" spans="1:3" x14ac:dyDescent="0.2">
      <c r="A6370" s="76"/>
      <c r="C6370" s="76"/>
    </row>
    <row r="6371" spans="1:3" x14ac:dyDescent="0.2">
      <c r="A6371" s="76"/>
      <c r="C6371" s="76"/>
    </row>
    <row r="6372" spans="1:3" x14ac:dyDescent="0.2">
      <c r="A6372" s="76"/>
      <c r="C6372" s="76"/>
    </row>
    <row r="6373" spans="1:3" x14ac:dyDescent="0.2">
      <c r="A6373" s="76"/>
      <c r="C6373" s="76"/>
    </row>
    <row r="6374" spans="1:3" x14ac:dyDescent="0.2">
      <c r="A6374" s="76"/>
      <c r="C6374" s="76"/>
    </row>
    <row r="6375" spans="1:3" x14ac:dyDescent="0.2">
      <c r="A6375" s="76"/>
      <c r="C6375" s="76"/>
    </row>
    <row r="6376" spans="1:3" x14ac:dyDescent="0.2">
      <c r="A6376" s="76"/>
      <c r="C6376" s="76"/>
    </row>
    <row r="6377" spans="1:3" x14ac:dyDescent="0.2">
      <c r="A6377" s="76"/>
      <c r="C6377" s="76"/>
    </row>
    <row r="6378" spans="1:3" x14ac:dyDescent="0.2">
      <c r="A6378" s="76"/>
      <c r="C6378" s="76"/>
    </row>
    <row r="6379" spans="1:3" x14ac:dyDescent="0.2">
      <c r="A6379" s="76"/>
      <c r="C6379" s="76"/>
    </row>
    <row r="6380" spans="1:3" x14ac:dyDescent="0.2">
      <c r="A6380" s="76"/>
      <c r="C6380" s="76"/>
    </row>
    <row r="6381" spans="1:3" x14ac:dyDescent="0.2">
      <c r="A6381" s="76"/>
      <c r="C6381" s="76"/>
    </row>
    <row r="6382" spans="1:3" x14ac:dyDescent="0.2">
      <c r="A6382" s="76"/>
      <c r="C6382" s="76"/>
    </row>
    <row r="6383" spans="1:3" x14ac:dyDescent="0.2">
      <c r="A6383" s="76"/>
      <c r="C6383" s="76"/>
    </row>
    <row r="6384" spans="1:3" x14ac:dyDescent="0.2">
      <c r="A6384" s="76"/>
      <c r="C6384" s="76"/>
    </row>
    <row r="6385" spans="1:3" x14ac:dyDescent="0.2">
      <c r="A6385" s="76"/>
      <c r="C6385" s="76"/>
    </row>
    <row r="6386" spans="1:3" x14ac:dyDescent="0.2">
      <c r="A6386" s="76"/>
      <c r="C6386" s="76"/>
    </row>
    <row r="6387" spans="1:3" x14ac:dyDescent="0.2">
      <c r="A6387" s="76"/>
      <c r="C6387" s="76"/>
    </row>
    <row r="6388" spans="1:3" x14ac:dyDescent="0.2">
      <c r="A6388" s="76"/>
      <c r="C6388" s="76"/>
    </row>
    <row r="6389" spans="1:3" x14ac:dyDescent="0.2">
      <c r="A6389" s="76"/>
      <c r="C6389" s="76"/>
    </row>
    <row r="6390" spans="1:3" x14ac:dyDescent="0.2">
      <c r="A6390" s="76"/>
      <c r="C6390" s="76"/>
    </row>
    <row r="6391" spans="1:3" x14ac:dyDescent="0.2">
      <c r="A6391" s="76"/>
      <c r="C6391" s="76"/>
    </row>
    <row r="6392" spans="1:3" x14ac:dyDescent="0.2">
      <c r="A6392" s="76"/>
      <c r="C6392" s="76"/>
    </row>
    <row r="6393" spans="1:3" x14ac:dyDescent="0.2">
      <c r="A6393" s="76"/>
      <c r="C6393" s="76"/>
    </row>
    <row r="6394" spans="1:3" x14ac:dyDescent="0.2">
      <c r="A6394" s="76"/>
      <c r="C6394" s="76"/>
    </row>
    <row r="6395" spans="1:3" x14ac:dyDescent="0.2">
      <c r="A6395" s="76"/>
      <c r="C6395" s="76"/>
    </row>
    <row r="6396" spans="1:3" x14ac:dyDescent="0.2">
      <c r="A6396" s="76"/>
      <c r="C6396" s="76"/>
    </row>
    <row r="6397" spans="1:3" x14ac:dyDescent="0.2">
      <c r="A6397" s="76"/>
      <c r="C6397" s="76"/>
    </row>
    <row r="6398" spans="1:3" x14ac:dyDescent="0.2">
      <c r="A6398" s="76"/>
      <c r="C6398" s="76"/>
    </row>
    <row r="6399" spans="1:3" x14ac:dyDescent="0.2">
      <c r="A6399" s="76"/>
      <c r="C6399" s="76"/>
    </row>
    <row r="6400" spans="1:3" x14ac:dyDescent="0.2">
      <c r="A6400" s="76"/>
      <c r="C6400" s="76"/>
    </row>
    <row r="6401" spans="1:3" x14ac:dyDescent="0.2">
      <c r="A6401" s="76"/>
      <c r="C6401" s="76"/>
    </row>
    <row r="6402" spans="1:3" x14ac:dyDescent="0.2">
      <c r="A6402" s="76"/>
      <c r="C6402" s="76"/>
    </row>
    <row r="6403" spans="1:3" x14ac:dyDescent="0.2">
      <c r="A6403" s="76"/>
      <c r="C6403" s="76"/>
    </row>
    <row r="6404" spans="1:3" x14ac:dyDescent="0.2">
      <c r="A6404" s="76"/>
      <c r="C6404" s="76"/>
    </row>
    <row r="6405" spans="1:3" x14ac:dyDescent="0.2">
      <c r="A6405" s="76"/>
      <c r="C6405" s="76"/>
    </row>
    <row r="6406" spans="1:3" x14ac:dyDescent="0.2">
      <c r="A6406" s="76"/>
      <c r="C6406" s="76"/>
    </row>
    <row r="6407" spans="1:3" x14ac:dyDescent="0.2">
      <c r="A6407" s="76"/>
      <c r="C6407" s="76"/>
    </row>
    <row r="6408" spans="1:3" x14ac:dyDescent="0.2">
      <c r="A6408" s="76"/>
      <c r="C6408" s="76"/>
    </row>
    <row r="6409" spans="1:3" x14ac:dyDescent="0.2">
      <c r="A6409" s="76"/>
      <c r="C6409" s="76"/>
    </row>
    <row r="6410" spans="1:3" x14ac:dyDescent="0.2">
      <c r="A6410" s="76"/>
      <c r="C6410" s="76"/>
    </row>
    <row r="6411" spans="1:3" x14ac:dyDescent="0.2">
      <c r="A6411" s="76"/>
      <c r="C6411" s="76"/>
    </row>
    <row r="6412" spans="1:3" x14ac:dyDescent="0.2">
      <c r="A6412" s="76"/>
      <c r="C6412" s="76"/>
    </row>
    <row r="6413" spans="1:3" x14ac:dyDescent="0.2">
      <c r="A6413" s="76"/>
      <c r="C6413" s="76"/>
    </row>
    <row r="6414" spans="1:3" x14ac:dyDescent="0.2">
      <c r="A6414" s="76"/>
      <c r="C6414" s="76"/>
    </row>
    <row r="6415" spans="1:3" x14ac:dyDescent="0.2">
      <c r="A6415" s="76"/>
      <c r="C6415" s="76"/>
    </row>
    <row r="6416" spans="1:3" x14ac:dyDescent="0.2">
      <c r="A6416" s="76"/>
      <c r="C6416" s="76"/>
    </row>
    <row r="6417" spans="1:3" x14ac:dyDescent="0.2">
      <c r="A6417" s="76"/>
      <c r="C6417" s="76"/>
    </row>
    <row r="6418" spans="1:3" x14ac:dyDescent="0.2">
      <c r="A6418" s="76"/>
      <c r="C6418" s="76"/>
    </row>
    <row r="6419" spans="1:3" x14ac:dyDescent="0.2">
      <c r="A6419" s="76"/>
      <c r="C6419" s="76"/>
    </row>
    <row r="6420" spans="1:3" x14ac:dyDescent="0.2">
      <c r="A6420" s="76"/>
      <c r="C6420" s="76"/>
    </row>
    <row r="6421" spans="1:3" x14ac:dyDescent="0.2">
      <c r="A6421" s="76"/>
      <c r="C6421" s="76"/>
    </row>
    <row r="6422" spans="1:3" x14ac:dyDescent="0.2">
      <c r="A6422" s="76"/>
      <c r="C6422" s="76"/>
    </row>
    <row r="6423" spans="1:3" x14ac:dyDescent="0.2">
      <c r="A6423" s="76"/>
      <c r="C6423" s="76"/>
    </row>
    <row r="6424" spans="1:3" x14ac:dyDescent="0.2">
      <c r="A6424" s="76"/>
      <c r="C6424" s="76"/>
    </row>
    <row r="6425" spans="1:3" x14ac:dyDescent="0.2">
      <c r="A6425" s="76"/>
      <c r="C6425" s="76"/>
    </row>
    <row r="6426" spans="1:3" x14ac:dyDescent="0.2">
      <c r="A6426" s="76"/>
      <c r="C6426" s="76"/>
    </row>
    <row r="6427" spans="1:3" x14ac:dyDescent="0.2">
      <c r="A6427" s="76"/>
      <c r="C6427" s="76"/>
    </row>
    <row r="6428" spans="1:3" x14ac:dyDescent="0.2">
      <c r="A6428" s="76"/>
      <c r="C6428" s="76"/>
    </row>
    <row r="6429" spans="1:3" x14ac:dyDescent="0.2">
      <c r="A6429" s="76"/>
      <c r="C6429" s="76"/>
    </row>
    <row r="6430" spans="1:3" x14ac:dyDescent="0.2">
      <c r="A6430" s="76"/>
      <c r="C6430" s="76"/>
    </row>
    <row r="6431" spans="1:3" x14ac:dyDescent="0.2">
      <c r="A6431" s="76"/>
      <c r="C6431" s="76"/>
    </row>
    <row r="6432" spans="1:3" x14ac:dyDescent="0.2">
      <c r="A6432" s="76"/>
      <c r="C6432" s="76"/>
    </row>
    <row r="6433" spans="1:3" x14ac:dyDescent="0.2">
      <c r="A6433" s="76"/>
      <c r="C6433" s="76"/>
    </row>
    <row r="6434" spans="1:3" x14ac:dyDescent="0.2">
      <c r="A6434" s="76"/>
      <c r="C6434" s="76"/>
    </row>
    <row r="6435" spans="1:3" x14ac:dyDescent="0.2">
      <c r="A6435" s="76"/>
      <c r="C6435" s="76"/>
    </row>
    <row r="6436" spans="1:3" x14ac:dyDescent="0.2">
      <c r="A6436" s="76"/>
      <c r="C6436" s="76"/>
    </row>
    <row r="6437" spans="1:3" x14ac:dyDescent="0.2">
      <c r="A6437" s="76"/>
      <c r="C6437" s="76"/>
    </row>
    <row r="6438" spans="1:3" x14ac:dyDescent="0.2">
      <c r="A6438" s="76"/>
      <c r="C6438" s="76"/>
    </row>
    <row r="6439" spans="1:3" x14ac:dyDescent="0.2">
      <c r="A6439" s="76"/>
      <c r="C6439" s="76"/>
    </row>
    <row r="6440" spans="1:3" x14ac:dyDescent="0.2">
      <c r="A6440" s="76"/>
      <c r="C6440" s="76"/>
    </row>
    <row r="6441" spans="1:3" x14ac:dyDescent="0.2">
      <c r="A6441" s="76"/>
      <c r="C6441" s="76"/>
    </row>
    <row r="6442" spans="1:3" x14ac:dyDescent="0.2">
      <c r="A6442" s="76"/>
      <c r="C6442" s="76"/>
    </row>
    <row r="6443" spans="1:3" x14ac:dyDescent="0.2">
      <c r="A6443" s="76"/>
      <c r="C6443" s="76"/>
    </row>
    <row r="6444" spans="1:3" x14ac:dyDescent="0.2">
      <c r="A6444" s="76"/>
      <c r="C6444" s="76"/>
    </row>
    <row r="6445" spans="1:3" x14ac:dyDescent="0.2">
      <c r="A6445" s="76"/>
      <c r="C6445" s="76"/>
    </row>
    <row r="6446" spans="1:3" x14ac:dyDescent="0.2">
      <c r="A6446" s="76"/>
      <c r="C6446" s="76"/>
    </row>
    <row r="6447" spans="1:3" x14ac:dyDescent="0.2">
      <c r="A6447" s="76"/>
      <c r="C6447" s="76"/>
    </row>
    <row r="6448" spans="1:3" x14ac:dyDescent="0.2">
      <c r="A6448" s="76"/>
      <c r="C6448" s="76"/>
    </row>
    <row r="6449" spans="1:3" x14ac:dyDescent="0.2">
      <c r="A6449" s="76"/>
      <c r="C6449" s="76"/>
    </row>
    <row r="6450" spans="1:3" x14ac:dyDescent="0.2">
      <c r="A6450" s="76"/>
      <c r="C6450" s="76"/>
    </row>
    <row r="6451" spans="1:3" x14ac:dyDescent="0.2">
      <c r="A6451" s="76"/>
      <c r="C6451" s="76"/>
    </row>
    <row r="6452" spans="1:3" x14ac:dyDescent="0.2">
      <c r="A6452" s="76"/>
      <c r="C6452" s="76"/>
    </row>
    <row r="6453" spans="1:3" x14ac:dyDescent="0.2">
      <c r="A6453" s="76"/>
      <c r="C6453" s="76"/>
    </row>
    <row r="6454" spans="1:3" x14ac:dyDescent="0.2">
      <c r="A6454" s="76"/>
      <c r="C6454" s="76"/>
    </row>
    <row r="6455" spans="1:3" x14ac:dyDescent="0.2">
      <c r="A6455" s="76"/>
      <c r="C6455" s="76"/>
    </row>
    <row r="6456" spans="1:3" x14ac:dyDescent="0.2">
      <c r="A6456" s="76"/>
      <c r="C6456" s="76"/>
    </row>
    <row r="6457" spans="1:3" x14ac:dyDescent="0.2">
      <c r="A6457" s="76"/>
      <c r="C6457" s="76"/>
    </row>
    <row r="6458" spans="1:3" x14ac:dyDescent="0.2">
      <c r="A6458" s="76"/>
      <c r="C6458" s="76"/>
    </row>
    <row r="6459" spans="1:3" x14ac:dyDescent="0.2">
      <c r="A6459" s="76"/>
      <c r="C6459" s="76"/>
    </row>
    <row r="6460" spans="1:3" x14ac:dyDescent="0.2">
      <c r="A6460" s="76"/>
      <c r="C6460" s="76"/>
    </row>
    <row r="6461" spans="1:3" x14ac:dyDescent="0.2">
      <c r="A6461" s="76"/>
      <c r="C6461" s="76"/>
    </row>
    <row r="6462" spans="1:3" x14ac:dyDescent="0.2">
      <c r="A6462" s="76"/>
      <c r="C6462" s="76"/>
    </row>
    <row r="6463" spans="1:3" x14ac:dyDescent="0.2">
      <c r="A6463" s="76"/>
      <c r="C6463" s="76"/>
    </row>
    <row r="6464" spans="1:3" x14ac:dyDescent="0.2">
      <c r="A6464" s="76"/>
      <c r="C6464" s="76"/>
    </row>
    <row r="6465" spans="1:3" x14ac:dyDescent="0.2">
      <c r="A6465" s="76"/>
      <c r="C6465" s="76"/>
    </row>
    <row r="6466" spans="1:3" x14ac:dyDescent="0.2">
      <c r="A6466" s="76"/>
      <c r="C6466" s="76"/>
    </row>
    <row r="6467" spans="1:3" x14ac:dyDescent="0.2">
      <c r="A6467" s="76"/>
      <c r="C6467" s="76"/>
    </row>
    <row r="6468" spans="1:3" x14ac:dyDescent="0.2">
      <c r="A6468" s="76"/>
      <c r="C6468" s="76"/>
    </row>
    <row r="6469" spans="1:3" x14ac:dyDescent="0.2">
      <c r="A6469" s="76"/>
      <c r="C6469" s="76"/>
    </row>
    <row r="6470" spans="1:3" x14ac:dyDescent="0.2">
      <c r="A6470" s="76"/>
      <c r="C6470" s="76"/>
    </row>
    <row r="6471" spans="1:3" x14ac:dyDescent="0.2">
      <c r="A6471" s="76"/>
      <c r="C6471" s="76"/>
    </row>
    <row r="6472" spans="1:3" x14ac:dyDescent="0.2">
      <c r="A6472" s="76"/>
      <c r="C6472" s="76"/>
    </row>
    <row r="6473" spans="1:3" x14ac:dyDescent="0.2">
      <c r="A6473" s="76"/>
      <c r="C6473" s="76"/>
    </row>
    <row r="6474" spans="1:3" x14ac:dyDescent="0.2">
      <c r="A6474" s="76"/>
      <c r="C6474" s="76"/>
    </row>
    <row r="6475" spans="1:3" x14ac:dyDescent="0.2">
      <c r="A6475" s="76"/>
      <c r="C6475" s="76"/>
    </row>
    <row r="6476" spans="1:3" x14ac:dyDescent="0.2">
      <c r="A6476" s="76"/>
      <c r="C6476" s="76"/>
    </row>
    <row r="6477" spans="1:3" x14ac:dyDescent="0.2">
      <c r="A6477" s="76"/>
      <c r="C6477" s="76"/>
    </row>
    <row r="6478" spans="1:3" x14ac:dyDescent="0.2">
      <c r="A6478" s="76"/>
      <c r="C6478" s="76"/>
    </row>
    <row r="6479" spans="1:3" x14ac:dyDescent="0.2">
      <c r="A6479" s="76"/>
      <c r="C6479" s="76"/>
    </row>
    <row r="6480" spans="1:3" x14ac:dyDescent="0.2">
      <c r="A6480" s="76"/>
      <c r="C6480" s="76"/>
    </row>
    <row r="6481" spans="1:3" x14ac:dyDescent="0.2">
      <c r="A6481" s="76"/>
      <c r="C6481" s="76"/>
    </row>
    <row r="6482" spans="1:3" x14ac:dyDescent="0.2">
      <c r="A6482" s="76"/>
      <c r="C6482" s="76"/>
    </row>
    <row r="6483" spans="1:3" x14ac:dyDescent="0.2">
      <c r="A6483" s="76"/>
      <c r="C6483" s="76"/>
    </row>
    <row r="6484" spans="1:3" x14ac:dyDescent="0.2">
      <c r="A6484" s="76"/>
      <c r="C6484" s="76"/>
    </row>
    <row r="6485" spans="1:3" x14ac:dyDescent="0.2">
      <c r="A6485" s="76"/>
      <c r="C6485" s="76"/>
    </row>
    <row r="6486" spans="1:3" x14ac:dyDescent="0.2">
      <c r="A6486" s="76"/>
      <c r="C6486" s="76"/>
    </row>
    <row r="6487" spans="1:3" x14ac:dyDescent="0.2">
      <c r="A6487" s="76"/>
      <c r="C6487" s="76"/>
    </row>
    <row r="6488" spans="1:3" x14ac:dyDescent="0.2">
      <c r="A6488" s="76"/>
      <c r="C6488" s="76"/>
    </row>
    <row r="6489" spans="1:3" x14ac:dyDescent="0.2">
      <c r="A6489" s="76"/>
      <c r="C6489" s="76"/>
    </row>
    <row r="6490" spans="1:3" x14ac:dyDescent="0.2">
      <c r="A6490" s="76"/>
      <c r="C6490" s="76"/>
    </row>
    <row r="6491" spans="1:3" x14ac:dyDescent="0.2">
      <c r="A6491" s="76"/>
      <c r="C6491" s="76"/>
    </row>
    <row r="6492" spans="1:3" x14ac:dyDescent="0.2">
      <c r="A6492" s="76"/>
      <c r="C6492" s="76"/>
    </row>
    <row r="6493" spans="1:3" x14ac:dyDescent="0.2">
      <c r="A6493" s="76"/>
      <c r="C6493" s="76"/>
    </row>
    <row r="6494" spans="1:3" x14ac:dyDescent="0.2">
      <c r="A6494" s="76"/>
      <c r="C6494" s="76"/>
    </row>
    <row r="6495" spans="1:3" x14ac:dyDescent="0.2">
      <c r="A6495" s="76"/>
      <c r="C6495" s="76"/>
    </row>
    <row r="6496" spans="1:3" x14ac:dyDescent="0.2">
      <c r="A6496" s="76"/>
      <c r="C6496" s="76"/>
    </row>
    <row r="6497" spans="1:3" x14ac:dyDescent="0.2">
      <c r="A6497" s="76"/>
      <c r="C6497" s="76"/>
    </row>
    <row r="6498" spans="1:3" x14ac:dyDescent="0.2">
      <c r="A6498" s="76"/>
      <c r="C6498" s="76"/>
    </row>
    <row r="6499" spans="1:3" x14ac:dyDescent="0.2">
      <c r="A6499" s="76"/>
      <c r="C6499" s="76"/>
    </row>
    <row r="6500" spans="1:3" x14ac:dyDescent="0.2">
      <c r="A6500" s="76"/>
      <c r="C6500" s="76"/>
    </row>
    <row r="6501" spans="1:3" x14ac:dyDescent="0.2">
      <c r="A6501" s="76"/>
      <c r="C6501" s="76"/>
    </row>
    <row r="6502" spans="1:3" x14ac:dyDescent="0.2">
      <c r="A6502" s="76"/>
      <c r="C6502" s="76"/>
    </row>
    <row r="6503" spans="1:3" x14ac:dyDescent="0.2">
      <c r="A6503" s="76"/>
      <c r="C6503" s="76"/>
    </row>
    <row r="6504" spans="1:3" x14ac:dyDescent="0.2">
      <c r="A6504" s="76"/>
      <c r="C6504" s="76"/>
    </row>
    <row r="6505" spans="1:3" x14ac:dyDescent="0.2">
      <c r="A6505" s="76"/>
      <c r="C6505" s="76"/>
    </row>
    <row r="6506" spans="1:3" x14ac:dyDescent="0.2">
      <c r="A6506" s="76"/>
      <c r="C6506" s="76"/>
    </row>
    <row r="6507" spans="1:3" x14ac:dyDescent="0.2">
      <c r="A6507" s="76"/>
      <c r="C6507" s="76"/>
    </row>
    <row r="6508" spans="1:3" x14ac:dyDescent="0.2">
      <c r="A6508" s="76"/>
      <c r="C6508" s="76"/>
    </row>
    <row r="6509" spans="1:3" x14ac:dyDescent="0.2">
      <c r="A6509" s="76"/>
      <c r="C6509" s="76"/>
    </row>
    <row r="6510" spans="1:3" x14ac:dyDescent="0.2">
      <c r="A6510" s="76"/>
      <c r="C6510" s="76"/>
    </row>
    <row r="6511" spans="1:3" x14ac:dyDescent="0.2">
      <c r="A6511" s="76"/>
      <c r="C6511" s="76"/>
    </row>
    <row r="6512" spans="1:3" x14ac:dyDescent="0.2">
      <c r="A6512" s="76"/>
      <c r="C6512" s="76"/>
    </row>
    <row r="6513" spans="1:3" x14ac:dyDescent="0.2">
      <c r="A6513" s="76"/>
      <c r="C6513" s="76"/>
    </row>
    <row r="6514" spans="1:3" x14ac:dyDescent="0.2">
      <c r="A6514" s="76"/>
      <c r="C6514" s="76"/>
    </row>
    <row r="6515" spans="1:3" x14ac:dyDescent="0.2">
      <c r="A6515" s="76"/>
      <c r="C6515" s="76"/>
    </row>
    <row r="6516" spans="1:3" x14ac:dyDescent="0.2">
      <c r="A6516" s="76"/>
      <c r="C6516" s="76"/>
    </row>
    <row r="6517" spans="1:3" x14ac:dyDescent="0.2">
      <c r="A6517" s="76"/>
      <c r="C6517" s="76"/>
    </row>
    <row r="6518" spans="1:3" x14ac:dyDescent="0.2">
      <c r="A6518" s="76"/>
      <c r="C6518" s="76"/>
    </row>
    <row r="6519" spans="1:3" x14ac:dyDescent="0.2">
      <c r="A6519" s="76"/>
      <c r="C6519" s="76"/>
    </row>
    <row r="6520" spans="1:3" x14ac:dyDescent="0.2">
      <c r="A6520" s="76"/>
      <c r="C6520" s="76"/>
    </row>
    <row r="6521" spans="1:3" x14ac:dyDescent="0.2">
      <c r="A6521" s="76"/>
      <c r="C6521" s="76"/>
    </row>
    <row r="6522" spans="1:3" x14ac:dyDescent="0.2">
      <c r="A6522" s="76"/>
      <c r="C6522" s="76"/>
    </row>
    <row r="6523" spans="1:3" x14ac:dyDescent="0.2">
      <c r="A6523" s="76"/>
      <c r="C6523" s="76"/>
    </row>
    <row r="6524" spans="1:3" x14ac:dyDescent="0.2">
      <c r="A6524" s="76"/>
      <c r="C6524" s="76"/>
    </row>
    <row r="6525" spans="1:3" x14ac:dyDescent="0.2">
      <c r="A6525" s="76"/>
      <c r="C6525" s="76"/>
    </row>
    <row r="6526" spans="1:3" x14ac:dyDescent="0.2">
      <c r="A6526" s="76"/>
      <c r="C6526" s="76"/>
    </row>
    <row r="6527" spans="1:3" x14ac:dyDescent="0.2">
      <c r="A6527" s="76"/>
      <c r="C6527" s="76"/>
    </row>
    <row r="6528" spans="1:3" x14ac:dyDescent="0.2">
      <c r="A6528" s="76"/>
      <c r="C6528" s="76"/>
    </row>
    <row r="6529" spans="1:3" x14ac:dyDescent="0.2">
      <c r="A6529" s="76"/>
      <c r="C6529" s="76"/>
    </row>
    <row r="6530" spans="1:3" x14ac:dyDescent="0.2">
      <c r="A6530" s="76"/>
      <c r="C6530" s="76"/>
    </row>
    <row r="6531" spans="1:3" x14ac:dyDescent="0.2">
      <c r="A6531" s="76"/>
      <c r="C6531" s="76"/>
    </row>
    <row r="6532" spans="1:3" x14ac:dyDescent="0.2">
      <c r="A6532" s="76"/>
      <c r="C6532" s="76"/>
    </row>
    <row r="6533" spans="1:3" x14ac:dyDescent="0.2">
      <c r="A6533" s="76"/>
      <c r="C6533" s="76"/>
    </row>
    <row r="6534" spans="1:3" x14ac:dyDescent="0.2">
      <c r="A6534" s="76"/>
      <c r="C6534" s="76"/>
    </row>
    <row r="6535" spans="1:3" x14ac:dyDescent="0.2">
      <c r="A6535" s="76"/>
      <c r="C6535" s="76"/>
    </row>
    <row r="6536" spans="1:3" x14ac:dyDescent="0.2">
      <c r="A6536" s="76"/>
      <c r="C6536" s="76"/>
    </row>
    <row r="6537" spans="1:3" x14ac:dyDescent="0.2">
      <c r="A6537" s="76"/>
      <c r="C6537" s="76"/>
    </row>
    <row r="6538" spans="1:3" x14ac:dyDescent="0.2">
      <c r="A6538" s="76"/>
      <c r="C6538" s="76"/>
    </row>
    <row r="6539" spans="1:3" x14ac:dyDescent="0.2">
      <c r="A6539" s="76"/>
      <c r="C6539" s="76"/>
    </row>
    <row r="6540" spans="1:3" x14ac:dyDescent="0.2">
      <c r="A6540" s="76"/>
      <c r="C6540" s="76"/>
    </row>
    <row r="6541" spans="1:3" x14ac:dyDescent="0.2">
      <c r="A6541" s="76"/>
      <c r="C6541" s="76"/>
    </row>
    <row r="6542" spans="1:3" x14ac:dyDescent="0.2">
      <c r="A6542" s="76"/>
      <c r="C6542" s="76"/>
    </row>
    <row r="6543" spans="1:3" x14ac:dyDescent="0.2">
      <c r="A6543" s="76"/>
      <c r="C6543" s="76"/>
    </row>
    <row r="6544" spans="1:3" x14ac:dyDescent="0.2">
      <c r="A6544" s="76"/>
      <c r="C6544" s="76"/>
    </row>
    <row r="6545" spans="1:3" x14ac:dyDescent="0.2">
      <c r="A6545" s="76"/>
      <c r="C6545" s="76"/>
    </row>
    <row r="6546" spans="1:3" x14ac:dyDescent="0.2">
      <c r="A6546" s="76"/>
      <c r="C6546" s="76"/>
    </row>
    <row r="6547" spans="1:3" x14ac:dyDescent="0.2">
      <c r="A6547" s="76"/>
      <c r="C6547" s="76"/>
    </row>
    <row r="6548" spans="1:3" x14ac:dyDescent="0.2">
      <c r="A6548" s="76"/>
      <c r="C6548" s="76"/>
    </row>
    <row r="6549" spans="1:3" x14ac:dyDescent="0.2">
      <c r="A6549" s="76"/>
      <c r="C6549" s="76"/>
    </row>
    <row r="6550" spans="1:3" x14ac:dyDescent="0.2">
      <c r="A6550" s="76"/>
      <c r="C6550" s="76"/>
    </row>
    <row r="6551" spans="1:3" x14ac:dyDescent="0.2">
      <c r="A6551" s="76"/>
      <c r="C6551" s="76"/>
    </row>
    <row r="6552" spans="1:3" x14ac:dyDescent="0.2">
      <c r="A6552" s="76"/>
      <c r="C6552" s="76"/>
    </row>
    <row r="6553" spans="1:3" x14ac:dyDescent="0.2">
      <c r="A6553" s="76"/>
      <c r="C6553" s="76"/>
    </row>
    <row r="6554" spans="1:3" x14ac:dyDescent="0.2">
      <c r="A6554" s="76"/>
      <c r="C6554" s="76"/>
    </row>
    <row r="6555" spans="1:3" x14ac:dyDescent="0.2">
      <c r="A6555" s="76"/>
      <c r="C6555" s="76"/>
    </row>
    <row r="6556" spans="1:3" x14ac:dyDescent="0.2">
      <c r="A6556" s="76"/>
      <c r="C6556" s="76"/>
    </row>
    <row r="6557" spans="1:3" x14ac:dyDescent="0.2">
      <c r="A6557" s="76"/>
      <c r="C6557" s="76"/>
    </row>
    <row r="6558" spans="1:3" x14ac:dyDescent="0.2">
      <c r="A6558" s="76"/>
      <c r="C6558" s="76"/>
    </row>
    <row r="6559" spans="1:3" x14ac:dyDescent="0.2">
      <c r="A6559" s="76"/>
      <c r="C6559" s="76"/>
    </row>
    <row r="6560" spans="1:3" x14ac:dyDescent="0.2">
      <c r="A6560" s="76"/>
      <c r="C6560" s="76"/>
    </row>
    <row r="6561" spans="1:3" x14ac:dyDescent="0.2">
      <c r="A6561" s="76"/>
      <c r="C6561" s="76"/>
    </row>
    <row r="6562" spans="1:3" x14ac:dyDescent="0.2">
      <c r="A6562" s="76"/>
      <c r="C6562" s="76"/>
    </row>
    <row r="6563" spans="1:3" x14ac:dyDescent="0.2">
      <c r="A6563" s="76"/>
      <c r="C6563" s="76"/>
    </row>
    <row r="6564" spans="1:3" x14ac:dyDescent="0.2">
      <c r="A6564" s="76"/>
      <c r="C6564" s="76"/>
    </row>
    <row r="6565" spans="1:3" x14ac:dyDescent="0.2">
      <c r="A6565" s="76"/>
      <c r="C6565" s="76"/>
    </row>
    <row r="6566" spans="1:3" x14ac:dyDescent="0.2">
      <c r="A6566" s="76"/>
      <c r="C6566" s="76"/>
    </row>
    <row r="6567" spans="1:3" x14ac:dyDescent="0.2">
      <c r="A6567" s="76"/>
      <c r="C6567" s="76"/>
    </row>
    <row r="6568" spans="1:3" x14ac:dyDescent="0.2">
      <c r="A6568" s="76"/>
      <c r="C6568" s="76"/>
    </row>
    <row r="6569" spans="1:3" x14ac:dyDescent="0.2">
      <c r="A6569" s="76"/>
      <c r="C6569" s="76"/>
    </row>
    <row r="6570" spans="1:3" x14ac:dyDescent="0.2">
      <c r="A6570" s="76"/>
      <c r="C6570" s="76"/>
    </row>
    <row r="6571" spans="1:3" x14ac:dyDescent="0.2">
      <c r="A6571" s="76"/>
      <c r="C6571" s="76"/>
    </row>
    <row r="6572" spans="1:3" x14ac:dyDescent="0.2">
      <c r="A6572" s="76"/>
      <c r="C6572" s="76"/>
    </row>
    <row r="6573" spans="1:3" x14ac:dyDescent="0.2">
      <c r="A6573" s="76"/>
      <c r="C6573" s="76"/>
    </row>
    <row r="6574" spans="1:3" x14ac:dyDescent="0.2">
      <c r="A6574" s="76"/>
      <c r="C6574" s="76"/>
    </row>
    <row r="6575" spans="1:3" x14ac:dyDescent="0.2">
      <c r="A6575" s="76"/>
      <c r="C6575" s="76"/>
    </row>
    <row r="6576" spans="1:3" x14ac:dyDescent="0.2">
      <c r="A6576" s="76"/>
      <c r="C6576" s="76"/>
    </row>
    <row r="6577" spans="1:3" x14ac:dyDescent="0.2">
      <c r="A6577" s="76"/>
      <c r="C6577" s="76"/>
    </row>
    <row r="6578" spans="1:3" x14ac:dyDescent="0.2">
      <c r="A6578" s="76"/>
      <c r="C6578" s="76"/>
    </row>
    <row r="6579" spans="1:3" x14ac:dyDescent="0.2">
      <c r="A6579" s="76"/>
      <c r="C6579" s="76"/>
    </row>
    <row r="6580" spans="1:3" x14ac:dyDescent="0.2">
      <c r="A6580" s="76"/>
      <c r="C6580" s="76"/>
    </row>
    <row r="6581" spans="1:3" x14ac:dyDescent="0.2">
      <c r="A6581" s="76"/>
      <c r="C6581" s="76"/>
    </row>
    <row r="6582" spans="1:3" x14ac:dyDescent="0.2">
      <c r="A6582" s="76"/>
      <c r="C6582" s="76"/>
    </row>
    <row r="6583" spans="1:3" x14ac:dyDescent="0.2">
      <c r="A6583" s="76"/>
      <c r="C6583" s="76"/>
    </row>
    <row r="6584" spans="1:3" x14ac:dyDescent="0.2">
      <c r="A6584" s="76"/>
      <c r="C6584" s="76"/>
    </row>
    <row r="6585" spans="1:3" x14ac:dyDescent="0.2">
      <c r="A6585" s="76"/>
      <c r="C6585" s="76"/>
    </row>
    <row r="6586" spans="1:3" x14ac:dyDescent="0.2">
      <c r="A6586" s="76"/>
      <c r="C6586" s="76"/>
    </row>
    <row r="6587" spans="1:3" x14ac:dyDescent="0.2">
      <c r="A6587" s="76"/>
      <c r="C6587" s="76"/>
    </row>
    <row r="6588" spans="1:3" x14ac:dyDescent="0.2">
      <c r="A6588" s="76"/>
      <c r="C6588" s="76"/>
    </row>
    <row r="6589" spans="1:3" x14ac:dyDescent="0.2">
      <c r="A6589" s="76"/>
      <c r="C6589" s="76"/>
    </row>
    <row r="6590" spans="1:3" x14ac:dyDescent="0.2">
      <c r="A6590" s="76"/>
      <c r="C6590" s="76"/>
    </row>
    <row r="6591" spans="1:3" x14ac:dyDescent="0.2">
      <c r="A6591" s="76"/>
      <c r="C6591" s="76"/>
    </row>
    <row r="6592" spans="1:3" x14ac:dyDescent="0.2">
      <c r="A6592" s="76"/>
      <c r="C6592" s="76"/>
    </row>
    <row r="6593" spans="1:3" x14ac:dyDescent="0.2">
      <c r="A6593" s="76"/>
      <c r="C6593" s="76"/>
    </row>
    <row r="6594" spans="1:3" x14ac:dyDescent="0.2">
      <c r="A6594" s="76"/>
      <c r="C6594" s="76"/>
    </row>
    <row r="6595" spans="1:3" x14ac:dyDescent="0.2">
      <c r="A6595" s="76"/>
      <c r="C6595" s="76"/>
    </row>
    <row r="6596" spans="1:3" x14ac:dyDescent="0.2">
      <c r="A6596" s="76"/>
      <c r="C6596" s="76"/>
    </row>
    <row r="6597" spans="1:3" x14ac:dyDescent="0.2">
      <c r="A6597" s="76"/>
      <c r="C6597" s="76"/>
    </row>
    <row r="6598" spans="1:3" x14ac:dyDescent="0.2">
      <c r="A6598" s="76"/>
      <c r="C6598" s="76"/>
    </row>
    <row r="6599" spans="1:3" x14ac:dyDescent="0.2">
      <c r="A6599" s="76"/>
      <c r="C6599" s="76"/>
    </row>
    <row r="6600" spans="1:3" x14ac:dyDescent="0.2">
      <c r="A6600" s="76"/>
      <c r="C6600" s="76"/>
    </row>
    <row r="6601" spans="1:3" x14ac:dyDescent="0.2">
      <c r="A6601" s="76"/>
      <c r="C6601" s="76"/>
    </row>
    <row r="6602" spans="1:3" x14ac:dyDescent="0.2">
      <c r="A6602" s="76"/>
      <c r="C6602" s="76"/>
    </row>
    <row r="6603" spans="1:3" x14ac:dyDescent="0.2">
      <c r="A6603" s="76"/>
      <c r="C6603" s="76"/>
    </row>
    <row r="6604" spans="1:3" x14ac:dyDescent="0.2">
      <c r="A6604" s="76"/>
      <c r="C6604" s="76"/>
    </row>
    <row r="6605" spans="1:3" x14ac:dyDescent="0.2">
      <c r="A6605" s="76"/>
      <c r="C6605" s="76"/>
    </row>
    <row r="6606" spans="1:3" x14ac:dyDescent="0.2">
      <c r="A6606" s="76"/>
      <c r="C6606" s="76"/>
    </row>
    <row r="6607" spans="1:3" x14ac:dyDescent="0.2">
      <c r="A6607" s="76"/>
      <c r="C6607" s="76"/>
    </row>
    <row r="6608" spans="1:3" x14ac:dyDescent="0.2">
      <c r="A6608" s="76"/>
      <c r="C6608" s="76"/>
    </row>
    <row r="6609" spans="1:3" x14ac:dyDescent="0.2">
      <c r="A6609" s="76"/>
      <c r="C6609" s="76"/>
    </row>
    <row r="6610" spans="1:3" x14ac:dyDescent="0.2">
      <c r="A6610" s="76"/>
      <c r="C6610" s="76"/>
    </row>
    <row r="6611" spans="1:3" x14ac:dyDescent="0.2">
      <c r="A6611" s="76"/>
      <c r="C6611" s="76"/>
    </row>
    <row r="6612" spans="1:3" x14ac:dyDescent="0.2">
      <c r="A6612" s="76"/>
      <c r="C6612" s="76"/>
    </row>
    <row r="6613" spans="1:3" x14ac:dyDescent="0.2">
      <c r="A6613" s="76"/>
      <c r="C6613" s="76"/>
    </row>
    <row r="6614" spans="1:3" x14ac:dyDescent="0.2">
      <c r="A6614" s="76"/>
      <c r="C6614" s="76"/>
    </row>
    <row r="6615" spans="1:3" x14ac:dyDescent="0.2">
      <c r="A6615" s="76"/>
      <c r="C6615" s="76"/>
    </row>
    <row r="6616" spans="1:3" x14ac:dyDescent="0.2">
      <c r="A6616" s="76"/>
      <c r="C6616" s="76"/>
    </row>
    <row r="6617" spans="1:3" x14ac:dyDescent="0.2">
      <c r="A6617" s="76"/>
      <c r="C6617" s="76"/>
    </row>
    <row r="6618" spans="1:3" x14ac:dyDescent="0.2">
      <c r="A6618" s="76"/>
      <c r="C6618" s="76"/>
    </row>
    <row r="6619" spans="1:3" x14ac:dyDescent="0.2">
      <c r="A6619" s="76"/>
      <c r="C6619" s="76"/>
    </row>
    <row r="6620" spans="1:3" x14ac:dyDescent="0.2">
      <c r="A6620" s="76"/>
      <c r="C6620" s="76"/>
    </row>
    <row r="6621" spans="1:3" x14ac:dyDescent="0.2">
      <c r="A6621" s="76"/>
      <c r="C6621" s="76"/>
    </row>
    <row r="6622" spans="1:3" x14ac:dyDescent="0.2">
      <c r="A6622" s="76"/>
      <c r="C6622" s="76"/>
    </row>
    <row r="6623" spans="1:3" x14ac:dyDescent="0.2">
      <c r="A6623" s="76"/>
      <c r="C6623" s="76"/>
    </row>
    <row r="6624" spans="1:3" x14ac:dyDescent="0.2">
      <c r="A6624" s="76"/>
      <c r="C6624" s="76"/>
    </row>
    <row r="6625" spans="1:3" x14ac:dyDescent="0.2">
      <c r="A6625" s="76"/>
      <c r="C6625" s="76"/>
    </row>
    <row r="6626" spans="1:3" x14ac:dyDescent="0.2">
      <c r="A6626" s="76"/>
      <c r="C6626" s="76"/>
    </row>
    <row r="6627" spans="1:3" x14ac:dyDescent="0.2">
      <c r="A6627" s="76"/>
      <c r="C6627" s="76"/>
    </row>
    <row r="6628" spans="1:3" x14ac:dyDescent="0.2">
      <c r="A6628" s="76"/>
      <c r="C6628" s="76"/>
    </row>
    <row r="6629" spans="1:3" x14ac:dyDescent="0.2">
      <c r="A6629" s="76"/>
      <c r="C6629" s="76"/>
    </row>
    <row r="6630" spans="1:3" x14ac:dyDescent="0.2">
      <c r="A6630" s="76"/>
      <c r="C6630" s="76"/>
    </row>
    <row r="6631" spans="1:3" x14ac:dyDescent="0.2">
      <c r="A6631" s="76"/>
      <c r="C6631" s="76"/>
    </row>
    <row r="6632" spans="1:3" x14ac:dyDescent="0.2">
      <c r="A6632" s="76"/>
      <c r="C6632" s="76"/>
    </row>
    <row r="6633" spans="1:3" x14ac:dyDescent="0.2">
      <c r="A6633" s="76"/>
      <c r="C6633" s="76"/>
    </row>
    <row r="6634" spans="1:3" x14ac:dyDescent="0.2">
      <c r="A6634" s="76"/>
      <c r="C6634" s="76"/>
    </row>
    <row r="6635" spans="1:3" x14ac:dyDescent="0.2">
      <c r="A6635" s="76"/>
      <c r="C6635" s="76"/>
    </row>
    <row r="6636" spans="1:3" x14ac:dyDescent="0.2">
      <c r="A6636" s="76"/>
      <c r="C6636" s="76"/>
    </row>
    <row r="6637" spans="1:3" x14ac:dyDescent="0.2">
      <c r="A6637" s="76"/>
      <c r="C6637" s="76"/>
    </row>
    <row r="6638" spans="1:3" x14ac:dyDescent="0.2">
      <c r="A6638" s="76"/>
      <c r="C6638" s="76"/>
    </row>
    <row r="6639" spans="1:3" x14ac:dyDescent="0.2">
      <c r="A6639" s="76"/>
      <c r="C6639" s="76"/>
    </row>
    <row r="6640" spans="1:3" x14ac:dyDescent="0.2">
      <c r="A6640" s="76"/>
      <c r="C6640" s="76"/>
    </row>
    <row r="6641" spans="1:3" x14ac:dyDescent="0.2">
      <c r="A6641" s="76"/>
      <c r="C6641" s="76"/>
    </row>
    <row r="6642" spans="1:3" x14ac:dyDescent="0.2">
      <c r="A6642" s="76"/>
      <c r="C6642" s="76"/>
    </row>
    <row r="6643" spans="1:3" x14ac:dyDescent="0.2">
      <c r="A6643" s="76"/>
      <c r="C6643" s="76"/>
    </row>
    <row r="6644" spans="1:3" x14ac:dyDescent="0.2">
      <c r="A6644" s="76"/>
      <c r="C6644" s="76"/>
    </row>
    <row r="6645" spans="1:3" x14ac:dyDescent="0.2">
      <c r="A6645" s="76"/>
      <c r="C6645" s="76"/>
    </row>
    <row r="6646" spans="1:3" x14ac:dyDescent="0.2">
      <c r="A6646" s="76"/>
      <c r="C6646" s="76"/>
    </row>
    <row r="6647" spans="1:3" x14ac:dyDescent="0.2">
      <c r="A6647" s="76"/>
      <c r="C6647" s="76"/>
    </row>
    <row r="6648" spans="1:3" x14ac:dyDescent="0.2">
      <c r="A6648" s="76"/>
      <c r="C6648" s="76"/>
    </row>
    <row r="6649" spans="1:3" x14ac:dyDescent="0.2">
      <c r="A6649" s="76"/>
      <c r="C6649" s="76"/>
    </row>
    <row r="6650" spans="1:3" x14ac:dyDescent="0.2">
      <c r="A6650" s="76"/>
      <c r="C6650" s="76"/>
    </row>
    <row r="6651" spans="1:3" x14ac:dyDescent="0.2">
      <c r="A6651" s="76"/>
      <c r="C6651" s="76"/>
    </row>
    <row r="6652" spans="1:3" x14ac:dyDescent="0.2">
      <c r="A6652" s="76"/>
      <c r="C6652" s="76"/>
    </row>
    <row r="6653" spans="1:3" x14ac:dyDescent="0.2">
      <c r="A6653" s="76"/>
      <c r="C6653" s="76"/>
    </row>
    <row r="6654" spans="1:3" x14ac:dyDescent="0.2">
      <c r="A6654" s="76"/>
      <c r="C6654" s="76"/>
    </row>
    <row r="6655" spans="1:3" x14ac:dyDescent="0.2">
      <c r="A6655" s="76"/>
      <c r="C6655" s="76"/>
    </row>
    <row r="6656" spans="1:3" x14ac:dyDescent="0.2">
      <c r="A6656" s="76"/>
      <c r="C6656" s="76"/>
    </row>
    <row r="6657" spans="1:3" x14ac:dyDescent="0.2">
      <c r="A6657" s="76"/>
      <c r="C6657" s="76"/>
    </row>
    <row r="6658" spans="1:3" x14ac:dyDescent="0.2">
      <c r="A6658" s="76"/>
      <c r="C6658" s="76"/>
    </row>
    <row r="6659" spans="1:3" x14ac:dyDescent="0.2">
      <c r="A6659" s="76"/>
      <c r="C6659" s="76"/>
    </row>
    <row r="6660" spans="1:3" x14ac:dyDescent="0.2">
      <c r="A6660" s="76"/>
      <c r="C6660" s="76"/>
    </row>
    <row r="6661" spans="1:3" x14ac:dyDescent="0.2">
      <c r="A6661" s="76"/>
      <c r="C6661" s="76"/>
    </row>
    <row r="6662" spans="1:3" x14ac:dyDescent="0.2">
      <c r="A6662" s="76"/>
      <c r="C6662" s="76"/>
    </row>
    <row r="6663" spans="1:3" x14ac:dyDescent="0.2">
      <c r="A6663" s="76"/>
      <c r="C6663" s="76"/>
    </row>
    <row r="6664" spans="1:3" x14ac:dyDescent="0.2">
      <c r="A6664" s="76"/>
      <c r="C6664" s="76"/>
    </row>
    <row r="6665" spans="1:3" x14ac:dyDescent="0.2">
      <c r="A6665" s="76"/>
      <c r="C6665" s="76"/>
    </row>
    <row r="6666" spans="1:3" x14ac:dyDescent="0.2">
      <c r="A6666" s="76"/>
      <c r="C6666" s="76"/>
    </row>
    <row r="6667" spans="1:3" x14ac:dyDescent="0.2">
      <c r="A6667" s="76"/>
      <c r="C6667" s="76"/>
    </row>
    <row r="6668" spans="1:3" x14ac:dyDescent="0.2">
      <c r="A6668" s="76"/>
      <c r="C6668" s="76"/>
    </row>
    <row r="6669" spans="1:3" x14ac:dyDescent="0.2">
      <c r="A6669" s="76"/>
      <c r="C6669" s="76"/>
    </row>
    <row r="6670" spans="1:3" x14ac:dyDescent="0.2">
      <c r="A6670" s="76"/>
      <c r="C6670" s="76"/>
    </row>
    <row r="6671" spans="1:3" x14ac:dyDescent="0.2">
      <c r="A6671" s="76"/>
      <c r="C6671" s="76"/>
    </row>
    <row r="6672" spans="1:3" x14ac:dyDescent="0.2">
      <c r="A6672" s="76"/>
      <c r="C6672" s="76"/>
    </row>
    <row r="6673" spans="1:3" x14ac:dyDescent="0.2">
      <c r="A6673" s="76"/>
      <c r="C6673" s="76"/>
    </row>
    <row r="6674" spans="1:3" x14ac:dyDescent="0.2">
      <c r="A6674" s="76"/>
      <c r="C6674" s="76"/>
    </row>
    <row r="6675" spans="1:3" x14ac:dyDescent="0.2">
      <c r="A6675" s="76"/>
      <c r="C6675" s="76"/>
    </row>
    <row r="6676" spans="1:3" x14ac:dyDescent="0.2">
      <c r="A6676" s="76"/>
      <c r="C6676" s="76"/>
    </row>
    <row r="6677" spans="1:3" x14ac:dyDescent="0.2">
      <c r="A6677" s="76"/>
      <c r="C6677" s="76"/>
    </row>
    <row r="6678" spans="1:3" x14ac:dyDescent="0.2">
      <c r="A6678" s="76"/>
      <c r="C6678" s="76"/>
    </row>
    <row r="6679" spans="1:3" x14ac:dyDescent="0.2">
      <c r="A6679" s="76"/>
      <c r="C6679" s="76"/>
    </row>
    <row r="6680" spans="1:3" x14ac:dyDescent="0.2">
      <c r="A6680" s="76"/>
      <c r="C6680" s="76"/>
    </row>
    <row r="6681" spans="1:3" x14ac:dyDescent="0.2">
      <c r="A6681" s="76"/>
      <c r="C6681" s="76"/>
    </row>
    <row r="6682" spans="1:3" x14ac:dyDescent="0.2">
      <c r="A6682" s="76"/>
      <c r="C6682" s="76"/>
    </row>
    <row r="6683" spans="1:3" x14ac:dyDescent="0.2">
      <c r="A6683" s="76"/>
      <c r="C6683" s="76"/>
    </row>
    <row r="6684" spans="1:3" x14ac:dyDescent="0.2">
      <c r="A6684" s="76"/>
      <c r="C6684" s="76"/>
    </row>
    <row r="6685" spans="1:3" x14ac:dyDescent="0.2">
      <c r="A6685" s="76"/>
      <c r="C6685" s="76"/>
    </row>
    <row r="6686" spans="1:3" x14ac:dyDescent="0.2">
      <c r="A6686" s="76"/>
      <c r="C6686" s="76"/>
    </row>
    <row r="6687" spans="1:3" x14ac:dyDescent="0.2">
      <c r="A6687" s="76"/>
      <c r="C6687" s="76"/>
    </row>
    <row r="6688" spans="1:3" x14ac:dyDescent="0.2">
      <c r="A6688" s="76"/>
      <c r="C6688" s="76"/>
    </row>
    <row r="6689" spans="1:3" x14ac:dyDescent="0.2">
      <c r="A6689" s="76"/>
      <c r="C6689" s="76"/>
    </row>
    <row r="6690" spans="1:3" x14ac:dyDescent="0.2">
      <c r="A6690" s="76"/>
      <c r="C6690" s="76"/>
    </row>
    <row r="6691" spans="1:3" x14ac:dyDescent="0.2">
      <c r="A6691" s="76"/>
      <c r="C6691" s="76"/>
    </row>
    <row r="6692" spans="1:3" x14ac:dyDescent="0.2">
      <c r="A6692" s="76"/>
      <c r="C6692" s="76"/>
    </row>
    <row r="6693" spans="1:3" x14ac:dyDescent="0.2">
      <c r="A6693" s="76"/>
      <c r="C6693" s="76"/>
    </row>
    <row r="6694" spans="1:3" x14ac:dyDescent="0.2">
      <c r="A6694" s="76"/>
      <c r="C6694" s="76"/>
    </row>
    <row r="6695" spans="1:3" x14ac:dyDescent="0.2">
      <c r="A6695" s="76"/>
      <c r="C6695" s="76"/>
    </row>
    <row r="6696" spans="1:3" x14ac:dyDescent="0.2">
      <c r="A6696" s="76"/>
      <c r="C6696" s="76"/>
    </row>
    <row r="6697" spans="1:3" x14ac:dyDescent="0.2">
      <c r="A6697" s="76"/>
      <c r="C6697" s="76"/>
    </row>
    <row r="6698" spans="1:3" x14ac:dyDescent="0.2">
      <c r="A6698" s="76"/>
      <c r="C6698" s="76"/>
    </row>
    <row r="6699" spans="1:3" x14ac:dyDescent="0.2">
      <c r="A6699" s="76"/>
      <c r="C6699" s="76"/>
    </row>
    <row r="6700" spans="1:3" x14ac:dyDescent="0.2">
      <c r="A6700" s="76"/>
      <c r="C6700" s="76"/>
    </row>
    <row r="6701" spans="1:3" x14ac:dyDescent="0.2">
      <c r="A6701" s="76"/>
      <c r="C6701" s="76"/>
    </row>
    <row r="6702" spans="1:3" x14ac:dyDescent="0.2">
      <c r="A6702" s="76"/>
      <c r="C6702" s="76"/>
    </row>
    <row r="6703" spans="1:3" x14ac:dyDescent="0.2">
      <c r="A6703" s="76"/>
      <c r="C6703" s="76"/>
    </row>
    <row r="6704" spans="1:3" x14ac:dyDescent="0.2">
      <c r="A6704" s="76"/>
      <c r="C6704" s="76"/>
    </row>
    <row r="6705" spans="1:3" x14ac:dyDescent="0.2">
      <c r="A6705" s="76"/>
      <c r="C6705" s="76"/>
    </row>
    <row r="6706" spans="1:3" x14ac:dyDescent="0.2">
      <c r="A6706" s="76"/>
      <c r="C6706" s="76"/>
    </row>
    <row r="6707" spans="1:3" x14ac:dyDescent="0.2">
      <c r="A6707" s="76"/>
      <c r="C6707" s="76"/>
    </row>
    <row r="6708" spans="1:3" x14ac:dyDescent="0.2">
      <c r="A6708" s="76"/>
      <c r="C6708" s="76"/>
    </row>
    <row r="6709" spans="1:3" x14ac:dyDescent="0.2">
      <c r="A6709" s="76"/>
      <c r="C6709" s="76"/>
    </row>
    <row r="6710" spans="1:3" x14ac:dyDescent="0.2">
      <c r="A6710" s="76"/>
      <c r="C6710" s="76"/>
    </row>
    <row r="6711" spans="1:3" x14ac:dyDescent="0.2">
      <c r="A6711" s="76"/>
      <c r="C6711" s="76"/>
    </row>
    <row r="6712" spans="1:3" x14ac:dyDescent="0.2">
      <c r="A6712" s="76"/>
      <c r="C6712" s="76"/>
    </row>
    <row r="6713" spans="1:3" x14ac:dyDescent="0.2">
      <c r="A6713" s="76"/>
      <c r="C6713" s="76"/>
    </row>
    <row r="6714" spans="1:3" x14ac:dyDescent="0.2">
      <c r="A6714" s="76"/>
      <c r="C6714" s="76"/>
    </row>
    <row r="6715" spans="1:3" x14ac:dyDescent="0.2">
      <c r="A6715" s="76"/>
      <c r="C6715" s="76"/>
    </row>
    <row r="6716" spans="1:3" x14ac:dyDescent="0.2">
      <c r="A6716" s="76"/>
      <c r="C6716" s="76"/>
    </row>
    <row r="6717" spans="1:3" x14ac:dyDescent="0.2">
      <c r="A6717" s="76"/>
      <c r="C6717" s="76"/>
    </row>
    <row r="6718" spans="1:3" x14ac:dyDescent="0.2">
      <c r="A6718" s="76"/>
      <c r="C6718" s="76"/>
    </row>
    <row r="6719" spans="1:3" x14ac:dyDescent="0.2">
      <c r="A6719" s="76"/>
      <c r="C6719" s="76"/>
    </row>
    <row r="6720" spans="1:3" x14ac:dyDescent="0.2">
      <c r="A6720" s="76"/>
      <c r="C6720" s="76"/>
    </row>
    <row r="6721" spans="1:3" x14ac:dyDescent="0.2">
      <c r="A6721" s="76"/>
      <c r="C6721" s="76"/>
    </row>
    <row r="6722" spans="1:3" x14ac:dyDescent="0.2">
      <c r="A6722" s="76"/>
      <c r="C6722" s="76"/>
    </row>
    <row r="6723" spans="1:3" x14ac:dyDescent="0.2">
      <c r="A6723" s="76"/>
      <c r="C6723" s="76"/>
    </row>
    <row r="6724" spans="1:3" x14ac:dyDescent="0.2">
      <c r="A6724" s="76"/>
      <c r="C6724" s="76"/>
    </row>
    <row r="6725" spans="1:3" x14ac:dyDescent="0.2">
      <c r="A6725" s="76"/>
      <c r="C6725" s="76"/>
    </row>
    <row r="6726" spans="1:3" x14ac:dyDescent="0.2">
      <c r="A6726" s="76"/>
      <c r="C6726" s="76"/>
    </row>
    <row r="6727" spans="1:3" x14ac:dyDescent="0.2">
      <c r="A6727" s="76"/>
      <c r="C6727" s="76"/>
    </row>
    <row r="6728" spans="1:3" x14ac:dyDescent="0.2">
      <c r="A6728" s="76"/>
      <c r="C6728" s="76"/>
    </row>
    <row r="6729" spans="1:3" x14ac:dyDescent="0.2">
      <c r="A6729" s="76"/>
      <c r="C6729" s="76"/>
    </row>
    <row r="6730" spans="1:3" x14ac:dyDescent="0.2">
      <c r="A6730" s="76"/>
      <c r="C6730" s="76"/>
    </row>
    <row r="6731" spans="1:3" x14ac:dyDescent="0.2">
      <c r="A6731" s="76"/>
      <c r="C6731" s="76"/>
    </row>
    <row r="6732" spans="1:3" x14ac:dyDescent="0.2">
      <c r="A6732" s="76"/>
      <c r="C6732" s="76"/>
    </row>
    <row r="6733" spans="1:3" x14ac:dyDescent="0.2">
      <c r="A6733" s="76"/>
      <c r="C6733" s="76"/>
    </row>
    <row r="6734" spans="1:3" x14ac:dyDescent="0.2">
      <c r="A6734" s="76"/>
      <c r="C6734" s="76"/>
    </row>
    <row r="6735" spans="1:3" x14ac:dyDescent="0.2">
      <c r="A6735" s="76"/>
      <c r="C6735" s="76"/>
    </row>
    <row r="6736" spans="1:3" x14ac:dyDescent="0.2">
      <c r="A6736" s="76"/>
      <c r="C6736" s="76"/>
    </row>
    <row r="6737" spans="1:3" x14ac:dyDescent="0.2">
      <c r="A6737" s="76"/>
      <c r="C6737" s="76"/>
    </row>
    <row r="6738" spans="1:3" x14ac:dyDescent="0.2">
      <c r="A6738" s="76"/>
      <c r="C6738" s="76"/>
    </row>
    <row r="6739" spans="1:3" x14ac:dyDescent="0.2">
      <c r="A6739" s="76"/>
      <c r="C6739" s="76"/>
    </row>
    <row r="6740" spans="1:3" x14ac:dyDescent="0.2">
      <c r="A6740" s="76"/>
      <c r="C6740" s="76"/>
    </row>
    <row r="6741" spans="1:3" x14ac:dyDescent="0.2">
      <c r="A6741" s="76"/>
      <c r="C6741" s="76"/>
    </row>
    <row r="6742" spans="1:3" x14ac:dyDescent="0.2">
      <c r="A6742" s="76"/>
      <c r="C6742" s="76"/>
    </row>
    <row r="6743" spans="1:3" x14ac:dyDescent="0.2">
      <c r="A6743" s="76"/>
      <c r="C6743" s="76"/>
    </row>
    <row r="6744" spans="1:3" x14ac:dyDescent="0.2">
      <c r="A6744" s="76"/>
      <c r="C6744" s="76"/>
    </row>
    <row r="6745" spans="1:3" x14ac:dyDescent="0.2">
      <c r="A6745" s="76"/>
      <c r="C6745" s="76"/>
    </row>
    <row r="6746" spans="1:3" x14ac:dyDescent="0.2">
      <c r="A6746" s="76"/>
      <c r="C6746" s="76"/>
    </row>
    <row r="6747" spans="1:3" x14ac:dyDescent="0.2">
      <c r="A6747" s="76"/>
      <c r="C6747" s="76"/>
    </row>
    <row r="6748" spans="1:3" x14ac:dyDescent="0.2">
      <c r="A6748" s="76"/>
      <c r="C6748" s="76"/>
    </row>
    <row r="6749" spans="1:3" x14ac:dyDescent="0.2">
      <c r="A6749" s="76"/>
      <c r="C6749" s="76"/>
    </row>
    <row r="6750" spans="1:3" x14ac:dyDescent="0.2">
      <c r="A6750" s="76"/>
      <c r="C6750" s="76"/>
    </row>
    <row r="6751" spans="1:3" x14ac:dyDescent="0.2">
      <c r="A6751" s="76"/>
      <c r="C6751" s="76"/>
    </row>
    <row r="6752" spans="1:3" x14ac:dyDescent="0.2">
      <c r="A6752" s="76"/>
      <c r="C6752" s="76"/>
    </row>
    <row r="6753" spans="1:3" x14ac:dyDescent="0.2">
      <c r="A6753" s="76"/>
      <c r="C6753" s="76"/>
    </row>
    <row r="6754" spans="1:3" x14ac:dyDescent="0.2">
      <c r="A6754" s="76"/>
      <c r="C6754" s="76"/>
    </row>
    <row r="6755" spans="1:3" x14ac:dyDescent="0.2">
      <c r="A6755" s="76"/>
      <c r="C6755" s="76"/>
    </row>
    <row r="6756" spans="1:3" x14ac:dyDescent="0.2">
      <c r="A6756" s="76"/>
      <c r="C6756" s="76"/>
    </row>
    <row r="6757" spans="1:3" x14ac:dyDescent="0.2">
      <c r="A6757" s="76"/>
      <c r="C6757" s="76"/>
    </row>
    <row r="6758" spans="1:3" x14ac:dyDescent="0.2">
      <c r="A6758" s="76"/>
      <c r="C6758" s="76"/>
    </row>
    <row r="6759" spans="1:3" x14ac:dyDescent="0.2">
      <c r="A6759" s="76"/>
      <c r="C6759" s="76"/>
    </row>
    <row r="6760" spans="1:3" x14ac:dyDescent="0.2">
      <c r="A6760" s="76"/>
      <c r="C6760" s="76"/>
    </row>
    <row r="6761" spans="1:3" x14ac:dyDescent="0.2">
      <c r="A6761" s="76"/>
      <c r="C6761" s="76"/>
    </row>
    <row r="6762" spans="1:3" x14ac:dyDescent="0.2">
      <c r="A6762" s="76"/>
      <c r="C6762" s="76"/>
    </row>
    <row r="6763" spans="1:3" x14ac:dyDescent="0.2">
      <c r="A6763" s="76"/>
      <c r="C6763" s="76"/>
    </row>
    <row r="6764" spans="1:3" x14ac:dyDescent="0.2">
      <c r="A6764" s="76"/>
      <c r="C6764" s="76"/>
    </row>
    <row r="6765" spans="1:3" x14ac:dyDescent="0.2">
      <c r="A6765" s="76"/>
      <c r="C6765" s="76"/>
    </row>
    <row r="6766" spans="1:3" x14ac:dyDescent="0.2">
      <c r="A6766" s="76"/>
      <c r="C6766" s="76"/>
    </row>
    <row r="6767" spans="1:3" x14ac:dyDescent="0.2">
      <c r="A6767" s="76"/>
      <c r="C6767" s="76"/>
    </row>
    <row r="6768" spans="1:3" x14ac:dyDescent="0.2">
      <c r="A6768" s="76"/>
      <c r="C6768" s="76"/>
    </row>
    <row r="6769" spans="1:3" x14ac:dyDescent="0.2">
      <c r="A6769" s="76"/>
      <c r="C6769" s="76"/>
    </row>
    <row r="6770" spans="1:3" x14ac:dyDescent="0.2">
      <c r="A6770" s="76"/>
      <c r="C6770" s="76"/>
    </row>
    <row r="6771" spans="1:3" x14ac:dyDescent="0.2">
      <c r="A6771" s="76"/>
      <c r="C6771" s="76"/>
    </row>
    <row r="6772" spans="1:3" x14ac:dyDescent="0.2">
      <c r="A6772" s="76"/>
      <c r="C6772" s="76"/>
    </row>
    <row r="6773" spans="1:3" x14ac:dyDescent="0.2">
      <c r="A6773" s="76"/>
      <c r="C6773" s="76"/>
    </row>
    <row r="6774" spans="1:3" x14ac:dyDescent="0.2">
      <c r="A6774" s="76"/>
      <c r="C6774" s="76"/>
    </row>
    <row r="6775" spans="1:3" x14ac:dyDescent="0.2">
      <c r="A6775" s="76"/>
      <c r="C6775" s="76"/>
    </row>
    <row r="6776" spans="1:3" x14ac:dyDescent="0.2">
      <c r="A6776" s="76"/>
      <c r="C6776" s="76"/>
    </row>
    <row r="6777" spans="1:3" x14ac:dyDescent="0.2">
      <c r="A6777" s="76"/>
      <c r="C6777" s="76"/>
    </row>
    <row r="6778" spans="1:3" x14ac:dyDescent="0.2">
      <c r="A6778" s="76"/>
      <c r="C6778" s="76"/>
    </row>
    <row r="6779" spans="1:3" x14ac:dyDescent="0.2">
      <c r="A6779" s="76"/>
      <c r="C6779" s="76"/>
    </row>
    <row r="6780" spans="1:3" x14ac:dyDescent="0.2">
      <c r="A6780" s="76"/>
      <c r="C6780" s="76"/>
    </row>
    <row r="6781" spans="1:3" x14ac:dyDescent="0.2">
      <c r="A6781" s="76"/>
      <c r="C6781" s="76"/>
    </row>
    <row r="6782" spans="1:3" x14ac:dyDescent="0.2">
      <c r="A6782" s="76"/>
      <c r="C6782" s="76"/>
    </row>
    <row r="6783" spans="1:3" x14ac:dyDescent="0.2">
      <c r="A6783" s="76"/>
      <c r="C6783" s="76"/>
    </row>
    <row r="6784" spans="1:3" x14ac:dyDescent="0.2">
      <c r="A6784" s="76"/>
      <c r="C6784" s="76"/>
    </row>
    <row r="6785" spans="1:3" x14ac:dyDescent="0.2">
      <c r="A6785" s="76"/>
      <c r="C6785" s="76"/>
    </row>
    <row r="6786" spans="1:3" x14ac:dyDescent="0.2">
      <c r="A6786" s="76"/>
      <c r="C6786" s="76"/>
    </row>
    <row r="6787" spans="1:3" x14ac:dyDescent="0.2">
      <c r="A6787" s="76"/>
      <c r="C6787" s="76"/>
    </row>
    <row r="6788" spans="1:3" x14ac:dyDescent="0.2">
      <c r="A6788" s="76"/>
      <c r="C6788" s="76"/>
    </row>
    <row r="6789" spans="1:3" x14ac:dyDescent="0.2">
      <c r="A6789" s="76"/>
      <c r="C6789" s="76"/>
    </row>
    <row r="6790" spans="1:3" x14ac:dyDescent="0.2">
      <c r="A6790" s="76"/>
      <c r="C6790" s="76"/>
    </row>
    <row r="6791" spans="1:3" x14ac:dyDescent="0.2">
      <c r="A6791" s="76"/>
      <c r="C6791" s="76"/>
    </row>
    <row r="6792" spans="1:3" x14ac:dyDescent="0.2">
      <c r="A6792" s="76"/>
      <c r="C6792" s="76"/>
    </row>
    <row r="6793" spans="1:3" x14ac:dyDescent="0.2">
      <c r="A6793" s="76"/>
      <c r="C6793" s="76"/>
    </row>
    <row r="6794" spans="1:3" x14ac:dyDescent="0.2">
      <c r="A6794" s="76"/>
      <c r="C6794" s="76"/>
    </row>
    <row r="6795" spans="1:3" x14ac:dyDescent="0.2">
      <c r="A6795" s="76"/>
      <c r="C6795" s="76"/>
    </row>
    <row r="6796" spans="1:3" x14ac:dyDescent="0.2">
      <c r="A6796" s="76"/>
      <c r="C6796" s="76"/>
    </row>
    <row r="6797" spans="1:3" x14ac:dyDescent="0.2">
      <c r="A6797" s="76"/>
      <c r="C6797" s="76"/>
    </row>
    <row r="6798" spans="1:3" x14ac:dyDescent="0.2">
      <c r="A6798" s="76"/>
      <c r="C6798" s="76"/>
    </row>
    <row r="6799" spans="1:3" x14ac:dyDescent="0.2">
      <c r="A6799" s="76"/>
      <c r="C6799" s="76"/>
    </row>
    <row r="6800" spans="1:3" x14ac:dyDescent="0.2">
      <c r="A6800" s="76"/>
      <c r="C6800" s="76"/>
    </row>
    <row r="6801" spans="1:3" x14ac:dyDescent="0.2">
      <c r="A6801" s="76"/>
      <c r="C6801" s="76"/>
    </row>
    <row r="6802" spans="1:3" x14ac:dyDescent="0.2">
      <c r="A6802" s="76"/>
      <c r="C6802" s="76"/>
    </row>
    <row r="6803" spans="1:3" x14ac:dyDescent="0.2">
      <c r="A6803" s="76"/>
      <c r="C6803" s="76"/>
    </row>
    <row r="6804" spans="1:3" x14ac:dyDescent="0.2">
      <c r="A6804" s="76"/>
      <c r="C6804" s="76"/>
    </row>
    <row r="6805" spans="1:3" x14ac:dyDescent="0.2">
      <c r="A6805" s="76"/>
      <c r="C6805" s="76"/>
    </row>
    <row r="6806" spans="1:3" x14ac:dyDescent="0.2">
      <c r="A6806" s="76"/>
      <c r="C6806" s="76"/>
    </row>
    <row r="6807" spans="1:3" x14ac:dyDescent="0.2">
      <c r="A6807" s="76"/>
      <c r="C6807" s="76"/>
    </row>
    <row r="6808" spans="1:3" x14ac:dyDescent="0.2">
      <c r="A6808" s="76"/>
      <c r="C6808" s="76"/>
    </row>
    <row r="6809" spans="1:3" x14ac:dyDescent="0.2">
      <c r="A6809" s="76"/>
      <c r="C6809" s="76"/>
    </row>
    <row r="6810" spans="1:3" x14ac:dyDescent="0.2">
      <c r="A6810" s="76"/>
      <c r="C6810" s="76"/>
    </row>
    <row r="6811" spans="1:3" x14ac:dyDescent="0.2">
      <c r="A6811" s="76"/>
      <c r="C6811" s="76"/>
    </row>
    <row r="6812" spans="1:3" x14ac:dyDescent="0.2">
      <c r="A6812" s="76"/>
      <c r="C6812" s="76"/>
    </row>
    <row r="6813" spans="1:3" x14ac:dyDescent="0.2">
      <c r="A6813" s="76"/>
      <c r="C6813" s="76"/>
    </row>
    <row r="6814" spans="1:3" x14ac:dyDescent="0.2">
      <c r="A6814" s="76"/>
      <c r="C6814" s="76"/>
    </row>
    <row r="6815" spans="1:3" x14ac:dyDescent="0.2">
      <c r="A6815" s="76"/>
      <c r="C6815" s="76"/>
    </row>
    <row r="6816" spans="1:3" x14ac:dyDescent="0.2">
      <c r="A6816" s="76"/>
      <c r="C6816" s="76"/>
    </row>
    <row r="6817" spans="1:3" x14ac:dyDescent="0.2">
      <c r="A6817" s="76"/>
      <c r="C6817" s="76"/>
    </row>
    <row r="6818" spans="1:3" x14ac:dyDescent="0.2">
      <c r="A6818" s="76"/>
      <c r="C6818" s="76"/>
    </row>
    <row r="6819" spans="1:3" x14ac:dyDescent="0.2">
      <c r="A6819" s="76"/>
      <c r="C6819" s="76"/>
    </row>
    <row r="6820" spans="1:3" x14ac:dyDescent="0.2">
      <c r="A6820" s="76"/>
      <c r="C6820" s="76"/>
    </row>
    <row r="6821" spans="1:3" x14ac:dyDescent="0.2">
      <c r="A6821" s="76"/>
      <c r="C6821" s="76"/>
    </row>
    <row r="6822" spans="1:3" x14ac:dyDescent="0.2">
      <c r="A6822" s="76"/>
      <c r="C6822" s="76"/>
    </row>
    <row r="6823" spans="1:3" x14ac:dyDescent="0.2">
      <c r="A6823" s="76"/>
      <c r="C6823" s="76"/>
    </row>
    <row r="6824" spans="1:3" x14ac:dyDescent="0.2">
      <c r="A6824" s="76"/>
      <c r="C6824" s="76"/>
    </row>
    <row r="6825" spans="1:3" x14ac:dyDescent="0.2">
      <c r="A6825" s="76"/>
      <c r="C6825" s="76"/>
    </row>
    <row r="6826" spans="1:3" x14ac:dyDescent="0.2">
      <c r="A6826" s="76"/>
      <c r="C6826" s="76"/>
    </row>
    <row r="6827" spans="1:3" x14ac:dyDescent="0.2">
      <c r="A6827" s="76"/>
      <c r="C6827" s="76"/>
    </row>
    <row r="6828" spans="1:3" x14ac:dyDescent="0.2">
      <c r="A6828" s="76"/>
      <c r="C6828" s="76"/>
    </row>
    <row r="6829" spans="1:3" x14ac:dyDescent="0.2">
      <c r="A6829" s="76"/>
      <c r="C6829" s="76"/>
    </row>
    <row r="6830" spans="1:3" x14ac:dyDescent="0.2">
      <c r="A6830" s="76"/>
      <c r="C6830" s="76"/>
    </row>
    <row r="6831" spans="1:3" x14ac:dyDescent="0.2">
      <c r="A6831" s="76"/>
      <c r="C6831" s="76"/>
    </row>
    <row r="6832" spans="1:3" x14ac:dyDescent="0.2">
      <c r="A6832" s="76"/>
      <c r="C6832" s="76"/>
    </row>
    <row r="6833" spans="1:3" x14ac:dyDescent="0.2">
      <c r="A6833" s="76"/>
      <c r="C6833" s="76"/>
    </row>
    <row r="6834" spans="1:3" x14ac:dyDescent="0.2">
      <c r="A6834" s="76"/>
      <c r="C6834" s="76"/>
    </row>
    <row r="6835" spans="1:3" x14ac:dyDescent="0.2">
      <c r="A6835" s="76"/>
      <c r="C6835" s="76"/>
    </row>
    <row r="6836" spans="1:3" x14ac:dyDescent="0.2">
      <c r="A6836" s="76"/>
      <c r="C6836" s="76"/>
    </row>
    <row r="6837" spans="1:3" x14ac:dyDescent="0.2">
      <c r="A6837" s="76"/>
      <c r="C6837" s="76"/>
    </row>
    <row r="6838" spans="1:3" x14ac:dyDescent="0.2">
      <c r="A6838" s="76"/>
      <c r="C6838" s="76"/>
    </row>
    <row r="6839" spans="1:3" x14ac:dyDescent="0.2">
      <c r="A6839" s="76"/>
      <c r="C6839" s="76"/>
    </row>
    <row r="6840" spans="1:3" x14ac:dyDescent="0.2">
      <c r="A6840" s="76"/>
      <c r="C6840" s="76"/>
    </row>
    <row r="6841" spans="1:3" x14ac:dyDescent="0.2">
      <c r="A6841" s="76"/>
      <c r="C6841" s="76"/>
    </row>
    <row r="6842" spans="1:3" x14ac:dyDescent="0.2">
      <c r="A6842" s="76"/>
      <c r="C6842" s="76"/>
    </row>
    <row r="6843" spans="1:3" x14ac:dyDescent="0.2">
      <c r="A6843" s="76"/>
      <c r="C6843" s="76"/>
    </row>
    <row r="6844" spans="1:3" x14ac:dyDescent="0.2">
      <c r="A6844" s="76"/>
      <c r="C6844" s="76"/>
    </row>
    <row r="6845" spans="1:3" x14ac:dyDescent="0.2">
      <c r="A6845" s="76"/>
      <c r="C6845" s="76"/>
    </row>
    <row r="6846" spans="1:3" x14ac:dyDescent="0.2">
      <c r="A6846" s="76"/>
      <c r="C6846" s="76"/>
    </row>
    <row r="6847" spans="1:3" x14ac:dyDescent="0.2">
      <c r="A6847" s="76"/>
      <c r="C6847" s="76"/>
    </row>
    <row r="6848" spans="1:3" x14ac:dyDescent="0.2">
      <c r="A6848" s="76"/>
      <c r="C6848" s="76"/>
    </row>
    <row r="6849" spans="1:3" x14ac:dyDescent="0.2">
      <c r="A6849" s="76"/>
      <c r="C6849" s="76"/>
    </row>
    <row r="6850" spans="1:3" x14ac:dyDescent="0.2">
      <c r="A6850" s="76"/>
      <c r="C6850" s="76"/>
    </row>
    <row r="6851" spans="1:3" x14ac:dyDescent="0.2">
      <c r="A6851" s="76"/>
      <c r="C6851" s="76"/>
    </row>
    <row r="6852" spans="1:3" x14ac:dyDescent="0.2">
      <c r="A6852" s="76"/>
      <c r="C6852" s="76"/>
    </row>
    <row r="6853" spans="1:3" x14ac:dyDescent="0.2">
      <c r="A6853" s="76"/>
      <c r="C6853" s="76"/>
    </row>
    <row r="6854" spans="1:3" x14ac:dyDescent="0.2">
      <c r="A6854" s="76"/>
      <c r="C6854" s="76"/>
    </row>
    <row r="6855" spans="1:3" x14ac:dyDescent="0.2">
      <c r="A6855" s="76"/>
      <c r="C6855" s="76"/>
    </row>
    <row r="6856" spans="1:3" x14ac:dyDescent="0.2">
      <c r="A6856" s="76"/>
      <c r="C6856" s="76"/>
    </row>
    <row r="6857" spans="1:3" x14ac:dyDescent="0.2">
      <c r="A6857" s="76"/>
      <c r="C6857" s="76"/>
    </row>
    <row r="6858" spans="1:3" x14ac:dyDescent="0.2">
      <c r="A6858" s="76"/>
      <c r="C6858" s="76"/>
    </row>
    <row r="6859" spans="1:3" x14ac:dyDescent="0.2">
      <c r="A6859" s="76"/>
      <c r="C6859" s="76"/>
    </row>
    <row r="6860" spans="1:3" x14ac:dyDescent="0.2">
      <c r="A6860" s="76"/>
      <c r="C6860" s="76"/>
    </row>
    <row r="6861" spans="1:3" x14ac:dyDescent="0.2">
      <c r="A6861" s="76"/>
      <c r="C6861" s="76"/>
    </row>
    <row r="6862" spans="1:3" x14ac:dyDescent="0.2">
      <c r="A6862" s="76"/>
      <c r="C6862" s="76"/>
    </row>
    <row r="6863" spans="1:3" x14ac:dyDescent="0.2">
      <c r="A6863" s="76"/>
      <c r="C6863" s="76"/>
    </row>
    <row r="6864" spans="1:3" x14ac:dyDescent="0.2">
      <c r="A6864" s="76"/>
      <c r="C6864" s="76"/>
    </row>
    <row r="6865" spans="1:3" x14ac:dyDescent="0.2">
      <c r="A6865" s="76"/>
      <c r="C6865" s="76"/>
    </row>
    <row r="6866" spans="1:3" x14ac:dyDescent="0.2">
      <c r="A6866" s="76"/>
      <c r="C6866" s="76"/>
    </row>
    <row r="6867" spans="1:3" x14ac:dyDescent="0.2">
      <c r="A6867" s="76"/>
      <c r="C6867" s="76"/>
    </row>
    <row r="6868" spans="1:3" x14ac:dyDescent="0.2">
      <c r="A6868" s="76"/>
      <c r="C6868" s="76"/>
    </row>
    <row r="6869" spans="1:3" x14ac:dyDescent="0.2">
      <c r="A6869" s="76"/>
      <c r="C6869" s="76"/>
    </row>
    <row r="6870" spans="1:3" x14ac:dyDescent="0.2">
      <c r="A6870" s="76"/>
      <c r="C6870" s="76"/>
    </row>
    <row r="6871" spans="1:3" x14ac:dyDescent="0.2">
      <c r="A6871" s="76"/>
      <c r="C6871" s="76"/>
    </row>
    <row r="6872" spans="1:3" x14ac:dyDescent="0.2">
      <c r="A6872" s="76"/>
      <c r="C6872" s="76"/>
    </row>
    <row r="6873" spans="1:3" x14ac:dyDescent="0.2">
      <c r="A6873" s="76"/>
      <c r="C6873" s="76"/>
    </row>
    <row r="6874" spans="1:3" x14ac:dyDescent="0.2">
      <c r="A6874" s="76"/>
      <c r="C6874" s="76"/>
    </row>
    <row r="6875" spans="1:3" x14ac:dyDescent="0.2">
      <c r="A6875" s="76"/>
      <c r="C6875" s="76"/>
    </row>
    <row r="6876" spans="1:3" x14ac:dyDescent="0.2">
      <c r="A6876" s="76"/>
      <c r="C6876" s="76"/>
    </row>
    <row r="6877" spans="1:3" x14ac:dyDescent="0.2">
      <c r="A6877" s="76"/>
      <c r="C6877" s="76"/>
    </row>
    <row r="6878" spans="1:3" x14ac:dyDescent="0.2">
      <c r="A6878" s="76"/>
      <c r="C6878" s="76"/>
    </row>
    <row r="6879" spans="1:3" x14ac:dyDescent="0.2">
      <c r="A6879" s="76"/>
      <c r="C6879" s="76"/>
    </row>
    <row r="6880" spans="1:3" x14ac:dyDescent="0.2">
      <c r="A6880" s="76"/>
      <c r="C6880" s="76"/>
    </row>
    <row r="6881" spans="1:3" x14ac:dyDescent="0.2">
      <c r="A6881" s="76"/>
      <c r="C6881" s="76"/>
    </row>
    <row r="6882" spans="1:3" x14ac:dyDescent="0.2">
      <c r="A6882" s="76"/>
      <c r="C6882" s="76"/>
    </row>
    <row r="6883" spans="1:3" x14ac:dyDescent="0.2">
      <c r="A6883" s="76"/>
      <c r="C6883" s="76"/>
    </row>
    <row r="6884" spans="1:3" x14ac:dyDescent="0.2">
      <c r="A6884" s="76"/>
      <c r="C6884" s="76"/>
    </row>
    <row r="6885" spans="1:3" x14ac:dyDescent="0.2">
      <c r="A6885" s="76"/>
      <c r="C6885" s="76"/>
    </row>
    <row r="6886" spans="1:3" x14ac:dyDescent="0.2">
      <c r="A6886" s="76"/>
      <c r="C6886" s="76"/>
    </row>
    <row r="6887" spans="1:3" x14ac:dyDescent="0.2">
      <c r="A6887" s="76"/>
      <c r="C6887" s="76"/>
    </row>
    <row r="6888" spans="1:3" x14ac:dyDescent="0.2">
      <c r="A6888" s="76"/>
      <c r="C6888" s="76"/>
    </row>
    <row r="6889" spans="1:3" x14ac:dyDescent="0.2">
      <c r="A6889" s="76"/>
      <c r="C6889" s="76"/>
    </row>
    <row r="6890" spans="1:3" x14ac:dyDescent="0.2">
      <c r="A6890" s="76"/>
      <c r="C6890" s="76"/>
    </row>
    <row r="6891" spans="1:3" x14ac:dyDescent="0.2">
      <c r="A6891" s="76"/>
      <c r="C6891" s="76"/>
    </row>
    <row r="6892" spans="1:3" x14ac:dyDescent="0.2">
      <c r="A6892" s="76"/>
      <c r="C6892" s="76"/>
    </row>
    <row r="6893" spans="1:3" x14ac:dyDescent="0.2">
      <c r="A6893" s="76"/>
      <c r="C6893" s="76"/>
    </row>
    <row r="6894" spans="1:3" x14ac:dyDescent="0.2">
      <c r="A6894" s="76"/>
      <c r="C6894" s="76"/>
    </row>
    <row r="6895" spans="1:3" x14ac:dyDescent="0.2">
      <c r="A6895" s="76"/>
      <c r="C6895" s="76"/>
    </row>
    <row r="6896" spans="1:3" x14ac:dyDescent="0.2">
      <c r="A6896" s="76"/>
      <c r="C6896" s="76"/>
    </row>
    <row r="6897" spans="1:3" x14ac:dyDescent="0.2">
      <c r="A6897" s="76"/>
      <c r="C6897" s="76"/>
    </row>
    <row r="6898" spans="1:3" x14ac:dyDescent="0.2">
      <c r="A6898" s="76"/>
      <c r="C6898" s="76"/>
    </row>
    <row r="6899" spans="1:3" x14ac:dyDescent="0.2">
      <c r="A6899" s="76"/>
      <c r="C6899" s="76"/>
    </row>
    <row r="6900" spans="1:3" x14ac:dyDescent="0.2">
      <c r="A6900" s="76"/>
      <c r="C6900" s="76"/>
    </row>
    <row r="6901" spans="1:3" x14ac:dyDescent="0.2">
      <c r="A6901" s="76"/>
      <c r="C6901" s="76"/>
    </row>
    <row r="6902" spans="1:3" x14ac:dyDescent="0.2">
      <c r="A6902" s="76"/>
      <c r="C6902" s="76"/>
    </row>
    <row r="6903" spans="1:3" x14ac:dyDescent="0.2">
      <c r="A6903" s="76"/>
      <c r="C6903" s="76"/>
    </row>
    <row r="6904" spans="1:3" x14ac:dyDescent="0.2">
      <c r="A6904" s="76"/>
      <c r="C6904" s="76"/>
    </row>
    <row r="6905" spans="1:3" x14ac:dyDescent="0.2">
      <c r="A6905" s="76"/>
      <c r="C6905" s="76"/>
    </row>
    <row r="6906" spans="1:3" x14ac:dyDescent="0.2">
      <c r="A6906" s="76"/>
      <c r="C6906" s="76"/>
    </row>
    <row r="6907" spans="1:3" x14ac:dyDescent="0.2">
      <c r="A6907" s="76"/>
      <c r="C6907" s="76"/>
    </row>
    <row r="6908" spans="1:3" x14ac:dyDescent="0.2">
      <c r="A6908" s="76"/>
      <c r="C6908" s="76"/>
    </row>
    <row r="6909" spans="1:3" x14ac:dyDescent="0.2">
      <c r="A6909" s="76"/>
      <c r="C6909" s="76"/>
    </row>
    <row r="6910" spans="1:3" x14ac:dyDescent="0.2">
      <c r="A6910" s="76"/>
      <c r="C6910" s="76"/>
    </row>
    <row r="6911" spans="1:3" x14ac:dyDescent="0.2">
      <c r="A6911" s="76"/>
      <c r="C6911" s="76"/>
    </row>
    <row r="6912" spans="1:3" x14ac:dyDescent="0.2">
      <c r="A6912" s="76"/>
      <c r="C6912" s="76"/>
    </row>
    <row r="6913" spans="1:3" x14ac:dyDescent="0.2">
      <c r="A6913" s="76"/>
      <c r="C6913" s="76"/>
    </row>
    <row r="6914" spans="1:3" x14ac:dyDescent="0.2">
      <c r="A6914" s="76"/>
      <c r="C6914" s="76"/>
    </row>
    <row r="6915" spans="1:3" x14ac:dyDescent="0.2">
      <c r="A6915" s="76"/>
      <c r="C6915" s="76"/>
    </row>
    <row r="6916" spans="1:3" x14ac:dyDescent="0.2">
      <c r="A6916" s="76"/>
      <c r="C6916" s="76"/>
    </row>
    <row r="6917" spans="1:3" x14ac:dyDescent="0.2">
      <c r="A6917" s="76"/>
      <c r="C6917" s="76"/>
    </row>
    <row r="6918" spans="1:3" x14ac:dyDescent="0.2">
      <c r="A6918" s="76"/>
      <c r="C6918" s="76"/>
    </row>
    <row r="6919" spans="1:3" x14ac:dyDescent="0.2">
      <c r="A6919" s="76"/>
      <c r="C6919" s="76"/>
    </row>
    <row r="6920" spans="1:3" x14ac:dyDescent="0.2">
      <c r="A6920" s="76"/>
      <c r="C6920" s="76"/>
    </row>
    <row r="6921" spans="1:3" x14ac:dyDescent="0.2">
      <c r="A6921" s="76"/>
      <c r="C6921" s="76"/>
    </row>
    <row r="6922" spans="1:3" x14ac:dyDescent="0.2">
      <c r="A6922" s="76"/>
      <c r="C6922" s="76"/>
    </row>
    <row r="6923" spans="1:3" x14ac:dyDescent="0.2">
      <c r="A6923" s="76"/>
      <c r="C6923" s="76"/>
    </row>
    <row r="6924" spans="1:3" x14ac:dyDescent="0.2">
      <c r="A6924" s="76"/>
      <c r="C6924" s="76"/>
    </row>
    <row r="6925" spans="1:3" x14ac:dyDescent="0.2">
      <c r="A6925" s="76"/>
      <c r="C6925" s="76"/>
    </row>
    <row r="6926" spans="1:3" x14ac:dyDescent="0.2">
      <c r="A6926" s="76"/>
      <c r="C6926" s="76"/>
    </row>
    <row r="6927" spans="1:3" x14ac:dyDescent="0.2">
      <c r="A6927" s="76"/>
      <c r="C6927" s="76"/>
    </row>
    <row r="6928" spans="1:3" x14ac:dyDescent="0.2">
      <c r="A6928" s="76"/>
      <c r="C6928" s="76"/>
    </row>
    <row r="6929" spans="1:3" x14ac:dyDescent="0.2">
      <c r="A6929" s="76"/>
      <c r="C6929" s="76"/>
    </row>
    <row r="6930" spans="1:3" x14ac:dyDescent="0.2">
      <c r="A6930" s="76"/>
      <c r="C6930" s="76"/>
    </row>
    <row r="6931" spans="1:3" x14ac:dyDescent="0.2">
      <c r="A6931" s="76"/>
      <c r="C6931" s="76"/>
    </row>
    <row r="6932" spans="1:3" x14ac:dyDescent="0.2">
      <c r="A6932" s="76"/>
      <c r="C6932" s="76"/>
    </row>
    <row r="6933" spans="1:3" x14ac:dyDescent="0.2">
      <c r="A6933" s="76"/>
      <c r="C6933" s="76"/>
    </row>
    <row r="6934" spans="1:3" x14ac:dyDescent="0.2">
      <c r="A6934" s="76"/>
      <c r="C6934" s="76"/>
    </row>
    <row r="6935" spans="1:3" x14ac:dyDescent="0.2">
      <c r="A6935" s="76"/>
      <c r="C6935" s="76"/>
    </row>
    <row r="6936" spans="1:3" x14ac:dyDescent="0.2">
      <c r="A6936" s="76"/>
      <c r="C6936" s="76"/>
    </row>
    <row r="6937" spans="1:3" x14ac:dyDescent="0.2">
      <c r="A6937" s="76"/>
      <c r="C6937" s="76"/>
    </row>
    <row r="6938" spans="1:3" x14ac:dyDescent="0.2">
      <c r="A6938" s="76"/>
      <c r="C6938" s="76"/>
    </row>
    <row r="6939" spans="1:3" x14ac:dyDescent="0.2">
      <c r="A6939" s="76"/>
      <c r="C6939" s="76"/>
    </row>
    <row r="6940" spans="1:3" x14ac:dyDescent="0.2">
      <c r="A6940" s="76"/>
      <c r="C6940" s="76"/>
    </row>
    <row r="6941" spans="1:3" x14ac:dyDescent="0.2">
      <c r="A6941" s="76"/>
      <c r="C6941" s="76"/>
    </row>
    <row r="6942" spans="1:3" x14ac:dyDescent="0.2">
      <c r="A6942" s="76"/>
      <c r="C6942" s="76"/>
    </row>
    <row r="6943" spans="1:3" x14ac:dyDescent="0.2">
      <c r="A6943" s="76"/>
      <c r="C6943" s="76"/>
    </row>
    <row r="6944" spans="1:3" x14ac:dyDescent="0.2">
      <c r="A6944" s="76"/>
      <c r="C6944" s="76"/>
    </row>
    <row r="6945" spans="1:3" x14ac:dyDescent="0.2">
      <c r="A6945" s="76"/>
      <c r="C6945" s="76"/>
    </row>
    <row r="6946" spans="1:3" x14ac:dyDescent="0.2">
      <c r="A6946" s="76"/>
      <c r="C6946" s="76"/>
    </row>
    <row r="6947" spans="1:3" x14ac:dyDescent="0.2">
      <c r="A6947" s="76"/>
      <c r="C6947" s="76"/>
    </row>
    <row r="6948" spans="1:3" x14ac:dyDescent="0.2">
      <c r="A6948" s="76"/>
      <c r="C6948" s="76"/>
    </row>
    <row r="6949" spans="1:3" x14ac:dyDescent="0.2">
      <c r="A6949" s="76"/>
      <c r="C6949" s="76"/>
    </row>
    <row r="6950" spans="1:3" x14ac:dyDescent="0.2">
      <c r="A6950" s="76"/>
      <c r="C6950" s="76"/>
    </row>
    <row r="6951" spans="1:3" x14ac:dyDescent="0.2">
      <c r="A6951" s="76"/>
      <c r="C6951" s="76"/>
    </row>
    <row r="6952" spans="1:3" x14ac:dyDescent="0.2">
      <c r="A6952" s="76"/>
      <c r="C6952" s="76"/>
    </row>
    <row r="6953" spans="1:3" x14ac:dyDescent="0.2">
      <c r="A6953" s="76"/>
      <c r="C6953" s="76"/>
    </row>
    <row r="6954" spans="1:3" x14ac:dyDescent="0.2">
      <c r="A6954" s="76"/>
      <c r="C6954" s="76"/>
    </row>
    <row r="6955" spans="1:3" x14ac:dyDescent="0.2">
      <c r="A6955" s="76"/>
      <c r="C6955" s="76"/>
    </row>
    <row r="6956" spans="1:3" x14ac:dyDescent="0.2">
      <c r="A6956" s="76"/>
      <c r="C6956" s="76"/>
    </row>
    <row r="6957" spans="1:3" x14ac:dyDescent="0.2">
      <c r="A6957" s="76"/>
      <c r="C6957" s="76"/>
    </row>
    <row r="6958" spans="1:3" x14ac:dyDescent="0.2">
      <c r="A6958" s="76"/>
      <c r="C6958" s="76"/>
    </row>
    <row r="6959" spans="1:3" x14ac:dyDescent="0.2">
      <c r="A6959" s="76"/>
      <c r="C6959" s="76"/>
    </row>
    <row r="6960" spans="1:3" x14ac:dyDescent="0.2">
      <c r="A6960" s="76"/>
      <c r="C6960" s="76"/>
    </row>
    <row r="6961" spans="1:3" x14ac:dyDescent="0.2">
      <c r="A6961" s="76"/>
      <c r="C6961" s="76"/>
    </row>
    <row r="6962" spans="1:3" x14ac:dyDescent="0.2">
      <c r="A6962" s="76"/>
      <c r="C6962" s="76"/>
    </row>
    <row r="6963" spans="1:3" x14ac:dyDescent="0.2">
      <c r="A6963" s="76"/>
      <c r="C6963" s="76"/>
    </row>
    <row r="6964" spans="1:3" x14ac:dyDescent="0.2">
      <c r="A6964" s="76"/>
      <c r="C6964" s="76"/>
    </row>
    <row r="6965" spans="1:3" x14ac:dyDescent="0.2">
      <c r="A6965" s="76"/>
      <c r="C6965" s="76"/>
    </row>
    <row r="6966" spans="1:3" x14ac:dyDescent="0.2">
      <c r="A6966" s="76"/>
      <c r="C6966" s="76"/>
    </row>
    <row r="6967" spans="1:3" x14ac:dyDescent="0.2">
      <c r="A6967" s="76"/>
      <c r="C6967" s="76"/>
    </row>
    <row r="6968" spans="1:3" x14ac:dyDescent="0.2">
      <c r="A6968" s="76"/>
      <c r="C6968" s="76"/>
    </row>
    <row r="6969" spans="1:3" x14ac:dyDescent="0.2">
      <c r="A6969" s="76"/>
      <c r="C6969" s="76"/>
    </row>
    <row r="6970" spans="1:3" x14ac:dyDescent="0.2">
      <c r="A6970" s="76"/>
      <c r="C6970" s="76"/>
    </row>
    <row r="6971" spans="1:3" x14ac:dyDescent="0.2">
      <c r="A6971" s="76"/>
      <c r="C6971" s="76"/>
    </row>
    <row r="6972" spans="1:3" x14ac:dyDescent="0.2">
      <c r="A6972" s="76"/>
      <c r="C6972" s="76"/>
    </row>
    <row r="6973" spans="1:3" x14ac:dyDescent="0.2">
      <c r="A6973" s="76"/>
      <c r="C6973" s="76"/>
    </row>
    <row r="6974" spans="1:3" x14ac:dyDescent="0.2">
      <c r="A6974" s="76"/>
      <c r="C6974" s="76"/>
    </row>
    <row r="6975" spans="1:3" x14ac:dyDescent="0.2">
      <c r="A6975" s="76"/>
      <c r="C6975" s="76"/>
    </row>
    <row r="6976" spans="1:3" x14ac:dyDescent="0.2">
      <c r="A6976" s="76"/>
      <c r="C6976" s="76"/>
    </row>
    <row r="6977" spans="1:3" x14ac:dyDescent="0.2">
      <c r="A6977" s="76"/>
      <c r="C6977" s="76"/>
    </row>
    <row r="6978" spans="1:3" x14ac:dyDescent="0.2">
      <c r="A6978" s="76"/>
      <c r="C6978" s="76"/>
    </row>
    <row r="6979" spans="1:3" x14ac:dyDescent="0.2">
      <c r="A6979" s="76"/>
      <c r="C6979" s="76"/>
    </row>
    <row r="6980" spans="1:3" x14ac:dyDescent="0.2">
      <c r="A6980" s="76"/>
      <c r="C6980" s="76"/>
    </row>
    <row r="6981" spans="1:3" x14ac:dyDescent="0.2">
      <c r="A6981" s="76"/>
      <c r="C6981" s="76"/>
    </row>
    <row r="6982" spans="1:3" x14ac:dyDescent="0.2">
      <c r="A6982" s="76"/>
      <c r="C6982" s="76"/>
    </row>
    <row r="6983" spans="1:3" x14ac:dyDescent="0.2">
      <c r="A6983" s="76"/>
      <c r="C6983" s="76"/>
    </row>
    <row r="6984" spans="1:3" x14ac:dyDescent="0.2">
      <c r="A6984" s="76"/>
      <c r="C6984" s="76"/>
    </row>
    <row r="6985" spans="1:3" x14ac:dyDescent="0.2">
      <c r="A6985" s="76"/>
      <c r="C6985" s="76"/>
    </row>
    <row r="6986" spans="1:3" x14ac:dyDescent="0.2">
      <c r="A6986" s="76"/>
      <c r="C6986" s="76"/>
    </row>
    <row r="6987" spans="1:3" x14ac:dyDescent="0.2">
      <c r="A6987" s="76"/>
      <c r="C6987" s="76"/>
    </row>
    <row r="6988" spans="1:3" x14ac:dyDescent="0.2">
      <c r="A6988" s="76"/>
      <c r="C6988" s="76"/>
    </row>
    <row r="6989" spans="1:3" x14ac:dyDescent="0.2">
      <c r="A6989" s="76"/>
      <c r="C6989" s="76"/>
    </row>
    <row r="6990" spans="1:3" x14ac:dyDescent="0.2">
      <c r="A6990" s="76"/>
      <c r="C6990" s="76"/>
    </row>
    <row r="6991" spans="1:3" x14ac:dyDescent="0.2">
      <c r="A6991" s="76"/>
      <c r="C6991" s="76"/>
    </row>
    <row r="6992" spans="1:3" x14ac:dyDescent="0.2">
      <c r="A6992" s="76"/>
      <c r="C6992" s="76"/>
    </row>
    <row r="6993" spans="1:3" x14ac:dyDescent="0.2">
      <c r="A6993" s="76"/>
      <c r="C6993" s="76"/>
    </row>
    <row r="6994" spans="1:3" x14ac:dyDescent="0.2">
      <c r="A6994" s="76"/>
      <c r="C6994" s="76"/>
    </row>
    <row r="6995" spans="1:3" x14ac:dyDescent="0.2">
      <c r="A6995" s="76"/>
      <c r="C6995" s="76"/>
    </row>
    <row r="6996" spans="1:3" x14ac:dyDescent="0.2">
      <c r="A6996" s="76"/>
      <c r="C6996" s="76"/>
    </row>
    <row r="6997" spans="1:3" x14ac:dyDescent="0.2">
      <c r="A6997" s="76"/>
      <c r="C6997" s="76"/>
    </row>
    <row r="6998" spans="1:3" x14ac:dyDescent="0.2">
      <c r="A6998" s="76"/>
      <c r="C6998" s="76"/>
    </row>
    <row r="6999" spans="1:3" x14ac:dyDescent="0.2">
      <c r="A6999" s="76"/>
      <c r="C6999" s="76"/>
    </row>
    <row r="7000" spans="1:3" x14ac:dyDescent="0.2">
      <c r="A7000" s="76"/>
      <c r="C7000" s="76"/>
    </row>
    <row r="7001" spans="1:3" x14ac:dyDescent="0.2">
      <c r="A7001" s="76"/>
      <c r="C7001" s="76"/>
    </row>
    <row r="7002" spans="1:3" x14ac:dyDescent="0.2">
      <c r="A7002" s="76"/>
      <c r="C7002" s="76"/>
    </row>
    <row r="7003" spans="1:3" x14ac:dyDescent="0.2">
      <c r="A7003" s="76"/>
      <c r="C7003" s="76"/>
    </row>
    <row r="7004" spans="1:3" x14ac:dyDescent="0.2">
      <c r="A7004" s="76"/>
      <c r="C7004" s="76"/>
    </row>
    <row r="7005" spans="1:3" x14ac:dyDescent="0.2">
      <c r="A7005" s="76"/>
      <c r="C7005" s="76"/>
    </row>
    <row r="7006" spans="1:3" x14ac:dyDescent="0.2">
      <c r="A7006" s="76"/>
      <c r="C7006" s="76"/>
    </row>
    <row r="7007" spans="1:3" x14ac:dyDescent="0.2">
      <c r="A7007" s="76"/>
      <c r="C7007" s="76"/>
    </row>
    <row r="7008" spans="1:3" x14ac:dyDescent="0.2">
      <c r="A7008" s="76"/>
      <c r="C7008" s="76"/>
    </row>
    <row r="7009" spans="1:3" x14ac:dyDescent="0.2">
      <c r="A7009" s="76"/>
      <c r="C7009" s="76"/>
    </row>
    <row r="7010" spans="1:3" x14ac:dyDescent="0.2">
      <c r="A7010" s="76"/>
      <c r="C7010" s="76"/>
    </row>
    <row r="7011" spans="1:3" x14ac:dyDescent="0.2">
      <c r="A7011" s="76"/>
      <c r="C7011" s="76"/>
    </row>
    <row r="7012" spans="1:3" x14ac:dyDescent="0.2">
      <c r="A7012" s="76"/>
      <c r="C7012" s="76"/>
    </row>
    <row r="7013" spans="1:3" x14ac:dyDescent="0.2">
      <c r="A7013" s="76"/>
      <c r="C7013" s="76"/>
    </row>
    <row r="7014" spans="1:3" x14ac:dyDescent="0.2">
      <c r="A7014" s="76"/>
      <c r="C7014" s="76"/>
    </row>
    <row r="7015" spans="1:3" x14ac:dyDescent="0.2">
      <c r="A7015" s="76"/>
      <c r="C7015" s="76"/>
    </row>
    <row r="7016" spans="1:3" x14ac:dyDescent="0.2">
      <c r="A7016" s="76"/>
      <c r="C7016" s="76"/>
    </row>
    <row r="7017" spans="1:3" x14ac:dyDescent="0.2">
      <c r="A7017" s="76"/>
      <c r="C7017" s="76"/>
    </row>
    <row r="7018" spans="1:3" x14ac:dyDescent="0.2">
      <c r="A7018" s="76"/>
      <c r="C7018" s="76"/>
    </row>
    <row r="7019" spans="1:3" x14ac:dyDescent="0.2">
      <c r="A7019" s="76"/>
      <c r="C7019" s="76"/>
    </row>
    <row r="7020" spans="1:3" x14ac:dyDescent="0.2">
      <c r="A7020" s="76"/>
      <c r="C7020" s="76"/>
    </row>
    <row r="7021" spans="1:3" x14ac:dyDescent="0.2">
      <c r="A7021" s="76"/>
      <c r="C7021" s="76"/>
    </row>
    <row r="7022" spans="1:3" x14ac:dyDescent="0.2">
      <c r="A7022" s="76"/>
      <c r="C7022" s="76"/>
    </row>
    <row r="7023" spans="1:3" x14ac:dyDescent="0.2">
      <c r="A7023" s="76"/>
      <c r="C7023" s="76"/>
    </row>
    <row r="7024" spans="1:3" x14ac:dyDescent="0.2">
      <c r="A7024" s="76"/>
      <c r="C7024" s="76"/>
    </row>
    <row r="7025" spans="1:3" x14ac:dyDescent="0.2">
      <c r="A7025" s="76"/>
      <c r="C7025" s="76"/>
    </row>
    <row r="7026" spans="1:3" x14ac:dyDescent="0.2">
      <c r="A7026" s="76"/>
      <c r="C7026" s="76"/>
    </row>
    <row r="7027" spans="1:3" x14ac:dyDescent="0.2">
      <c r="A7027" s="76"/>
      <c r="C7027" s="76"/>
    </row>
    <row r="7028" spans="1:3" x14ac:dyDescent="0.2">
      <c r="A7028" s="76"/>
      <c r="C7028" s="76"/>
    </row>
    <row r="7029" spans="1:3" x14ac:dyDescent="0.2">
      <c r="A7029" s="76"/>
      <c r="C7029" s="76"/>
    </row>
    <row r="7030" spans="1:3" x14ac:dyDescent="0.2">
      <c r="A7030" s="76"/>
      <c r="C7030" s="76"/>
    </row>
    <row r="7031" spans="1:3" x14ac:dyDescent="0.2">
      <c r="A7031" s="76"/>
      <c r="C7031" s="76"/>
    </row>
    <row r="7032" spans="1:3" x14ac:dyDescent="0.2">
      <c r="A7032" s="76"/>
      <c r="C7032" s="76"/>
    </row>
    <row r="7033" spans="1:3" x14ac:dyDescent="0.2">
      <c r="A7033" s="76"/>
      <c r="C7033" s="76"/>
    </row>
    <row r="7034" spans="1:3" x14ac:dyDescent="0.2">
      <c r="A7034" s="76"/>
      <c r="C7034" s="76"/>
    </row>
    <row r="7035" spans="1:3" x14ac:dyDescent="0.2">
      <c r="A7035" s="76"/>
      <c r="C7035" s="76"/>
    </row>
    <row r="7036" spans="1:3" x14ac:dyDescent="0.2">
      <c r="A7036" s="76"/>
      <c r="C7036" s="76"/>
    </row>
    <row r="7037" spans="1:3" x14ac:dyDescent="0.2">
      <c r="A7037" s="76"/>
      <c r="C7037" s="76"/>
    </row>
    <row r="7038" spans="1:3" x14ac:dyDescent="0.2">
      <c r="A7038" s="76"/>
      <c r="C7038" s="76"/>
    </row>
    <row r="7039" spans="1:3" x14ac:dyDescent="0.2">
      <c r="A7039" s="76"/>
      <c r="C7039" s="76"/>
    </row>
    <row r="7040" spans="1:3" x14ac:dyDescent="0.2">
      <c r="A7040" s="76"/>
      <c r="C7040" s="76"/>
    </row>
    <row r="7041" spans="1:3" x14ac:dyDescent="0.2">
      <c r="A7041" s="76"/>
      <c r="C7041" s="76"/>
    </row>
    <row r="7042" spans="1:3" x14ac:dyDescent="0.2">
      <c r="A7042" s="76"/>
      <c r="C7042" s="76"/>
    </row>
    <row r="7043" spans="1:3" x14ac:dyDescent="0.2">
      <c r="A7043" s="76"/>
      <c r="C7043" s="76"/>
    </row>
    <row r="7044" spans="1:3" x14ac:dyDescent="0.2">
      <c r="A7044" s="76"/>
      <c r="C7044" s="76"/>
    </row>
    <row r="7045" spans="1:3" x14ac:dyDescent="0.2">
      <c r="A7045" s="76"/>
      <c r="C7045" s="76"/>
    </row>
    <row r="7046" spans="1:3" x14ac:dyDescent="0.2">
      <c r="A7046" s="76"/>
      <c r="C7046" s="76"/>
    </row>
    <row r="7047" spans="1:3" x14ac:dyDescent="0.2">
      <c r="A7047" s="76"/>
      <c r="C7047" s="76"/>
    </row>
    <row r="7048" spans="1:3" x14ac:dyDescent="0.2">
      <c r="A7048" s="76"/>
      <c r="C7048" s="76"/>
    </row>
    <row r="7049" spans="1:3" x14ac:dyDescent="0.2">
      <c r="A7049" s="76"/>
      <c r="C7049" s="76"/>
    </row>
    <row r="7050" spans="1:3" x14ac:dyDescent="0.2">
      <c r="A7050" s="76"/>
      <c r="C7050" s="76"/>
    </row>
    <row r="7051" spans="1:3" x14ac:dyDescent="0.2">
      <c r="A7051" s="76"/>
      <c r="C7051" s="76"/>
    </row>
    <row r="7052" spans="1:3" x14ac:dyDescent="0.2">
      <c r="A7052" s="76"/>
      <c r="C7052" s="76"/>
    </row>
    <row r="7053" spans="1:3" x14ac:dyDescent="0.2">
      <c r="A7053" s="76"/>
      <c r="C7053" s="76"/>
    </row>
    <row r="7054" spans="1:3" x14ac:dyDescent="0.2">
      <c r="A7054" s="76"/>
      <c r="C7054" s="76"/>
    </row>
    <row r="7055" spans="1:3" x14ac:dyDescent="0.2">
      <c r="A7055" s="76"/>
      <c r="C7055" s="76"/>
    </row>
    <row r="7056" spans="1:3" x14ac:dyDescent="0.2">
      <c r="A7056" s="76"/>
      <c r="C7056" s="76"/>
    </row>
    <row r="7057" spans="1:3" x14ac:dyDescent="0.2">
      <c r="A7057" s="76"/>
      <c r="C7057" s="76"/>
    </row>
    <row r="7058" spans="1:3" x14ac:dyDescent="0.2">
      <c r="A7058" s="76"/>
      <c r="C7058" s="76"/>
    </row>
    <row r="7059" spans="1:3" x14ac:dyDescent="0.2">
      <c r="A7059" s="76"/>
      <c r="C7059" s="76"/>
    </row>
    <row r="7060" spans="1:3" x14ac:dyDescent="0.2">
      <c r="A7060" s="76"/>
      <c r="C7060" s="76"/>
    </row>
    <row r="7061" spans="1:3" x14ac:dyDescent="0.2">
      <c r="A7061" s="76"/>
      <c r="C7061" s="76"/>
    </row>
    <row r="7062" spans="1:3" x14ac:dyDescent="0.2">
      <c r="A7062" s="76"/>
      <c r="C7062" s="76"/>
    </row>
    <row r="7063" spans="1:3" x14ac:dyDescent="0.2">
      <c r="A7063" s="76"/>
      <c r="C7063" s="76"/>
    </row>
    <row r="7064" spans="1:3" x14ac:dyDescent="0.2">
      <c r="A7064" s="76"/>
      <c r="C7064" s="76"/>
    </row>
    <row r="7065" spans="1:3" x14ac:dyDescent="0.2">
      <c r="A7065" s="76"/>
      <c r="C7065" s="76"/>
    </row>
    <row r="7066" spans="1:3" x14ac:dyDescent="0.2">
      <c r="A7066" s="76"/>
      <c r="C7066" s="76"/>
    </row>
    <row r="7067" spans="1:3" x14ac:dyDescent="0.2">
      <c r="A7067" s="76"/>
      <c r="C7067" s="76"/>
    </row>
    <row r="7068" spans="1:3" x14ac:dyDescent="0.2">
      <c r="A7068" s="76"/>
      <c r="C7068" s="76"/>
    </row>
    <row r="7069" spans="1:3" x14ac:dyDescent="0.2">
      <c r="A7069" s="76"/>
      <c r="C7069" s="76"/>
    </row>
    <row r="7070" spans="1:3" x14ac:dyDescent="0.2">
      <c r="A7070" s="76"/>
      <c r="C7070" s="76"/>
    </row>
    <row r="7071" spans="1:3" x14ac:dyDescent="0.2">
      <c r="A7071" s="76"/>
      <c r="C7071" s="76"/>
    </row>
    <row r="7072" spans="1:3" x14ac:dyDescent="0.2">
      <c r="A7072" s="76"/>
      <c r="C7072" s="76"/>
    </row>
    <row r="7073" spans="1:3" x14ac:dyDescent="0.2">
      <c r="A7073" s="76"/>
      <c r="C7073" s="76"/>
    </row>
    <row r="7074" spans="1:3" x14ac:dyDescent="0.2">
      <c r="A7074" s="76"/>
      <c r="C7074" s="76"/>
    </row>
    <row r="7075" spans="1:3" x14ac:dyDescent="0.2">
      <c r="A7075" s="76"/>
      <c r="C7075" s="76"/>
    </row>
    <row r="7076" spans="1:3" x14ac:dyDescent="0.2">
      <c r="A7076" s="76"/>
      <c r="C7076" s="76"/>
    </row>
    <row r="7077" spans="1:3" x14ac:dyDescent="0.2">
      <c r="A7077" s="76"/>
      <c r="C7077" s="76"/>
    </row>
    <row r="7078" spans="1:3" x14ac:dyDescent="0.2">
      <c r="A7078" s="76"/>
      <c r="C7078" s="76"/>
    </row>
    <row r="7079" spans="1:3" x14ac:dyDescent="0.2">
      <c r="A7079" s="76"/>
      <c r="C7079" s="76"/>
    </row>
    <row r="7080" spans="1:3" x14ac:dyDescent="0.2">
      <c r="A7080" s="76"/>
      <c r="C7080" s="76"/>
    </row>
    <row r="7081" spans="1:3" x14ac:dyDescent="0.2">
      <c r="A7081" s="76"/>
      <c r="C7081" s="76"/>
    </row>
    <row r="7082" spans="1:3" x14ac:dyDescent="0.2">
      <c r="A7082" s="76"/>
      <c r="C7082" s="76"/>
    </row>
    <row r="7083" spans="1:3" x14ac:dyDescent="0.2">
      <c r="A7083" s="76"/>
      <c r="C7083" s="76"/>
    </row>
    <row r="7084" spans="1:3" x14ac:dyDescent="0.2">
      <c r="A7084" s="76"/>
      <c r="C7084" s="76"/>
    </row>
    <row r="7085" spans="1:3" x14ac:dyDescent="0.2">
      <c r="A7085" s="76"/>
      <c r="C7085" s="76"/>
    </row>
    <row r="7086" spans="1:3" x14ac:dyDescent="0.2">
      <c r="A7086" s="76"/>
      <c r="C7086" s="76"/>
    </row>
    <row r="7087" spans="1:3" x14ac:dyDescent="0.2">
      <c r="A7087" s="76"/>
      <c r="C7087" s="76"/>
    </row>
    <row r="7088" spans="1:3" x14ac:dyDescent="0.2">
      <c r="A7088" s="76"/>
      <c r="C7088" s="76"/>
    </row>
    <row r="7089" spans="1:3" x14ac:dyDescent="0.2">
      <c r="A7089" s="76"/>
      <c r="C7089" s="76"/>
    </row>
    <row r="7090" spans="1:3" x14ac:dyDescent="0.2">
      <c r="A7090" s="76"/>
      <c r="C7090" s="76"/>
    </row>
    <row r="7091" spans="1:3" x14ac:dyDescent="0.2">
      <c r="A7091" s="76"/>
      <c r="C7091" s="76"/>
    </row>
    <row r="7092" spans="1:3" x14ac:dyDescent="0.2">
      <c r="A7092" s="76"/>
      <c r="C7092" s="76"/>
    </row>
    <row r="7093" spans="1:3" x14ac:dyDescent="0.2">
      <c r="A7093" s="76"/>
      <c r="C7093" s="76"/>
    </row>
    <row r="7094" spans="1:3" x14ac:dyDescent="0.2">
      <c r="A7094" s="76"/>
      <c r="C7094" s="76"/>
    </row>
    <row r="7095" spans="1:3" x14ac:dyDescent="0.2">
      <c r="A7095" s="76"/>
      <c r="C7095" s="76"/>
    </row>
    <row r="7096" spans="1:3" x14ac:dyDescent="0.2">
      <c r="A7096" s="76"/>
      <c r="C7096" s="76"/>
    </row>
    <row r="7097" spans="1:3" x14ac:dyDescent="0.2">
      <c r="A7097" s="76"/>
      <c r="C7097" s="76"/>
    </row>
    <row r="7098" spans="1:3" x14ac:dyDescent="0.2">
      <c r="A7098" s="76"/>
      <c r="C7098" s="76"/>
    </row>
    <row r="7099" spans="1:3" x14ac:dyDescent="0.2">
      <c r="A7099" s="76"/>
      <c r="C7099" s="76"/>
    </row>
    <row r="7100" spans="1:3" x14ac:dyDescent="0.2">
      <c r="A7100" s="76"/>
      <c r="C7100" s="76"/>
    </row>
    <row r="7101" spans="1:3" x14ac:dyDescent="0.2">
      <c r="A7101" s="76"/>
      <c r="C7101" s="76"/>
    </row>
    <row r="7102" spans="1:3" x14ac:dyDescent="0.2">
      <c r="A7102" s="76"/>
      <c r="C7102" s="76"/>
    </row>
    <row r="7103" spans="1:3" x14ac:dyDescent="0.2">
      <c r="A7103" s="76"/>
      <c r="C7103" s="76"/>
    </row>
    <row r="7104" spans="1:3" x14ac:dyDescent="0.2">
      <c r="A7104" s="76"/>
      <c r="C7104" s="76"/>
    </row>
    <row r="7105" spans="1:3" x14ac:dyDescent="0.2">
      <c r="A7105" s="76"/>
      <c r="C7105" s="76"/>
    </row>
    <row r="7106" spans="1:3" x14ac:dyDescent="0.2">
      <c r="A7106" s="76"/>
      <c r="C7106" s="76"/>
    </row>
    <row r="7107" spans="1:3" x14ac:dyDescent="0.2">
      <c r="A7107" s="76"/>
      <c r="C7107" s="76"/>
    </row>
    <row r="7108" spans="1:3" x14ac:dyDescent="0.2">
      <c r="A7108" s="76"/>
      <c r="C7108" s="76"/>
    </row>
    <row r="7109" spans="1:3" x14ac:dyDescent="0.2">
      <c r="A7109" s="76"/>
      <c r="C7109" s="76"/>
    </row>
    <row r="7110" spans="1:3" x14ac:dyDescent="0.2">
      <c r="A7110" s="76"/>
      <c r="C7110" s="76"/>
    </row>
    <row r="7111" spans="1:3" x14ac:dyDescent="0.2">
      <c r="A7111" s="76"/>
      <c r="C7111" s="76"/>
    </row>
    <row r="7112" spans="1:3" x14ac:dyDescent="0.2">
      <c r="A7112" s="76"/>
      <c r="C7112" s="76"/>
    </row>
    <row r="7113" spans="1:3" x14ac:dyDescent="0.2">
      <c r="A7113" s="76"/>
      <c r="C7113" s="76"/>
    </row>
    <row r="7114" spans="1:3" x14ac:dyDescent="0.2">
      <c r="A7114" s="76"/>
      <c r="C7114" s="76"/>
    </row>
    <row r="7115" spans="1:3" x14ac:dyDescent="0.2">
      <c r="A7115" s="76"/>
      <c r="C7115" s="76"/>
    </row>
    <row r="7116" spans="1:3" x14ac:dyDescent="0.2">
      <c r="A7116" s="76"/>
      <c r="C7116" s="76"/>
    </row>
    <row r="7117" spans="1:3" x14ac:dyDescent="0.2">
      <c r="A7117" s="76"/>
      <c r="C7117" s="76"/>
    </row>
    <row r="7118" spans="1:3" x14ac:dyDescent="0.2">
      <c r="A7118" s="76"/>
      <c r="C7118" s="76"/>
    </row>
    <row r="7119" spans="1:3" x14ac:dyDescent="0.2">
      <c r="A7119" s="76"/>
      <c r="C7119" s="76"/>
    </row>
    <row r="7120" spans="1:3" x14ac:dyDescent="0.2">
      <c r="A7120" s="76"/>
      <c r="C7120" s="76"/>
    </row>
    <row r="7121" spans="1:3" x14ac:dyDescent="0.2">
      <c r="A7121" s="76"/>
      <c r="C7121" s="76"/>
    </row>
    <row r="7122" spans="1:3" x14ac:dyDescent="0.2">
      <c r="A7122" s="76"/>
      <c r="C7122" s="76"/>
    </row>
    <row r="7123" spans="1:3" x14ac:dyDescent="0.2">
      <c r="A7123" s="76"/>
      <c r="C7123" s="76"/>
    </row>
    <row r="7124" spans="1:3" x14ac:dyDescent="0.2">
      <c r="A7124" s="76"/>
      <c r="C7124" s="76"/>
    </row>
    <row r="7125" spans="1:3" x14ac:dyDescent="0.2">
      <c r="A7125" s="76"/>
      <c r="C7125" s="76"/>
    </row>
    <row r="7126" spans="1:3" x14ac:dyDescent="0.2">
      <c r="A7126" s="76"/>
      <c r="C7126" s="76"/>
    </row>
    <row r="7127" spans="1:3" x14ac:dyDescent="0.2">
      <c r="A7127" s="76"/>
      <c r="C7127" s="76"/>
    </row>
    <row r="7128" spans="1:3" x14ac:dyDescent="0.2">
      <c r="A7128" s="76"/>
      <c r="C7128" s="76"/>
    </row>
    <row r="7129" spans="1:3" x14ac:dyDescent="0.2">
      <c r="A7129" s="76"/>
      <c r="C7129" s="76"/>
    </row>
    <row r="7130" spans="1:3" x14ac:dyDescent="0.2">
      <c r="A7130" s="76"/>
      <c r="C7130" s="76"/>
    </row>
    <row r="7131" spans="1:3" x14ac:dyDescent="0.2">
      <c r="A7131" s="76"/>
      <c r="C7131" s="76"/>
    </row>
    <row r="7132" spans="1:3" x14ac:dyDescent="0.2">
      <c r="A7132" s="76"/>
      <c r="C7132" s="76"/>
    </row>
    <row r="7133" spans="1:3" x14ac:dyDescent="0.2">
      <c r="A7133" s="76"/>
      <c r="C7133" s="76"/>
    </row>
    <row r="7134" spans="1:3" x14ac:dyDescent="0.2">
      <c r="A7134" s="76"/>
      <c r="C7134" s="76"/>
    </row>
    <row r="7135" spans="1:3" x14ac:dyDescent="0.2">
      <c r="A7135" s="76"/>
      <c r="C7135" s="76"/>
    </row>
    <row r="7136" spans="1:3" x14ac:dyDescent="0.2">
      <c r="A7136" s="76"/>
      <c r="C7136" s="76"/>
    </row>
    <row r="7137" spans="1:3" x14ac:dyDescent="0.2">
      <c r="A7137" s="76"/>
      <c r="C7137" s="76"/>
    </row>
    <row r="7138" spans="1:3" x14ac:dyDescent="0.2">
      <c r="A7138" s="76"/>
      <c r="C7138" s="76"/>
    </row>
    <row r="7139" spans="1:3" x14ac:dyDescent="0.2">
      <c r="A7139" s="76"/>
      <c r="C7139" s="76"/>
    </row>
    <row r="7140" spans="1:3" x14ac:dyDescent="0.2">
      <c r="A7140" s="76"/>
      <c r="C7140" s="76"/>
    </row>
    <row r="7141" spans="1:3" x14ac:dyDescent="0.2">
      <c r="A7141" s="76"/>
      <c r="C7141" s="76"/>
    </row>
    <row r="7142" spans="1:3" x14ac:dyDescent="0.2">
      <c r="A7142" s="76"/>
      <c r="C7142" s="76"/>
    </row>
    <row r="7143" spans="1:3" x14ac:dyDescent="0.2">
      <c r="A7143" s="76"/>
      <c r="C7143" s="76"/>
    </row>
    <row r="7144" spans="1:3" x14ac:dyDescent="0.2">
      <c r="A7144" s="76"/>
      <c r="C7144" s="76"/>
    </row>
    <row r="7145" spans="1:3" x14ac:dyDescent="0.2">
      <c r="A7145" s="76"/>
      <c r="C7145" s="76"/>
    </row>
    <row r="7146" spans="1:3" x14ac:dyDescent="0.2">
      <c r="A7146" s="76"/>
      <c r="C7146" s="76"/>
    </row>
    <row r="7147" spans="1:3" x14ac:dyDescent="0.2">
      <c r="A7147" s="76"/>
      <c r="C7147" s="76"/>
    </row>
    <row r="7148" spans="1:3" x14ac:dyDescent="0.2">
      <c r="A7148" s="76"/>
      <c r="C7148" s="76"/>
    </row>
    <row r="7149" spans="1:3" x14ac:dyDescent="0.2">
      <c r="A7149" s="76"/>
      <c r="C7149" s="76"/>
    </row>
    <row r="7150" spans="1:3" x14ac:dyDescent="0.2">
      <c r="A7150" s="76"/>
      <c r="C7150" s="76"/>
    </row>
    <row r="7151" spans="1:3" x14ac:dyDescent="0.2">
      <c r="A7151" s="76"/>
      <c r="C7151" s="76"/>
    </row>
    <row r="7152" spans="1:3" x14ac:dyDescent="0.2">
      <c r="A7152" s="76"/>
      <c r="C7152" s="76"/>
    </row>
    <row r="7153" spans="1:3" x14ac:dyDescent="0.2">
      <c r="A7153" s="76"/>
      <c r="C7153" s="76"/>
    </row>
    <row r="7154" spans="1:3" x14ac:dyDescent="0.2">
      <c r="A7154" s="76"/>
      <c r="C7154" s="76"/>
    </row>
    <row r="7155" spans="1:3" x14ac:dyDescent="0.2">
      <c r="A7155" s="76"/>
      <c r="C7155" s="76"/>
    </row>
    <row r="7156" spans="1:3" x14ac:dyDescent="0.2">
      <c r="A7156" s="76"/>
      <c r="C7156" s="76"/>
    </row>
    <row r="7157" spans="1:3" x14ac:dyDescent="0.2">
      <c r="A7157" s="76"/>
      <c r="C7157" s="76"/>
    </row>
    <row r="7158" spans="1:3" x14ac:dyDescent="0.2">
      <c r="A7158" s="76"/>
      <c r="C7158" s="76"/>
    </row>
    <row r="7159" spans="1:3" x14ac:dyDescent="0.2">
      <c r="A7159" s="76"/>
      <c r="C7159" s="76"/>
    </row>
    <row r="7160" spans="1:3" x14ac:dyDescent="0.2">
      <c r="A7160" s="76"/>
      <c r="C7160" s="76"/>
    </row>
    <row r="7161" spans="1:3" x14ac:dyDescent="0.2">
      <c r="A7161" s="76"/>
      <c r="C7161" s="76"/>
    </row>
    <row r="7162" spans="1:3" x14ac:dyDescent="0.2">
      <c r="A7162" s="76"/>
      <c r="C7162" s="76"/>
    </row>
    <row r="7163" spans="1:3" x14ac:dyDescent="0.2">
      <c r="A7163" s="76"/>
      <c r="C7163" s="76"/>
    </row>
    <row r="7164" spans="1:3" x14ac:dyDescent="0.2">
      <c r="A7164" s="76"/>
      <c r="C7164" s="76"/>
    </row>
    <row r="7165" spans="1:3" x14ac:dyDescent="0.2">
      <c r="A7165" s="76"/>
      <c r="C7165" s="76"/>
    </row>
    <row r="7166" spans="1:3" x14ac:dyDescent="0.2">
      <c r="A7166" s="76"/>
      <c r="C7166" s="76"/>
    </row>
    <row r="7167" spans="1:3" x14ac:dyDescent="0.2">
      <c r="A7167" s="76"/>
      <c r="C7167" s="76"/>
    </row>
    <row r="7168" spans="1:3" x14ac:dyDescent="0.2">
      <c r="A7168" s="76"/>
      <c r="C7168" s="76"/>
    </row>
    <row r="7169" spans="1:3" x14ac:dyDescent="0.2">
      <c r="A7169" s="76"/>
      <c r="C7169" s="76"/>
    </row>
    <row r="7170" spans="1:3" x14ac:dyDescent="0.2">
      <c r="A7170" s="76"/>
      <c r="C7170" s="76"/>
    </row>
    <row r="7171" spans="1:3" x14ac:dyDescent="0.2">
      <c r="A7171" s="76"/>
      <c r="C7171" s="76"/>
    </row>
    <row r="7172" spans="1:3" x14ac:dyDescent="0.2">
      <c r="A7172" s="76"/>
      <c r="C7172" s="76"/>
    </row>
    <row r="7173" spans="1:3" x14ac:dyDescent="0.2">
      <c r="A7173" s="76"/>
      <c r="C7173" s="76"/>
    </row>
    <row r="7174" spans="1:3" x14ac:dyDescent="0.2">
      <c r="A7174" s="76"/>
      <c r="C7174" s="76"/>
    </row>
    <row r="7175" spans="1:3" x14ac:dyDescent="0.2">
      <c r="A7175" s="76"/>
      <c r="C7175" s="76"/>
    </row>
    <row r="7176" spans="1:3" x14ac:dyDescent="0.2">
      <c r="A7176" s="76"/>
      <c r="C7176" s="76"/>
    </row>
    <row r="7177" spans="1:3" x14ac:dyDescent="0.2">
      <c r="A7177" s="76"/>
      <c r="C7177" s="76"/>
    </row>
    <row r="7178" spans="1:3" x14ac:dyDescent="0.2">
      <c r="A7178" s="76"/>
      <c r="C7178" s="76"/>
    </row>
    <row r="7179" spans="1:3" x14ac:dyDescent="0.2">
      <c r="A7179" s="76"/>
      <c r="C7179" s="76"/>
    </row>
    <row r="7180" spans="1:3" x14ac:dyDescent="0.2">
      <c r="A7180" s="76"/>
      <c r="C7180" s="76"/>
    </row>
    <row r="7181" spans="1:3" x14ac:dyDescent="0.2">
      <c r="A7181" s="76"/>
      <c r="C7181" s="76"/>
    </row>
    <row r="7182" spans="1:3" x14ac:dyDescent="0.2">
      <c r="A7182" s="76"/>
      <c r="C7182" s="76"/>
    </row>
    <row r="7183" spans="1:3" x14ac:dyDescent="0.2">
      <c r="A7183" s="76"/>
      <c r="C7183" s="76"/>
    </row>
    <row r="7184" spans="1:3" x14ac:dyDescent="0.2">
      <c r="A7184" s="76"/>
      <c r="C7184" s="76"/>
    </row>
    <row r="7185" spans="1:3" x14ac:dyDescent="0.2">
      <c r="A7185" s="76"/>
      <c r="C7185" s="76"/>
    </row>
    <row r="7186" spans="1:3" x14ac:dyDescent="0.2">
      <c r="A7186" s="76"/>
      <c r="C7186" s="76"/>
    </row>
    <row r="7187" spans="1:3" x14ac:dyDescent="0.2">
      <c r="A7187" s="76"/>
      <c r="C7187" s="76"/>
    </row>
    <row r="7188" spans="1:3" x14ac:dyDescent="0.2">
      <c r="A7188" s="76"/>
      <c r="C7188" s="76"/>
    </row>
    <row r="7189" spans="1:3" x14ac:dyDescent="0.2">
      <c r="A7189" s="76"/>
      <c r="C7189" s="76"/>
    </row>
    <row r="7190" spans="1:3" x14ac:dyDescent="0.2">
      <c r="A7190" s="76"/>
      <c r="C7190" s="76"/>
    </row>
    <row r="7191" spans="1:3" x14ac:dyDescent="0.2">
      <c r="A7191" s="76"/>
      <c r="C7191" s="76"/>
    </row>
    <row r="7192" spans="1:3" x14ac:dyDescent="0.2">
      <c r="A7192" s="76"/>
      <c r="C7192" s="76"/>
    </row>
    <row r="7193" spans="1:3" x14ac:dyDescent="0.2">
      <c r="A7193" s="76"/>
      <c r="C7193" s="76"/>
    </row>
    <row r="7194" spans="1:3" x14ac:dyDescent="0.2">
      <c r="A7194" s="76"/>
      <c r="C7194" s="76"/>
    </row>
    <row r="7195" spans="1:3" x14ac:dyDescent="0.2">
      <c r="A7195" s="76"/>
      <c r="C7195" s="76"/>
    </row>
    <row r="7196" spans="1:3" x14ac:dyDescent="0.2">
      <c r="A7196" s="76"/>
      <c r="C7196" s="76"/>
    </row>
    <row r="7197" spans="1:3" x14ac:dyDescent="0.2">
      <c r="A7197" s="76"/>
      <c r="C7197" s="76"/>
    </row>
    <row r="7198" spans="1:3" x14ac:dyDescent="0.2">
      <c r="A7198" s="76"/>
      <c r="C7198" s="76"/>
    </row>
    <row r="7199" spans="1:3" x14ac:dyDescent="0.2">
      <c r="A7199" s="76"/>
      <c r="C7199" s="76"/>
    </row>
    <row r="7200" spans="1:3" x14ac:dyDescent="0.2">
      <c r="A7200" s="76"/>
      <c r="C7200" s="76"/>
    </row>
    <row r="7201" spans="1:3" x14ac:dyDescent="0.2">
      <c r="A7201" s="76"/>
      <c r="C7201" s="76"/>
    </row>
    <row r="7202" spans="1:3" x14ac:dyDescent="0.2">
      <c r="A7202" s="76"/>
      <c r="C7202" s="76"/>
    </row>
    <row r="7203" spans="1:3" x14ac:dyDescent="0.2">
      <c r="A7203" s="76"/>
      <c r="C7203" s="76"/>
    </row>
    <row r="7204" spans="1:3" x14ac:dyDescent="0.2">
      <c r="A7204" s="76"/>
      <c r="C7204" s="76"/>
    </row>
    <row r="7205" spans="1:3" x14ac:dyDescent="0.2">
      <c r="A7205" s="76"/>
      <c r="C7205" s="76"/>
    </row>
    <row r="7206" spans="1:3" x14ac:dyDescent="0.2">
      <c r="A7206" s="76"/>
      <c r="C7206" s="76"/>
    </row>
    <row r="7207" spans="1:3" x14ac:dyDescent="0.2">
      <c r="A7207" s="76"/>
      <c r="C7207" s="76"/>
    </row>
    <row r="7208" spans="1:3" x14ac:dyDescent="0.2">
      <c r="A7208" s="76"/>
      <c r="C7208" s="76"/>
    </row>
    <row r="7209" spans="1:3" x14ac:dyDescent="0.2">
      <c r="A7209" s="76"/>
      <c r="C7209" s="76"/>
    </row>
    <row r="7210" spans="1:3" x14ac:dyDescent="0.2">
      <c r="A7210" s="76"/>
      <c r="C7210" s="76"/>
    </row>
    <row r="7211" spans="1:3" x14ac:dyDescent="0.2">
      <c r="A7211" s="76"/>
      <c r="C7211" s="76"/>
    </row>
    <row r="7212" spans="1:3" x14ac:dyDescent="0.2">
      <c r="A7212" s="76"/>
      <c r="C7212" s="76"/>
    </row>
    <row r="7213" spans="1:3" x14ac:dyDescent="0.2">
      <c r="A7213" s="76"/>
      <c r="C7213" s="76"/>
    </row>
    <row r="7214" spans="1:3" x14ac:dyDescent="0.2">
      <c r="A7214" s="76"/>
      <c r="C7214" s="76"/>
    </row>
    <row r="7215" spans="1:3" x14ac:dyDescent="0.2">
      <c r="A7215" s="76"/>
      <c r="C7215" s="76"/>
    </row>
    <row r="7216" spans="1:3" x14ac:dyDescent="0.2">
      <c r="A7216" s="76"/>
      <c r="C7216" s="76"/>
    </row>
    <row r="7217" spans="1:3" x14ac:dyDescent="0.2">
      <c r="A7217" s="76"/>
      <c r="C7217" s="76"/>
    </row>
    <row r="7218" spans="1:3" x14ac:dyDescent="0.2">
      <c r="A7218" s="76"/>
      <c r="C7218" s="76"/>
    </row>
    <row r="7219" spans="1:3" x14ac:dyDescent="0.2">
      <c r="A7219" s="76"/>
      <c r="C7219" s="76"/>
    </row>
    <row r="7220" spans="1:3" x14ac:dyDescent="0.2">
      <c r="A7220" s="76"/>
      <c r="C7220" s="76"/>
    </row>
    <row r="7221" spans="1:3" x14ac:dyDescent="0.2">
      <c r="A7221" s="76"/>
      <c r="C7221" s="76"/>
    </row>
    <row r="7222" spans="1:3" x14ac:dyDescent="0.2">
      <c r="A7222" s="76"/>
      <c r="C7222" s="76"/>
    </row>
    <row r="7223" spans="1:3" x14ac:dyDescent="0.2">
      <c r="A7223" s="76"/>
      <c r="C7223" s="76"/>
    </row>
    <row r="7224" spans="1:3" x14ac:dyDescent="0.2">
      <c r="A7224" s="76"/>
      <c r="C7224" s="76"/>
    </row>
    <row r="7225" spans="1:3" x14ac:dyDescent="0.2">
      <c r="A7225" s="76"/>
      <c r="C7225" s="76"/>
    </row>
    <row r="7226" spans="1:3" x14ac:dyDescent="0.2">
      <c r="A7226" s="76"/>
      <c r="C7226" s="76"/>
    </row>
    <row r="7227" spans="1:3" x14ac:dyDescent="0.2">
      <c r="A7227" s="76"/>
      <c r="C7227" s="76"/>
    </row>
    <row r="7228" spans="1:3" x14ac:dyDescent="0.2">
      <c r="A7228" s="76"/>
      <c r="C7228" s="76"/>
    </row>
    <row r="7229" spans="1:3" x14ac:dyDescent="0.2">
      <c r="A7229" s="76"/>
      <c r="C7229" s="76"/>
    </row>
    <row r="7230" spans="1:3" x14ac:dyDescent="0.2">
      <c r="A7230" s="76"/>
      <c r="C7230" s="76"/>
    </row>
    <row r="7231" spans="1:3" x14ac:dyDescent="0.2">
      <c r="A7231" s="76"/>
      <c r="C7231" s="76"/>
    </row>
    <row r="7232" spans="1:3" x14ac:dyDescent="0.2">
      <c r="A7232" s="76"/>
      <c r="C7232" s="76"/>
    </row>
    <row r="7233" spans="1:3" x14ac:dyDescent="0.2">
      <c r="A7233" s="76"/>
      <c r="C7233" s="76"/>
    </row>
    <row r="7234" spans="1:3" x14ac:dyDescent="0.2">
      <c r="A7234" s="76"/>
      <c r="C7234" s="76"/>
    </row>
    <row r="7235" spans="1:3" x14ac:dyDescent="0.2">
      <c r="A7235" s="76"/>
      <c r="C7235" s="76"/>
    </row>
    <row r="7236" spans="1:3" x14ac:dyDescent="0.2">
      <c r="A7236" s="76"/>
      <c r="C7236" s="76"/>
    </row>
    <row r="7237" spans="1:3" x14ac:dyDescent="0.2">
      <c r="A7237" s="76"/>
      <c r="C7237" s="76"/>
    </row>
    <row r="7238" spans="1:3" x14ac:dyDescent="0.2">
      <c r="A7238" s="76"/>
      <c r="C7238" s="76"/>
    </row>
    <row r="7239" spans="1:3" x14ac:dyDescent="0.2">
      <c r="A7239" s="76"/>
      <c r="C7239" s="76"/>
    </row>
    <row r="7240" spans="1:3" x14ac:dyDescent="0.2">
      <c r="A7240" s="76"/>
      <c r="C7240" s="76"/>
    </row>
    <row r="7241" spans="1:3" x14ac:dyDescent="0.2">
      <c r="A7241" s="76"/>
      <c r="C7241" s="76"/>
    </row>
    <row r="7242" spans="1:3" x14ac:dyDescent="0.2">
      <c r="A7242" s="76"/>
      <c r="C7242" s="76"/>
    </row>
    <row r="7243" spans="1:3" x14ac:dyDescent="0.2">
      <c r="A7243" s="76"/>
      <c r="C7243" s="76"/>
    </row>
    <row r="7244" spans="1:3" x14ac:dyDescent="0.2">
      <c r="A7244" s="76"/>
      <c r="C7244" s="76"/>
    </row>
    <row r="7245" spans="1:3" x14ac:dyDescent="0.2">
      <c r="A7245" s="76"/>
      <c r="C7245" s="76"/>
    </row>
    <row r="7246" spans="1:3" x14ac:dyDescent="0.2">
      <c r="A7246" s="76"/>
      <c r="C7246" s="76"/>
    </row>
    <row r="7247" spans="1:3" x14ac:dyDescent="0.2">
      <c r="A7247" s="76"/>
      <c r="C7247" s="76"/>
    </row>
    <row r="7248" spans="1:3" x14ac:dyDescent="0.2">
      <c r="A7248" s="76"/>
      <c r="C7248" s="76"/>
    </row>
    <row r="7249" spans="1:3" x14ac:dyDescent="0.2">
      <c r="A7249" s="76"/>
      <c r="C7249" s="76"/>
    </row>
    <row r="7250" spans="1:3" x14ac:dyDescent="0.2">
      <c r="A7250" s="76"/>
      <c r="C7250" s="76"/>
    </row>
    <row r="7251" spans="1:3" x14ac:dyDescent="0.2">
      <c r="A7251" s="76"/>
      <c r="C7251" s="76"/>
    </row>
    <row r="7252" spans="1:3" x14ac:dyDescent="0.2">
      <c r="A7252" s="76"/>
      <c r="C7252" s="76"/>
    </row>
    <row r="7253" spans="1:3" x14ac:dyDescent="0.2">
      <c r="A7253" s="76"/>
      <c r="C7253" s="76"/>
    </row>
    <row r="7254" spans="1:3" x14ac:dyDescent="0.2">
      <c r="A7254" s="76"/>
      <c r="C7254" s="76"/>
    </row>
    <row r="7255" spans="1:3" x14ac:dyDescent="0.2">
      <c r="A7255" s="76"/>
      <c r="C7255" s="76"/>
    </row>
    <row r="7256" spans="1:3" x14ac:dyDescent="0.2">
      <c r="A7256" s="76"/>
      <c r="C7256" s="76"/>
    </row>
    <row r="7257" spans="1:3" x14ac:dyDescent="0.2">
      <c r="A7257" s="76"/>
      <c r="C7257" s="76"/>
    </row>
    <row r="7258" spans="1:3" x14ac:dyDescent="0.2">
      <c r="A7258" s="76"/>
      <c r="C7258" s="76"/>
    </row>
    <row r="7259" spans="1:3" x14ac:dyDescent="0.2">
      <c r="A7259" s="76"/>
      <c r="C7259" s="76"/>
    </row>
    <row r="7260" spans="1:3" x14ac:dyDescent="0.2">
      <c r="A7260" s="76"/>
      <c r="C7260" s="76"/>
    </row>
    <row r="7261" spans="1:3" x14ac:dyDescent="0.2">
      <c r="A7261" s="76"/>
      <c r="C7261" s="76"/>
    </row>
    <row r="7262" spans="1:3" x14ac:dyDescent="0.2">
      <c r="A7262" s="76"/>
      <c r="C7262" s="76"/>
    </row>
    <row r="7263" spans="1:3" x14ac:dyDescent="0.2">
      <c r="A7263" s="76"/>
      <c r="C7263" s="76"/>
    </row>
    <row r="7264" spans="1:3" x14ac:dyDescent="0.2">
      <c r="A7264" s="76"/>
      <c r="C7264" s="76"/>
    </row>
    <row r="7265" spans="1:3" x14ac:dyDescent="0.2">
      <c r="A7265" s="76"/>
      <c r="C7265" s="76"/>
    </row>
    <row r="7266" spans="1:3" x14ac:dyDescent="0.2">
      <c r="A7266" s="76"/>
      <c r="C7266" s="76"/>
    </row>
    <row r="7267" spans="1:3" x14ac:dyDescent="0.2">
      <c r="A7267" s="76"/>
      <c r="C7267" s="76"/>
    </row>
    <row r="7268" spans="1:3" x14ac:dyDescent="0.2">
      <c r="A7268" s="76"/>
      <c r="C7268" s="76"/>
    </row>
    <row r="7269" spans="1:3" x14ac:dyDescent="0.2">
      <c r="A7269" s="76"/>
      <c r="C7269" s="76"/>
    </row>
    <row r="7270" spans="1:3" x14ac:dyDescent="0.2">
      <c r="A7270" s="76"/>
      <c r="C7270" s="76"/>
    </row>
    <row r="7271" spans="1:3" x14ac:dyDescent="0.2">
      <c r="A7271" s="76"/>
      <c r="C7271" s="76"/>
    </row>
    <row r="7272" spans="1:3" x14ac:dyDescent="0.2">
      <c r="A7272" s="76"/>
      <c r="C7272" s="76"/>
    </row>
    <row r="7273" spans="1:3" x14ac:dyDescent="0.2">
      <c r="A7273" s="76"/>
      <c r="C7273" s="76"/>
    </row>
    <row r="7274" spans="1:3" x14ac:dyDescent="0.2">
      <c r="A7274" s="76"/>
      <c r="C7274" s="76"/>
    </row>
    <row r="7275" spans="1:3" x14ac:dyDescent="0.2">
      <c r="A7275" s="76"/>
      <c r="C7275" s="76"/>
    </row>
    <row r="7276" spans="1:3" x14ac:dyDescent="0.2">
      <c r="A7276" s="76"/>
      <c r="C7276" s="76"/>
    </row>
    <row r="7277" spans="1:3" x14ac:dyDescent="0.2">
      <c r="A7277" s="76"/>
      <c r="C7277" s="76"/>
    </row>
    <row r="7278" spans="1:3" x14ac:dyDescent="0.2">
      <c r="A7278" s="76"/>
      <c r="C7278" s="76"/>
    </row>
    <row r="7279" spans="1:3" x14ac:dyDescent="0.2">
      <c r="A7279" s="76"/>
      <c r="C7279" s="76"/>
    </row>
    <row r="7280" spans="1:3" x14ac:dyDescent="0.2">
      <c r="A7280" s="76"/>
      <c r="C7280" s="76"/>
    </row>
    <row r="7281" spans="1:3" x14ac:dyDescent="0.2">
      <c r="A7281" s="76"/>
      <c r="C7281" s="76"/>
    </row>
    <row r="7282" spans="1:3" x14ac:dyDescent="0.2">
      <c r="A7282" s="76"/>
      <c r="C7282" s="76"/>
    </row>
    <row r="7283" spans="1:3" x14ac:dyDescent="0.2">
      <c r="A7283" s="76"/>
      <c r="C7283" s="76"/>
    </row>
    <row r="7284" spans="1:3" x14ac:dyDescent="0.2">
      <c r="A7284" s="76"/>
      <c r="C7284" s="76"/>
    </row>
    <row r="7285" spans="1:3" x14ac:dyDescent="0.2">
      <c r="A7285" s="76"/>
      <c r="C7285" s="76"/>
    </row>
    <row r="7286" spans="1:3" x14ac:dyDescent="0.2">
      <c r="A7286" s="76"/>
      <c r="C7286" s="76"/>
    </row>
    <row r="7287" spans="1:3" x14ac:dyDescent="0.2">
      <c r="A7287" s="76"/>
      <c r="C7287" s="76"/>
    </row>
    <row r="7288" spans="1:3" x14ac:dyDescent="0.2">
      <c r="A7288" s="76"/>
      <c r="C7288" s="76"/>
    </row>
    <row r="7289" spans="1:3" x14ac:dyDescent="0.2">
      <c r="A7289" s="76"/>
      <c r="C7289" s="76"/>
    </row>
    <row r="7290" spans="1:3" x14ac:dyDescent="0.2">
      <c r="A7290" s="76"/>
      <c r="C7290" s="76"/>
    </row>
    <row r="7291" spans="1:3" x14ac:dyDescent="0.2">
      <c r="A7291" s="76"/>
      <c r="C7291" s="76"/>
    </row>
    <row r="7292" spans="1:3" x14ac:dyDescent="0.2">
      <c r="A7292" s="76"/>
      <c r="C7292" s="76"/>
    </row>
    <row r="7293" spans="1:3" x14ac:dyDescent="0.2">
      <c r="A7293" s="76"/>
      <c r="C7293" s="76"/>
    </row>
    <row r="7294" spans="1:3" x14ac:dyDescent="0.2">
      <c r="A7294" s="76"/>
      <c r="C7294" s="76"/>
    </row>
    <row r="7295" spans="1:3" x14ac:dyDescent="0.2">
      <c r="A7295" s="76"/>
      <c r="C7295" s="76"/>
    </row>
    <row r="7296" spans="1:3" x14ac:dyDescent="0.2">
      <c r="A7296" s="76"/>
      <c r="C7296" s="76"/>
    </row>
    <row r="7297" spans="1:3" x14ac:dyDescent="0.2">
      <c r="A7297" s="76"/>
      <c r="C7297" s="76"/>
    </row>
    <row r="7298" spans="1:3" x14ac:dyDescent="0.2">
      <c r="A7298" s="76"/>
      <c r="C7298" s="76"/>
    </row>
    <row r="7299" spans="1:3" x14ac:dyDescent="0.2">
      <c r="A7299" s="76"/>
      <c r="C7299" s="76"/>
    </row>
    <row r="7300" spans="1:3" x14ac:dyDescent="0.2">
      <c r="A7300" s="76"/>
      <c r="C7300" s="76"/>
    </row>
    <row r="7301" spans="1:3" x14ac:dyDescent="0.2">
      <c r="A7301" s="76"/>
      <c r="C7301" s="76"/>
    </row>
    <row r="7302" spans="1:3" x14ac:dyDescent="0.2">
      <c r="A7302" s="76"/>
      <c r="C7302" s="76"/>
    </row>
    <row r="7303" spans="1:3" x14ac:dyDescent="0.2">
      <c r="A7303" s="76"/>
      <c r="C7303" s="76"/>
    </row>
    <row r="7304" spans="1:3" x14ac:dyDescent="0.2">
      <c r="A7304" s="76"/>
      <c r="C7304" s="76"/>
    </row>
    <row r="7305" spans="1:3" x14ac:dyDescent="0.2">
      <c r="A7305" s="76"/>
      <c r="C7305" s="76"/>
    </row>
    <row r="7306" spans="1:3" x14ac:dyDescent="0.2">
      <c r="A7306" s="76"/>
      <c r="C7306" s="76"/>
    </row>
    <row r="7307" spans="1:3" x14ac:dyDescent="0.2">
      <c r="A7307" s="76"/>
      <c r="C7307" s="76"/>
    </row>
    <row r="7308" spans="1:3" x14ac:dyDescent="0.2">
      <c r="A7308" s="76"/>
      <c r="C7308" s="76"/>
    </row>
    <row r="7309" spans="1:3" x14ac:dyDescent="0.2">
      <c r="A7309" s="76"/>
      <c r="C7309" s="76"/>
    </row>
    <row r="7310" spans="1:3" x14ac:dyDescent="0.2">
      <c r="A7310" s="76"/>
      <c r="C7310" s="76"/>
    </row>
    <row r="7311" spans="1:3" x14ac:dyDescent="0.2">
      <c r="A7311" s="76"/>
      <c r="C7311" s="76"/>
    </row>
    <row r="7312" spans="1:3" x14ac:dyDescent="0.2">
      <c r="A7312" s="76"/>
      <c r="C7312" s="76"/>
    </row>
    <row r="7313" spans="1:3" x14ac:dyDescent="0.2">
      <c r="A7313" s="76"/>
      <c r="C7313" s="76"/>
    </row>
    <row r="7314" spans="1:3" x14ac:dyDescent="0.2">
      <c r="A7314" s="76"/>
      <c r="C7314" s="76"/>
    </row>
    <row r="7315" spans="1:3" x14ac:dyDescent="0.2">
      <c r="A7315" s="76"/>
      <c r="C7315" s="76"/>
    </row>
    <row r="7316" spans="1:3" x14ac:dyDescent="0.2">
      <c r="A7316" s="76"/>
      <c r="C7316" s="76"/>
    </row>
    <row r="7317" spans="1:3" x14ac:dyDescent="0.2">
      <c r="A7317" s="76"/>
      <c r="C7317" s="76"/>
    </row>
    <row r="7318" spans="1:3" x14ac:dyDescent="0.2">
      <c r="A7318" s="76"/>
      <c r="C7318" s="76"/>
    </row>
    <row r="7319" spans="1:3" x14ac:dyDescent="0.2">
      <c r="A7319" s="76"/>
      <c r="C7319" s="76"/>
    </row>
    <row r="7320" spans="1:3" x14ac:dyDescent="0.2">
      <c r="A7320" s="76"/>
      <c r="C7320" s="76"/>
    </row>
    <row r="7321" spans="1:3" x14ac:dyDescent="0.2">
      <c r="A7321" s="76"/>
      <c r="C7321" s="76"/>
    </row>
    <row r="7322" spans="1:3" x14ac:dyDescent="0.2">
      <c r="A7322" s="76"/>
      <c r="C7322" s="76"/>
    </row>
    <row r="7323" spans="1:3" x14ac:dyDescent="0.2">
      <c r="A7323" s="76"/>
      <c r="C7323" s="76"/>
    </row>
    <row r="7324" spans="1:3" x14ac:dyDescent="0.2">
      <c r="A7324" s="76"/>
      <c r="C7324" s="76"/>
    </row>
    <row r="7325" spans="1:3" x14ac:dyDescent="0.2">
      <c r="A7325" s="76"/>
      <c r="C7325" s="76"/>
    </row>
    <row r="7326" spans="1:3" x14ac:dyDescent="0.2">
      <c r="A7326" s="76"/>
      <c r="C7326" s="76"/>
    </row>
    <row r="7327" spans="1:3" x14ac:dyDescent="0.2">
      <c r="A7327" s="76"/>
      <c r="C7327" s="76"/>
    </row>
    <row r="7328" spans="1:3" x14ac:dyDescent="0.2">
      <c r="A7328" s="76"/>
      <c r="C7328" s="76"/>
    </row>
    <row r="7329" spans="1:3" x14ac:dyDescent="0.2">
      <c r="A7329" s="76"/>
      <c r="C7329" s="76"/>
    </row>
    <row r="7330" spans="1:3" x14ac:dyDescent="0.2">
      <c r="A7330" s="76"/>
      <c r="C7330" s="76"/>
    </row>
    <row r="7331" spans="1:3" x14ac:dyDescent="0.2">
      <c r="A7331" s="76"/>
      <c r="C7331" s="76"/>
    </row>
    <row r="7332" spans="1:3" x14ac:dyDescent="0.2">
      <c r="A7332" s="76"/>
      <c r="C7332" s="76"/>
    </row>
    <row r="7333" spans="1:3" x14ac:dyDescent="0.2">
      <c r="A7333" s="76"/>
      <c r="C7333" s="76"/>
    </row>
    <row r="7334" spans="1:3" x14ac:dyDescent="0.2">
      <c r="A7334" s="76"/>
      <c r="C7334" s="76"/>
    </row>
    <row r="7335" spans="1:3" x14ac:dyDescent="0.2">
      <c r="A7335" s="76"/>
      <c r="C7335" s="76"/>
    </row>
    <row r="7336" spans="1:3" x14ac:dyDescent="0.2">
      <c r="A7336" s="76"/>
      <c r="C7336" s="76"/>
    </row>
    <row r="7337" spans="1:3" x14ac:dyDescent="0.2">
      <c r="A7337" s="76"/>
      <c r="C7337" s="76"/>
    </row>
    <row r="7338" spans="1:3" x14ac:dyDescent="0.2">
      <c r="A7338" s="76"/>
      <c r="C7338" s="76"/>
    </row>
    <row r="7339" spans="1:3" x14ac:dyDescent="0.2">
      <c r="A7339" s="76"/>
      <c r="C7339" s="76"/>
    </row>
    <row r="7340" spans="1:3" x14ac:dyDescent="0.2">
      <c r="A7340" s="76"/>
      <c r="C7340" s="76"/>
    </row>
    <row r="7341" spans="1:3" x14ac:dyDescent="0.2">
      <c r="A7341" s="76"/>
      <c r="C7341" s="76"/>
    </row>
    <row r="7342" spans="1:3" x14ac:dyDescent="0.2">
      <c r="A7342" s="76"/>
      <c r="C7342" s="76"/>
    </row>
    <row r="7343" spans="1:3" x14ac:dyDescent="0.2">
      <c r="A7343" s="76"/>
      <c r="C7343" s="76"/>
    </row>
    <row r="7344" spans="1:3" x14ac:dyDescent="0.2">
      <c r="A7344" s="76"/>
      <c r="C7344" s="76"/>
    </row>
    <row r="7345" spans="1:3" x14ac:dyDescent="0.2">
      <c r="A7345" s="76"/>
      <c r="C7345" s="76"/>
    </row>
    <row r="7346" spans="1:3" x14ac:dyDescent="0.2">
      <c r="A7346" s="76"/>
      <c r="C7346" s="76"/>
    </row>
    <row r="7347" spans="1:3" x14ac:dyDescent="0.2">
      <c r="A7347" s="76"/>
      <c r="C7347" s="76"/>
    </row>
    <row r="7348" spans="1:3" x14ac:dyDescent="0.2">
      <c r="A7348" s="76"/>
      <c r="C7348" s="76"/>
    </row>
    <row r="7349" spans="1:3" x14ac:dyDescent="0.2">
      <c r="A7349" s="76"/>
      <c r="C7349" s="76"/>
    </row>
    <row r="7350" spans="1:3" x14ac:dyDescent="0.2">
      <c r="A7350" s="76"/>
      <c r="C7350" s="76"/>
    </row>
    <row r="7351" spans="1:3" x14ac:dyDescent="0.2">
      <c r="A7351" s="76"/>
      <c r="C7351" s="76"/>
    </row>
    <row r="7352" spans="1:3" x14ac:dyDescent="0.2">
      <c r="A7352" s="76"/>
      <c r="C7352" s="76"/>
    </row>
    <row r="7353" spans="1:3" x14ac:dyDescent="0.2">
      <c r="A7353" s="76"/>
      <c r="C7353" s="76"/>
    </row>
    <row r="7354" spans="1:3" x14ac:dyDescent="0.2">
      <c r="A7354" s="76"/>
      <c r="C7354" s="76"/>
    </row>
    <row r="7355" spans="1:3" x14ac:dyDescent="0.2">
      <c r="A7355" s="76"/>
      <c r="C7355" s="76"/>
    </row>
    <row r="7356" spans="1:3" x14ac:dyDescent="0.2">
      <c r="A7356" s="76"/>
      <c r="C7356" s="76"/>
    </row>
    <row r="7357" spans="1:3" x14ac:dyDescent="0.2">
      <c r="A7357" s="76"/>
      <c r="C7357" s="76"/>
    </row>
    <row r="7358" spans="1:3" x14ac:dyDescent="0.2">
      <c r="A7358" s="76"/>
      <c r="C7358" s="76"/>
    </row>
    <row r="7359" spans="1:3" x14ac:dyDescent="0.2">
      <c r="A7359" s="76"/>
      <c r="C7359" s="76"/>
    </row>
    <row r="7360" spans="1:3" x14ac:dyDescent="0.2">
      <c r="A7360" s="76"/>
      <c r="C7360" s="76"/>
    </row>
    <row r="7361" spans="1:3" x14ac:dyDescent="0.2">
      <c r="A7361" s="76"/>
      <c r="C7361" s="76"/>
    </row>
    <row r="7362" spans="1:3" x14ac:dyDescent="0.2">
      <c r="A7362" s="76"/>
      <c r="C7362" s="76"/>
    </row>
    <row r="7363" spans="1:3" x14ac:dyDescent="0.2">
      <c r="A7363" s="76"/>
      <c r="C7363" s="76"/>
    </row>
    <row r="7364" spans="1:3" x14ac:dyDescent="0.2">
      <c r="A7364" s="76"/>
      <c r="C7364" s="76"/>
    </row>
    <row r="7365" spans="1:3" x14ac:dyDescent="0.2">
      <c r="A7365" s="76"/>
      <c r="C7365" s="76"/>
    </row>
    <row r="7366" spans="1:3" x14ac:dyDescent="0.2">
      <c r="A7366" s="76"/>
      <c r="C7366" s="76"/>
    </row>
    <row r="7367" spans="1:3" x14ac:dyDescent="0.2">
      <c r="A7367" s="76"/>
      <c r="C7367" s="76"/>
    </row>
    <row r="7368" spans="1:3" x14ac:dyDescent="0.2">
      <c r="A7368" s="76"/>
      <c r="C7368" s="76"/>
    </row>
    <row r="7369" spans="1:3" x14ac:dyDescent="0.2">
      <c r="A7369" s="76"/>
      <c r="C7369" s="76"/>
    </row>
    <row r="7370" spans="1:3" x14ac:dyDescent="0.2">
      <c r="A7370" s="76"/>
      <c r="C7370" s="76"/>
    </row>
    <row r="7371" spans="1:3" x14ac:dyDescent="0.2">
      <c r="A7371" s="76"/>
      <c r="C7371" s="76"/>
    </row>
    <row r="7372" spans="1:3" x14ac:dyDescent="0.2">
      <c r="A7372" s="76"/>
      <c r="C7372" s="76"/>
    </row>
    <row r="7373" spans="1:3" x14ac:dyDescent="0.2">
      <c r="A7373" s="76"/>
      <c r="C7373" s="76"/>
    </row>
    <row r="7374" spans="1:3" x14ac:dyDescent="0.2">
      <c r="A7374" s="76"/>
      <c r="C7374" s="76"/>
    </row>
    <row r="7375" spans="1:3" x14ac:dyDescent="0.2">
      <c r="A7375" s="76"/>
      <c r="C7375" s="76"/>
    </row>
    <row r="7376" spans="1:3" x14ac:dyDescent="0.2">
      <c r="A7376" s="76"/>
      <c r="C7376" s="76"/>
    </row>
    <row r="7377" spans="1:3" x14ac:dyDescent="0.2">
      <c r="A7377" s="76"/>
      <c r="C7377" s="76"/>
    </row>
    <row r="7378" spans="1:3" x14ac:dyDescent="0.2">
      <c r="A7378" s="76"/>
      <c r="C7378" s="76"/>
    </row>
    <row r="7379" spans="1:3" x14ac:dyDescent="0.2">
      <c r="A7379" s="76"/>
      <c r="C7379" s="76"/>
    </row>
    <row r="7380" spans="1:3" x14ac:dyDescent="0.2">
      <c r="A7380" s="76"/>
      <c r="C7380" s="76"/>
    </row>
    <row r="7381" spans="1:3" x14ac:dyDescent="0.2">
      <c r="A7381" s="76"/>
      <c r="C7381" s="76"/>
    </row>
    <row r="7382" spans="1:3" x14ac:dyDescent="0.2">
      <c r="A7382" s="76"/>
      <c r="C7382" s="76"/>
    </row>
    <row r="7383" spans="1:3" x14ac:dyDescent="0.2">
      <c r="A7383" s="76"/>
      <c r="C7383" s="76"/>
    </row>
    <row r="7384" spans="1:3" x14ac:dyDescent="0.2">
      <c r="A7384" s="76"/>
      <c r="C7384" s="76"/>
    </row>
    <row r="7385" spans="1:3" x14ac:dyDescent="0.2">
      <c r="A7385" s="76"/>
      <c r="C7385" s="76"/>
    </row>
    <row r="7386" spans="1:3" x14ac:dyDescent="0.2">
      <c r="A7386" s="76"/>
      <c r="C7386" s="76"/>
    </row>
    <row r="7387" spans="1:3" x14ac:dyDescent="0.2">
      <c r="A7387" s="76"/>
      <c r="C7387" s="76"/>
    </row>
    <row r="7388" spans="1:3" x14ac:dyDescent="0.2">
      <c r="A7388" s="76"/>
      <c r="C7388" s="76"/>
    </row>
    <row r="7389" spans="1:3" x14ac:dyDescent="0.2">
      <c r="A7389" s="76"/>
      <c r="C7389" s="76"/>
    </row>
    <row r="7390" spans="1:3" x14ac:dyDescent="0.2">
      <c r="A7390" s="76"/>
      <c r="C7390" s="76"/>
    </row>
    <row r="7391" spans="1:3" x14ac:dyDescent="0.2">
      <c r="A7391" s="76"/>
      <c r="C7391" s="76"/>
    </row>
    <row r="7392" spans="1:3" x14ac:dyDescent="0.2">
      <c r="A7392" s="76"/>
      <c r="C7392" s="76"/>
    </row>
    <row r="7393" spans="1:3" x14ac:dyDescent="0.2">
      <c r="A7393" s="76"/>
      <c r="C7393" s="76"/>
    </row>
    <row r="7394" spans="1:3" x14ac:dyDescent="0.2">
      <c r="A7394" s="76"/>
      <c r="C7394" s="76"/>
    </row>
    <row r="7395" spans="1:3" x14ac:dyDescent="0.2">
      <c r="A7395" s="76"/>
      <c r="C7395" s="76"/>
    </row>
    <row r="7396" spans="1:3" x14ac:dyDescent="0.2">
      <c r="A7396" s="76"/>
      <c r="C7396" s="76"/>
    </row>
    <row r="7397" spans="1:3" x14ac:dyDescent="0.2">
      <c r="A7397" s="76"/>
      <c r="C7397" s="76"/>
    </row>
    <row r="7398" spans="1:3" x14ac:dyDescent="0.2">
      <c r="A7398" s="76"/>
      <c r="C7398" s="76"/>
    </row>
    <row r="7399" spans="1:3" x14ac:dyDescent="0.2">
      <c r="A7399" s="76"/>
      <c r="C7399" s="76"/>
    </row>
    <row r="7400" spans="1:3" x14ac:dyDescent="0.2">
      <c r="A7400" s="76"/>
      <c r="C7400" s="76"/>
    </row>
    <row r="7401" spans="1:3" x14ac:dyDescent="0.2">
      <c r="A7401" s="76"/>
      <c r="C7401" s="76"/>
    </row>
    <row r="7402" spans="1:3" x14ac:dyDescent="0.2">
      <c r="A7402" s="76"/>
      <c r="C7402" s="76"/>
    </row>
    <row r="7403" spans="1:3" x14ac:dyDescent="0.2">
      <c r="A7403" s="76"/>
      <c r="C7403" s="76"/>
    </row>
    <row r="7404" spans="1:3" x14ac:dyDescent="0.2">
      <c r="A7404" s="76"/>
      <c r="C7404" s="76"/>
    </row>
    <row r="7405" spans="1:3" x14ac:dyDescent="0.2">
      <c r="A7405" s="76"/>
      <c r="C7405" s="76"/>
    </row>
    <row r="7406" spans="1:3" x14ac:dyDescent="0.2">
      <c r="A7406" s="76"/>
      <c r="C7406" s="76"/>
    </row>
    <row r="7407" spans="1:3" x14ac:dyDescent="0.2">
      <c r="A7407" s="76"/>
      <c r="C7407" s="76"/>
    </row>
    <row r="7408" spans="1:3" x14ac:dyDescent="0.2">
      <c r="A7408" s="76"/>
      <c r="C7408" s="76"/>
    </row>
    <row r="7409" spans="1:3" x14ac:dyDescent="0.2">
      <c r="A7409" s="76"/>
      <c r="C7409" s="76"/>
    </row>
    <row r="7410" spans="1:3" x14ac:dyDescent="0.2">
      <c r="A7410" s="76"/>
      <c r="C7410" s="76"/>
    </row>
    <row r="7411" spans="1:3" x14ac:dyDescent="0.2">
      <c r="A7411" s="76"/>
      <c r="C7411" s="76"/>
    </row>
    <row r="7412" spans="1:3" x14ac:dyDescent="0.2">
      <c r="A7412" s="76"/>
      <c r="C7412" s="76"/>
    </row>
    <row r="7413" spans="1:3" x14ac:dyDescent="0.2">
      <c r="A7413" s="76"/>
      <c r="C7413" s="76"/>
    </row>
    <row r="7414" spans="1:3" x14ac:dyDescent="0.2">
      <c r="A7414" s="76"/>
      <c r="C7414" s="76"/>
    </row>
    <row r="7415" spans="1:3" x14ac:dyDescent="0.2">
      <c r="A7415" s="76"/>
      <c r="C7415" s="76"/>
    </row>
    <row r="7416" spans="1:3" x14ac:dyDescent="0.2">
      <c r="A7416" s="76"/>
      <c r="C7416" s="76"/>
    </row>
    <row r="7417" spans="1:3" x14ac:dyDescent="0.2">
      <c r="A7417" s="76"/>
      <c r="C7417" s="76"/>
    </row>
    <row r="7418" spans="1:3" x14ac:dyDescent="0.2">
      <c r="A7418" s="76"/>
      <c r="C7418" s="76"/>
    </row>
    <row r="7419" spans="1:3" x14ac:dyDescent="0.2">
      <c r="A7419" s="76"/>
      <c r="C7419" s="76"/>
    </row>
    <row r="7420" spans="1:3" x14ac:dyDescent="0.2">
      <c r="A7420" s="76"/>
      <c r="C7420" s="76"/>
    </row>
    <row r="7421" spans="1:3" x14ac:dyDescent="0.2">
      <c r="A7421" s="76"/>
      <c r="C7421" s="76"/>
    </row>
    <row r="7422" spans="1:3" x14ac:dyDescent="0.2">
      <c r="A7422" s="76"/>
      <c r="C7422" s="76"/>
    </row>
    <row r="7423" spans="1:3" x14ac:dyDescent="0.2">
      <c r="A7423" s="76"/>
      <c r="C7423" s="76"/>
    </row>
    <row r="7424" spans="1:3" x14ac:dyDescent="0.2">
      <c r="A7424" s="76"/>
      <c r="C7424" s="76"/>
    </row>
    <row r="7425" spans="1:3" x14ac:dyDescent="0.2">
      <c r="A7425" s="76"/>
      <c r="C7425" s="76"/>
    </row>
    <row r="7426" spans="1:3" x14ac:dyDescent="0.2">
      <c r="A7426" s="76"/>
      <c r="C7426" s="76"/>
    </row>
    <row r="7427" spans="1:3" x14ac:dyDescent="0.2">
      <c r="A7427" s="76"/>
      <c r="C7427" s="76"/>
    </row>
    <row r="7428" spans="1:3" x14ac:dyDescent="0.2">
      <c r="A7428" s="76"/>
      <c r="C7428" s="76"/>
    </row>
    <row r="7429" spans="1:3" x14ac:dyDescent="0.2">
      <c r="A7429" s="76"/>
      <c r="C7429" s="76"/>
    </row>
    <row r="7430" spans="1:3" x14ac:dyDescent="0.2">
      <c r="A7430" s="76"/>
      <c r="C7430" s="76"/>
    </row>
    <row r="7431" spans="1:3" x14ac:dyDescent="0.2">
      <c r="A7431" s="76"/>
      <c r="C7431" s="76"/>
    </row>
    <row r="7432" spans="1:3" x14ac:dyDescent="0.2">
      <c r="A7432" s="76"/>
      <c r="C7432" s="76"/>
    </row>
    <row r="7433" spans="1:3" x14ac:dyDescent="0.2">
      <c r="A7433" s="76"/>
      <c r="C7433" s="76"/>
    </row>
    <row r="7434" spans="1:3" x14ac:dyDescent="0.2">
      <c r="A7434" s="76"/>
      <c r="C7434" s="76"/>
    </row>
    <row r="7435" spans="1:3" x14ac:dyDescent="0.2">
      <c r="A7435" s="76"/>
      <c r="C7435" s="76"/>
    </row>
    <row r="7436" spans="1:3" x14ac:dyDescent="0.2">
      <c r="A7436" s="76"/>
      <c r="C7436" s="76"/>
    </row>
    <row r="7437" spans="1:3" x14ac:dyDescent="0.2">
      <c r="A7437" s="76"/>
      <c r="C7437" s="76"/>
    </row>
    <row r="7438" spans="1:3" x14ac:dyDescent="0.2">
      <c r="A7438" s="76"/>
      <c r="C7438" s="76"/>
    </row>
    <row r="7439" spans="1:3" x14ac:dyDescent="0.2">
      <c r="A7439" s="76"/>
      <c r="C7439" s="76"/>
    </row>
    <row r="7440" spans="1:3" x14ac:dyDescent="0.2">
      <c r="A7440" s="76"/>
      <c r="C7440" s="76"/>
    </row>
    <row r="7441" spans="1:3" x14ac:dyDescent="0.2">
      <c r="A7441" s="76"/>
      <c r="C7441" s="76"/>
    </row>
    <row r="7442" spans="1:3" x14ac:dyDescent="0.2">
      <c r="A7442" s="76"/>
      <c r="C7442" s="76"/>
    </row>
    <row r="7443" spans="1:3" x14ac:dyDescent="0.2">
      <c r="A7443" s="76"/>
      <c r="C7443" s="76"/>
    </row>
    <row r="7444" spans="1:3" x14ac:dyDescent="0.2">
      <c r="A7444" s="76"/>
      <c r="C7444" s="76"/>
    </row>
    <row r="7445" spans="1:3" x14ac:dyDescent="0.2">
      <c r="A7445" s="76"/>
      <c r="C7445" s="76"/>
    </row>
    <row r="7446" spans="1:3" x14ac:dyDescent="0.2">
      <c r="A7446" s="76"/>
      <c r="C7446" s="76"/>
    </row>
    <row r="7447" spans="1:3" x14ac:dyDescent="0.2">
      <c r="A7447" s="76"/>
      <c r="C7447" s="76"/>
    </row>
    <row r="7448" spans="1:3" x14ac:dyDescent="0.2">
      <c r="A7448" s="76"/>
      <c r="C7448" s="76"/>
    </row>
    <row r="7449" spans="1:3" x14ac:dyDescent="0.2">
      <c r="A7449" s="76"/>
      <c r="C7449" s="76"/>
    </row>
    <row r="7450" spans="1:3" x14ac:dyDescent="0.2">
      <c r="A7450" s="76"/>
      <c r="C7450" s="76"/>
    </row>
    <row r="7451" spans="1:3" x14ac:dyDescent="0.2">
      <c r="A7451" s="76"/>
      <c r="C7451" s="76"/>
    </row>
    <row r="7452" spans="1:3" x14ac:dyDescent="0.2">
      <c r="A7452" s="76"/>
      <c r="C7452" s="76"/>
    </row>
    <row r="7453" spans="1:3" x14ac:dyDescent="0.2">
      <c r="A7453" s="76"/>
      <c r="C7453" s="76"/>
    </row>
    <row r="7454" spans="1:3" x14ac:dyDescent="0.2">
      <c r="A7454" s="76"/>
      <c r="C7454" s="76"/>
    </row>
    <row r="7455" spans="1:3" x14ac:dyDescent="0.2">
      <c r="A7455" s="76"/>
      <c r="C7455" s="76"/>
    </row>
    <row r="7456" spans="1:3" x14ac:dyDescent="0.2">
      <c r="A7456" s="76"/>
      <c r="C7456" s="76"/>
    </row>
    <row r="7457" spans="1:3" x14ac:dyDescent="0.2">
      <c r="A7457" s="76"/>
      <c r="C7457" s="76"/>
    </row>
    <row r="7458" spans="1:3" x14ac:dyDescent="0.2">
      <c r="A7458" s="76"/>
      <c r="C7458" s="76"/>
    </row>
    <row r="7459" spans="1:3" x14ac:dyDescent="0.2">
      <c r="A7459" s="76"/>
      <c r="C7459" s="76"/>
    </row>
    <row r="7460" spans="1:3" x14ac:dyDescent="0.2">
      <c r="A7460" s="76"/>
      <c r="C7460" s="76"/>
    </row>
    <row r="7461" spans="1:3" x14ac:dyDescent="0.2">
      <c r="A7461" s="76"/>
      <c r="C7461" s="76"/>
    </row>
    <row r="7462" spans="1:3" x14ac:dyDescent="0.2">
      <c r="A7462" s="76"/>
      <c r="C7462" s="76"/>
    </row>
    <row r="7463" spans="1:3" x14ac:dyDescent="0.2">
      <c r="A7463" s="76"/>
      <c r="C7463" s="76"/>
    </row>
    <row r="7464" spans="1:3" x14ac:dyDescent="0.2">
      <c r="A7464" s="76"/>
      <c r="C7464" s="76"/>
    </row>
    <row r="7465" spans="1:3" x14ac:dyDescent="0.2">
      <c r="A7465" s="76"/>
      <c r="C7465" s="76"/>
    </row>
    <row r="7466" spans="1:3" x14ac:dyDescent="0.2">
      <c r="A7466" s="76"/>
      <c r="C7466" s="76"/>
    </row>
    <row r="7467" spans="1:3" x14ac:dyDescent="0.2">
      <c r="A7467" s="76"/>
      <c r="C7467" s="76"/>
    </row>
    <row r="7468" spans="1:3" x14ac:dyDescent="0.2">
      <c r="A7468" s="76"/>
      <c r="C7468" s="76"/>
    </row>
    <row r="7469" spans="1:3" x14ac:dyDescent="0.2">
      <c r="A7469" s="76"/>
      <c r="C7469" s="76"/>
    </row>
    <row r="7470" spans="1:3" x14ac:dyDescent="0.2">
      <c r="A7470" s="76"/>
      <c r="C7470" s="76"/>
    </row>
    <row r="7471" spans="1:3" x14ac:dyDescent="0.2">
      <c r="A7471" s="76"/>
      <c r="C7471" s="76"/>
    </row>
    <row r="7472" spans="1:3" x14ac:dyDescent="0.2">
      <c r="A7472" s="76"/>
      <c r="C7472" s="76"/>
    </row>
    <row r="7473" spans="1:3" x14ac:dyDescent="0.2">
      <c r="A7473" s="76"/>
      <c r="C7473" s="76"/>
    </row>
    <row r="7474" spans="1:3" x14ac:dyDescent="0.2">
      <c r="A7474" s="76"/>
      <c r="C7474" s="76"/>
    </row>
    <row r="7475" spans="1:3" x14ac:dyDescent="0.2">
      <c r="A7475" s="76"/>
      <c r="C7475" s="76"/>
    </row>
    <row r="7476" spans="1:3" x14ac:dyDescent="0.2">
      <c r="A7476" s="76"/>
      <c r="C7476" s="76"/>
    </row>
    <row r="7477" spans="1:3" x14ac:dyDescent="0.2">
      <c r="A7477" s="76"/>
      <c r="C7477" s="76"/>
    </row>
    <row r="7478" spans="1:3" x14ac:dyDescent="0.2">
      <c r="A7478" s="76"/>
      <c r="C7478" s="76"/>
    </row>
    <row r="7479" spans="1:3" x14ac:dyDescent="0.2">
      <c r="A7479" s="76"/>
      <c r="C7479" s="76"/>
    </row>
    <row r="7480" spans="1:3" x14ac:dyDescent="0.2">
      <c r="A7480" s="76"/>
      <c r="C7480" s="76"/>
    </row>
    <row r="7481" spans="1:3" x14ac:dyDescent="0.2">
      <c r="A7481" s="76"/>
      <c r="C7481" s="76"/>
    </row>
    <row r="7482" spans="1:3" x14ac:dyDescent="0.2">
      <c r="A7482" s="76"/>
      <c r="C7482" s="76"/>
    </row>
    <row r="7483" spans="1:3" x14ac:dyDescent="0.2">
      <c r="A7483" s="76"/>
      <c r="C7483" s="76"/>
    </row>
    <row r="7484" spans="1:3" x14ac:dyDescent="0.2">
      <c r="A7484" s="76"/>
      <c r="C7484" s="76"/>
    </row>
    <row r="7485" spans="1:3" x14ac:dyDescent="0.2">
      <c r="A7485" s="76"/>
      <c r="C7485" s="76"/>
    </row>
    <row r="7486" spans="1:3" x14ac:dyDescent="0.2">
      <c r="A7486" s="76"/>
      <c r="C7486" s="76"/>
    </row>
    <row r="7487" spans="1:3" x14ac:dyDescent="0.2">
      <c r="A7487" s="76"/>
      <c r="C7487" s="76"/>
    </row>
    <row r="7488" spans="1:3" x14ac:dyDescent="0.2">
      <c r="A7488" s="76"/>
      <c r="C7488" s="76"/>
    </row>
    <row r="7489" spans="1:3" x14ac:dyDescent="0.2">
      <c r="A7489" s="76"/>
      <c r="C7489" s="76"/>
    </row>
    <row r="7490" spans="1:3" x14ac:dyDescent="0.2">
      <c r="A7490" s="76"/>
      <c r="C7490" s="76"/>
    </row>
    <row r="7491" spans="1:3" x14ac:dyDescent="0.2">
      <c r="A7491" s="76"/>
      <c r="C7491" s="76"/>
    </row>
    <row r="7492" spans="1:3" x14ac:dyDescent="0.2">
      <c r="A7492" s="76"/>
      <c r="C7492" s="76"/>
    </row>
    <row r="7493" spans="1:3" x14ac:dyDescent="0.2">
      <c r="A7493" s="76"/>
      <c r="C7493" s="76"/>
    </row>
    <row r="7494" spans="1:3" x14ac:dyDescent="0.2">
      <c r="A7494" s="76"/>
      <c r="C7494" s="76"/>
    </row>
    <row r="7495" spans="1:3" x14ac:dyDescent="0.2">
      <c r="A7495" s="76"/>
      <c r="C7495" s="76"/>
    </row>
    <row r="7496" spans="1:3" x14ac:dyDescent="0.2">
      <c r="A7496" s="76"/>
      <c r="C7496" s="76"/>
    </row>
    <row r="7497" spans="1:3" x14ac:dyDescent="0.2">
      <c r="A7497" s="76"/>
      <c r="C7497" s="76"/>
    </row>
    <row r="7498" spans="1:3" x14ac:dyDescent="0.2">
      <c r="A7498" s="76"/>
      <c r="C7498" s="76"/>
    </row>
    <row r="7499" spans="1:3" x14ac:dyDescent="0.2">
      <c r="A7499" s="76"/>
      <c r="C7499" s="76"/>
    </row>
    <row r="7500" spans="1:3" x14ac:dyDescent="0.2">
      <c r="A7500" s="76"/>
      <c r="C7500" s="76"/>
    </row>
    <row r="7501" spans="1:3" x14ac:dyDescent="0.2">
      <c r="A7501" s="76"/>
      <c r="C7501" s="76"/>
    </row>
    <row r="7502" spans="1:3" x14ac:dyDescent="0.2">
      <c r="A7502" s="76"/>
      <c r="C7502" s="76"/>
    </row>
    <row r="7503" spans="1:3" x14ac:dyDescent="0.2">
      <c r="A7503" s="76"/>
      <c r="C7503" s="76"/>
    </row>
    <row r="7504" spans="1:3" x14ac:dyDescent="0.2">
      <c r="A7504" s="76"/>
      <c r="C7504" s="76"/>
    </row>
    <row r="7505" spans="1:3" x14ac:dyDescent="0.2">
      <c r="A7505" s="76"/>
      <c r="C7505" s="76"/>
    </row>
    <row r="7506" spans="1:3" x14ac:dyDescent="0.2">
      <c r="A7506" s="76"/>
      <c r="C7506" s="76"/>
    </row>
    <row r="7507" spans="1:3" x14ac:dyDescent="0.2">
      <c r="A7507" s="76"/>
      <c r="C7507" s="76"/>
    </row>
    <row r="7508" spans="1:3" x14ac:dyDescent="0.2">
      <c r="A7508" s="76"/>
      <c r="C7508" s="76"/>
    </row>
    <row r="7509" spans="1:3" x14ac:dyDescent="0.2">
      <c r="A7509" s="76"/>
      <c r="C7509" s="76"/>
    </row>
    <row r="7510" spans="1:3" x14ac:dyDescent="0.2">
      <c r="A7510" s="76"/>
      <c r="C7510" s="76"/>
    </row>
    <row r="7511" spans="1:3" x14ac:dyDescent="0.2">
      <c r="A7511" s="76"/>
      <c r="C7511" s="76"/>
    </row>
    <row r="7512" spans="1:3" x14ac:dyDescent="0.2">
      <c r="A7512" s="76"/>
      <c r="C7512" s="76"/>
    </row>
    <row r="7513" spans="1:3" x14ac:dyDescent="0.2">
      <c r="A7513" s="76"/>
      <c r="C7513" s="76"/>
    </row>
    <row r="7514" spans="1:3" x14ac:dyDescent="0.2">
      <c r="A7514" s="76"/>
      <c r="C7514" s="76"/>
    </row>
    <row r="7515" spans="1:3" x14ac:dyDescent="0.2">
      <c r="A7515" s="76"/>
      <c r="C7515" s="76"/>
    </row>
    <row r="7516" spans="1:3" x14ac:dyDescent="0.2">
      <c r="A7516" s="76"/>
      <c r="C7516" s="76"/>
    </row>
    <row r="7517" spans="1:3" x14ac:dyDescent="0.2">
      <c r="A7517" s="76"/>
      <c r="C7517" s="76"/>
    </row>
    <row r="7518" spans="1:3" x14ac:dyDescent="0.2">
      <c r="A7518" s="76"/>
      <c r="C7518" s="76"/>
    </row>
    <row r="7519" spans="1:3" x14ac:dyDescent="0.2">
      <c r="A7519" s="76"/>
      <c r="C7519" s="76"/>
    </row>
    <row r="7520" spans="1:3" x14ac:dyDescent="0.2">
      <c r="A7520" s="76"/>
      <c r="C7520" s="76"/>
    </row>
    <row r="7521" spans="1:3" x14ac:dyDescent="0.2">
      <c r="A7521" s="76"/>
      <c r="C7521" s="76"/>
    </row>
    <row r="7522" spans="1:3" x14ac:dyDescent="0.2">
      <c r="A7522" s="76"/>
      <c r="C7522" s="76"/>
    </row>
    <row r="7523" spans="1:3" x14ac:dyDescent="0.2">
      <c r="A7523" s="76"/>
      <c r="C7523" s="76"/>
    </row>
    <row r="7524" spans="1:3" x14ac:dyDescent="0.2">
      <c r="A7524" s="76"/>
      <c r="C7524" s="76"/>
    </row>
    <row r="7525" spans="1:3" x14ac:dyDescent="0.2">
      <c r="A7525" s="76"/>
      <c r="C7525" s="76"/>
    </row>
    <row r="7526" spans="1:3" x14ac:dyDescent="0.2">
      <c r="A7526" s="76"/>
      <c r="C7526" s="76"/>
    </row>
    <row r="7527" spans="1:3" x14ac:dyDescent="0.2">
      <c r="A7527" s="76"/>
      <c r="C7527" s="76"/>
    </row>
    <row r="7528" spans="1:3" x14ac:dyDescent="0.2">
      <c r="A7528" s="76"/>
      <c r="C7528" s="76"/>
    </row>
    <row r="7529" spans="1:3" x14ac:dyDescent="0.2">
      <c r="A7529" s="76"/>
      <c r="C7529" s="76"/>
    </row>
    <row r="7530" spans="1:3" x14ac:dyDescent="0.2">
      <c r="A7530" s="76"/>
      <c r="C7530" s="76"/>
    </row>
    <row r="7531" spans="1:3" x14ac:dyDescent="0.2">
      <c r="A7531" s="76"/>
      <c r="C7531" s="76"/>
    </row>
    <row r="7532" spans="1:3" x14ac:dyDescent="0.2">
      <c r="A7532" s="76"/>
      <c r="C7532" s="76"/>
    </row>
    <row r="7533" spans="1:3" x14ac:dyDescent="0.2">
      <c r="A7533" s="76"/>
      <c r="C7533" s="76"/>
    </row>
    <row r="7534" spans="1:3" x14ac:dyDescent="0.2">
      <c r="A7534" s="76"/>
      <c r="C7534" s="76"/>
    </row>
    <row r="7535" spans="1:3" x14ac:dyDescent="0.2">
      <c r="A7535" s="76"/>
      <c r="C7535" s="76"/>
    </row>
    <row r="7536" spans="1:3" x14ac:dyDescent="0.2">
      <c r="A7536" s="76"/>
      <c r="C7536" s="76"/>
    </row>
    <row r="7537" spans="1:3" x14ac:dyDescent="0.2">
      <c r="A7537" s="76"/>
      <c r="C7537" s="76"/>
    </row>
    <row r="7538" spans="1:3" x14ac:dyDescent="0.2">
      <c r="A7538" s="76"/>
      <c r="C7538" s="76"/>
    </row>
    <row r="7539" spans="1:3" x14ac:dyDescent="0.2">
      <c r="A7539" s="76"/>
      <c r="C7539" s="76"/>
    </row>
    <row r="7540" spans="1:3" x14ac:dyDescent="0.2">
      <c r="A7540" s="76"/>
      <c r="C7540" s="76"/>
    </row>
    <row r="7541" spans="1:3" x14ac:dyDescent="0.2">
      <c r="A7541" s="76"/>
      <c r="C7541" s="76"/>
    </row>
    <row r="7542" spans="1:3" x14ac:dyDescent="0.2">
      <c r="A7542" s="76"/>
      <c r="C7542" s="76"/>
    </row>
    <row r="7543" spans="1:3" x14ac:dyDescent="0.2">
      <c r="A7543" s="76"/>
      <c r="C7543" s="76"/>
    </row>
    <row r="7544" spans="1:3" x14ac:dyDescent="0.2">
      <c r="A7544" s="76"/>
      <c r="C7544" s="76"/>
    </row>
    <row r="7545" spans="1:3" x14ac:dyDescent="0.2">
      <c r="A7545" s="76"/>
      <c r="C7545" s="76"/>
    </row>
    <row r="7546" spans="1:3" x14ac:dyDescent="0.2">
      <c r="A7546" s="76"/>
      <c r="C7546" s="76"/>
    </row>
    <row r="7547" spans="1:3" x14ac:dyDescent="0.2">
      <c r="A7547" s="76"/>
      <c r="C7547" s="76"/>
    </row>
    <row r="7548" spans="1:3" x14ac:dyDescent="0.2">
      <c r="A7548" s="76"/>
      <c r="C7548" s="76"/>
    </row>
    <row r="7549" spans="1:3" x14ac:dyDescent="0.2">
      <c r="A7549" s="76"/>
      <c r="C7549" s="76"/>
    </row>
    <row r="7550" spans="1:3" x14ac:dyDescent="0.2">
      <c r="A7550" s="76"/>
      <c r="C7550" s="76"/>
    </row>
    <row r="7551" spans="1:3" x14ac:dyDescent="0.2">
      <c r="A7551" s="76"/>
      <c r="C7551" s="76"/>
    </row>
    <row r="7552" spans="1:3" x14ac:dyDescent="0.2">
      <c r="A7552" s="76"/>
      <c r="C7552" s="76"/>
    </row>
    <row r="7553" spans="1:3" x14ac:dyDescent="0.2">
      <c r="A7553" s="76"/>
      <c r="C7553" s="76"/>
    </row>
    <row r="7554" spans="1:3" x14ac:dyDescent="0.2">
      <c r="A7554" s="76"/>
      <c r="C7554" s="76"/>
    </row>
    <row r="7555" spans="1:3" x14ac:dyDescent="0.2">
      <c r="A7555" s="76"/>
      <c r="C7555" s="76"/>
    </row>
    <row r="7556" spans="1:3" x14ac:dyDescent="0.2">
      <c r="A7556" s="76"/>
      <c r="C7556" s="76"/>
    </row>
    <row r="7557" spans="1:3" x14ac:dyDescent="0.2">
      <c r="A7557" s="76"/>
      <c r="C7557" s="76"/>
    </row>
    <row r="7558" spans="1:3" x14ac:dyDescent="0.2">
      <c r="A7558" s="76"/>
      <c r="C7558" s="76"/>
    </row>
    <row r="7559" spans="1:3" x14ac:dyDescent="0.2">
      <c r="A7559" s="76"/>
      <c r="C7559" s="76"/>
    </row>
    <row r="7560" spans="1:3" x14ac:dyDescent="0.2">
      <c r="A7560" s="76"/>
      <c r="C7560" s="76"/>
    </row>
    <row r="7561" spans="1:3" x14ac:dyDescent="0.2">
      <c r="A7561" s="76"/>
      <c r="C7561" s="76"/>
    </row>
    <row r="7562" spans="1:3" x14ac:dyDescent="0.2">
      <c r="A7562" s="76"/>
      <c r="C7562" s="76"/>
    </row>
    <row r="7563" spans="1:3" x14ac:dyDescent="0.2">
      <c r="A7563" s="76"/>
      <c r="C7563" s="76"/>
    </row>
    <row r="7564" spans="1:3" x14ac:dyDescent="0.2">
      <c r="A7564" s="76"/>
      <c r="C7564" s="76"/>
    </row>
    <row r="7565" spans="1:3" x14ac:dyDescent="0.2">
      <c r="A7565" s="76"/>
      <c r="C7565" s="76"/>
    </row>
    <row r="7566" spans="1:3" x14ac:dyDescent="0.2">
      <c r="A7566" s="76"/>
      <c r="C7566" s="76"/>
    </row>
    <row r="7567" spans="1:3" x14ac:dyDescent="0.2">
      <c r="A7567" s="76"/>
      <c r="C7567" s="76"/>
    </row>
    <row r="7568" spans="1:3" x14ac:dyDescent="0.2">
      <c r="A7568" s="76"/>
      <c r="C7568" s="76"/>
    </row>
    <row r="7569" spans="1:3" x14ac:dyDescent="0.2">
      <c r="A7569" s="76"/>
      <c r="C7569" s="76"/>
    </row>
    <row r="7570" spans="1:3" x14ac:dyDescent="0.2">
      <c r="A7570" s="76"/>
      <c r="C7570" s="76"/>
    </row>
    <row r="7571" spans="1:3" x14ac:dyDescent="0.2">
      <c r="A7571" s="76"/>
      <c r="C7571" s="76"/>
    </row>
    <row r="7572" spans="1:3" x14ac:dyDescent="0.2">
      <c r="A7572" s="76"/>
      <c r="C7572" s="76"/>
    </row>
    <row r="7573" spans="1:3" x14ac:dyDescent="0.2">
      <c r="A7573" s="76"/>
      <c r="C7573" s="76"/>
    </row>
    <row r="7574" spans="1:3" x14ac:dyDescent="0.2">
      <c r="A7574" s="76"/>
      <c r="C7574" s="76"/>
    </row>
    <row r="7575" spans="1:3" x14ac:dyDescent="0.2">
      <c r="A7575" s="76"/>
      <c r="C7575" s="76"/>
    </row>
    <row r="7576" spans="1:3" x14ac:dyDescent="0.2">
      <c r="A7576" s="76"/>
      <c r="C7576" s="76"/>
    </row>
    <row r="7577" spans="1:3" x14ac:dyDescent="0.2">
      <c r="A7577" s="76"/>
      <c r="C7577" s="76"/>
    </row>
    <row r="7578" spans="1:3" x14ac:dyDescent="0.2">
      <c r="A7578" s="76"/>
      <c r="C7578" s="76"/>
    </row>
    <row r="7579" spans="1:3" x14ac:dyDescent="0.2">
      <c r="A7579" s="76"/>
      <c r="C7579" s="76"/>
    </row>
    <row r="7580" spans="1:3" x14ac:dyDescent="0.2">
      <c r="A7580" s="76"/>
      <c r="C7580" s="76"/>
    </row>
    <row r="7581" spans="1:3" x14ac:dyDescent="0.2">
      <c r="A7581" s="76"/>
      <c r="C7581" s="76"/>
    </row>
    <row r="7582" spans="1:3" x14ac:dyDescent="0.2">
      <c r="A7582" s="76"/>
      <c r="C7582" s="76"/>
    </row>
    <row r="7583" spans="1:3" x14ac:dyDescent="0.2">
      <c r="A7583" s="76"/>
      <c r="C7583" s="76"/>
    </row>
    <row r="7584" spans="1:3" x14ac:dyDescent="0.2">
      <c r="A7584" s="76"/>
      <c r="C7584" s="76"/>
    </row>
    <row r="7585" spans="1:3" x14ac:dyDescent="0.2">
      <c r="A7585" s="76"/>
      <c r="C7585" s="76"/>
    </row>
    <row r="7586" spans="1:3" x14ac:dyDescent="0.2">
      <c r="A7586" s="76"/>
      <c r="C7586" s="76"/>
    </row>
    <row r="7587" spans="1:3" x14ac:dyDescent="0.2">
      <c r="A7587" s="76"/>
      <c r="C7587" s="76"/>
    </row>
    <row r="7588" spans="1:3" x14ac:dyDescent="0.2">
      <c r="A7588" s="76"/>
      <c r="C7588" s="76"/>
    </row>
    <row r="7589" spans="1:3" x14ac:dyDescent="0.2">
      <c r="A7589" s="76"/>
      <c r="C7589" s="76"/>
    </row>
    <row r="7590" spans="1:3" x14ac:dyDescent="0.2">
      <c r="A7590" s="76"/>
      <c r="C7590" s="76"/>
    </row>
    <row r="7591" spans="1:3" x14ac:dyDescent="0.2">
      <c r="A7591" s="76"/>
      <c r="C7591" s="76"/>
    </row>
    <row r="7592" spans="1:3" x14ac:dyDescent="0.2">
      <c r="A7592" s="76"/>
      <c r="C7592" s="76"/>
    </row>
    <row r="7593" spans="1:3" x14ac:dyDescent="0.2">
      <c r="A7593" s="76"/>
      <c r="C7593" s="76"/>
    </row>
    <row r="7594" spans="1:3" x14ac:dyDescent="0.2">
      <c r="A7594" s="76"/>
      <c r="C7594" s="76"/>
    </row>
    <row r="7595" spans="1:3" x14ac:dyDescent="0.2">
      <c r="A7595" s="76"/>
      <c r="C7595" s="76"/>
    </row>
    <row r="7596" spans="1:3" x14ac:dyDescent="0.2">
      <c r="A7596" s="76"/>
      <c r="C7596" s="76"/>
    </row>
    <row r="7597" spans="1:3" x14ac:dyDescent="0.2">
      <c r="A7597" s="76"/>
      <c r="C7597" s="76"/>
    </row>
    <row r="7598" spans="1:3" x14ac:dyDescent="0.2">
      <c r="A7598" s="76"/>
      <c r="C7598" s="76"/>
    </row>
    <row r="7599" spans="1:3" x14ac:dyDescent="0.2">
      <c r="A7599" s="76"/>
      <c r="C7599" s="76"/>
    </row>
    <row r="7600" spans="1:3" x14ac:dyDescent="0.2">
      <c r="A7600" s="76"/>
      <c r="C7600" s="76"/>
    </row>
    <row r="7601" spans="1:3" x14ac:dyDescent="0.2">
      <c r="A7601" s="76"/>
      <c r="C7601" s="76"/>
    </row>
    <row r="7602" spans="1:3" x14ac:dyDescent="0.2">
      <c r="A7602" s="76"/>
      <c r="C7602" s="76"/>
    </row>
    <row r="7603" spans="1:3" x14ac:dyDescent="0.2">
      <c r="A7603" s="76"/>
      <c r="C7603" s="76"/>
    </row>
    <row r="7604" spans="1:3" x14ac:dyDescent="0.2">
      <c r="A7604" s="76"/>
      <c r="C7604" s="76"/>
    </row>
    <row r="7605" spans="1:3" x14ac:dyDescent="0.2">
      <c r="A7605" s="76"/>
      <c r="C7605" s="76"/>
    </row>
    <row r="7606" spans="1:3" x14ac:dyDescent="0.2">
      <c r="A7606" s="76"/>
      <c r="C7606" s="76"/>
    </row>
    <row r="7607" spans="1:3" x14ac:dyDescent="0.2">
      <c r="A7607" s="76"/>
      <c r="C7607" s="76"/>
    </row>
    <row r="7608" spans="1:3" x14ac:dyDescent="0.2">
      <c r="A7608" s="76"/>
      <c r="C7608" s="76"/>
    </row>
    <row r="7609" spans="1:3" x14ac:dyDescent="0.2">
      <c r="A7609" s="76"/>
      <c r="C7609" s="76"/>
    </row>
    <row r="7610" spans="1:3" x14ac:dyDescent="0.2">
      <c r="A7610" s="76"/>
      <c r="C7610" s="76"/>
    </row>
    <row r="7611" spans="1:3" x14ac:dyDescent="0.2">
      <c r="A7611" s="76"/>
      <c r="C7611" s="76"/>
    </row>
    <row r="7612" spans="1:3" x14ac:dyDescent="0.2">
      <c r="A7612" s="76"/>
      <c r="C7612" s="76"/>
    </row>
    <row r="7613" spans="1:3" x14ac:dyDescent="0.2">
      <c r="A7613" s="76"/>
      <c r="C7613" s="76"/>
    </row>
    <row r="7614" spans="1:3" x14ac:dyDescent="0.2">
      <c r="A7614" s="76"/>
      <c r="C7614" s="76"/>
    </row>
    <row r="7615" spans="1:3" x14ac:dyDescent="0.2">
      <c r="A7615" s="76"/>
      <c r="C7615" s="76"/>
    </row>
    <row r="7616" spans="1:3" x14ac:dyDescent="0.2">
      <c r="A7616" s="76"/>
      <c r="C7616" s="76"/>
    </row>
    <row r="7617" spans="1:3" x14ac:dyDescent="0.2">
      <c r="A7617" s="76"/>
      <c r="C7617" s="76"/>
    </row>
    <row r="7618" spans="1:3" x14ac:dyDescent="0.2">
      <c r="A7618" s="76"/>
      <c r="C7618" s="76"/>
    </row>
    <row r="7619" spans="1:3" x14ac:dyDescent="0.2">
      <c r="A7619" s="76"/>
      <c r="C7619" s="76"/>
    </row>
    <row r="7620" spans="1:3" x14ac:dyDescent="0.2">
      <c r="A7620" s="76"/>
      <c r="C7620" s="76"/>
    </row>
    <row r="7621" spans="1:3" x14ac:dyDescent="0.2">
      <c r="A7621" s="76"/>
      <c r="C7621" s="76"/>
    </row>
    <row r="7622" spans="1:3" x14ac:dyDescent="0.2">
      <c r="A7622" s="76"/>
      <c r="C7622" s="76"/>
    </row>
    <row r="7623" spans="1:3" x14ac:dyDescent="0.2">
      <c r="A7623" s="76"/>
      <c r="C7623" s="76"/>
    </row>
    <row r="7624" spans="1:3" x14ac:dyDescent="0.2">
      <c r="A7624" s="76"/>
      <c r="C7624" s="76"/>
    </row>
    <row r="7625" spans="1:3" x14ac:dyDescent="0.2">
      <c r="A7625" s="76"/>
      <c r="C7625" s="76"/>
    </row>
    <row r="7626" spans="1:3" x14ac:dyDescent="0.2">
      <c r="A7626" s="76"/>
      <c r="C7626" s="76"/>
    </row>
    <row r="7627" spans="1:3" x14ac:dyDescent="0.2">
      <c r="A7627" s="76"/>
      <c r="C7627" s="76"/>
    </row>
    <row r="7628" spans="1:3" x14ac:dyDescent="0.2">
      <c r="A7628" s="76"/>
      <c r="C7628" s="76"/>
    </row>
    <row r="7629" spans="1:3" x14ac:dyDescent="0.2">
      <c r="A7629" s="76"/>
      <c r="C7629" s="76"/>
    </row>
    <row r="7630" spans="1:3" x14ac:dyDescent="0.2">
      <c r="A7630" s="76"/>
      <c r="C7630" s="76"/>
    </row>
    <row r="7631" spans="1:3" x14ac:dyDescent="0.2">
      <c r="A7631" s="76"/>
      <c r="C7631" s="76"/>
    </row>
    <row r="7632" spans="1:3" x14ac:dyDescent="0.2">
      <c r="A7632" s="76"/>
      <c r="C7632" s="76"/>
    </row>
    <row r="7633" spans="1:3" x14ac:dyDescent="0.2">
      <c r="A7633" s="76"/>
      <c r="C7633" s="76"/>
    </row>
    <row r="7634" spans="1:3" x14ac:dyDescent="0.2">
      <c r="A7634" s="76"/>
      <c r="C7634" s="76"/>
    </row>
    <row r="7635" spans="1:3" x14ac:dyDescent="0.2">
      <c r="A7635" s="76"/>
      <c r="C7635" s="76"/>
    </row>
    <row r="7636" spans="1:3" x14ac:dyDescent="0.2">
      <c r="A7636" s="76"/>
      <c r="C7636" s="76"/>
    </row>
    <row r="7637" spans="1:3" x14ac:dyDescent="0.2">
      <c r="A7637" s="76"/>
      <c r="C7637" s="76"/>
    </row>
    <row r="7638" spans="1:3" x14ac:dyDescent="0.2">
      <c r="A7638" s="76"/>
      <c r="C7638" s="76"/>
    </row>
    <row r="7639" spans="1:3" x14ac:dyDescent="0.2">
      <c r="A7639" s="76"/>
      <c r="C7639" s="76"/>
    </row>
    <row r="7640" spans="1:3" x14ac:dyDescent="0.2">
      <c r="A7640" s="76"/>
      <c r="C7640" s="76"/>
    </row>
    <row r="7641" spans="1:3" x14ac:dyDescent="0.2">
      <c r="A7641" s="76"/>
      <c r="C7641" s="76"/>
    </row>
    <row r="7642" spans="1:3" x14ac:dyDescent="0.2">
      <c r="A7642" s="76"/>
      <c r="C7642" s="76"/>
    </row>
    <row r="7643" spans="1:3" x14ac:dyDescent="0.2">
      <c r="A7643" s="76"/>
      <c r="C7643" s="76"/>
    </row>
    <row r="7644" spans="1:3" x14ac:dyDescent="0.2">
      <c r="A7644" s="76"/>
      <c r="C7644" s="76"/>
    </row>
    <row r="7645" spans="1:3" x14ac:dyDescent="0.2">
      <c r="A7645" s="76"/>
      <c r="C7645" s="76"/>
    </row>
    <row r="7646" spans="1:3" x14ac:dyDescent="0.2">
      <c r="A7646" s="76"/>
      <c r="C7646" s="76"/>
    </row>
    <row r="7647" spans="1:3" x14ac:dyDescent="0.2">
      <c r="A7647" s="76"/>
      <c r="C7647" s="76"/>
    </row>
    <row r="7648" spans="1:3" x14ac:dyDescent="0.2">
      <c r="A7648" s="76"/>
      <c r="C7648" s="76"/>
    </row>
    <row r="7649" spans="1:3" x14ac:dyDescent="0.2">
      <c r="A7649" s="76"/>
      <c r="C7649" s="76"/>
    </row>
    <row r="7650" spans="1:3" x14ac:dyDescent="0.2">
      <c r="A7650" s="76"/>
      <c r="C7650" s="76"/>
    </row>
    <row r="7651" spans="1:3" x14ac:dyDescent="0.2">
      <c r="A7651" s="76"/>
      <c r="C7651" s="76"/>
    </row>
    <row r="7652" spans="1:3" x14ac:dyDescent="0.2">
      <c r="A7652" s="76"/>
      <c r="C7652" s="76"/>
    </row>
    <row r="7653" spans="1:3" x14ac:dyDescent="0.2">
      <c r="A7653" s="76"/>
      <c r="C7653" s="76"/>
    </row>
    <row r="7654" spans="1:3" x14ac:dyDescent="0.2">
      <c r="A7654" s="76"/>
      <c r="C7654" s="76"/>
    </row>
    <row r="7655" spans="1:3" x14ac:dyDescent="0.2">
      <c r="A7655" s="76"/>
      <c r="C7655" s="76"/>
    </row>
    <row r="7656" spans="1:3" x14ac:dyDescent="0.2">
      <c r="A7656" s="76"/>
      <c r="C7656" s="76"/>
    </row>
    <row r="7657" spans="1:3" x14ac:dyDescent="0.2">
      <c r="A7657" s="76"/>
      <c r="C7657" s="76"/>
    </row>
    <row r="7658" spans="1:3" x14ac:dyDescent="0.2">
      <c r="A7658" s="76"/>
      <c r="C7658" s="76"/>
    </row>
    <row r="7659" spans="1:3" x14ac:dyDescent="0.2">
      <c r="A7659" s="76"/>
      <c r="C7659" s="76"/>
    </row>
    <row r="7660" spans="1:3" x14ac:dyDescent="0.2">
      <c r="A7660" s="76"/>
      <c r="C7660" s="76"/>
    </row>
    <row r="7661" spans="1:3" x14ac:dyDescent="0.2">
      <c r="A7661" s="76"/>
      <c r="C7661" s="76"/>
    </row>
    <row r="7662" spans="1:3" x14ac:dyDescent="0.2">
      <c r="A7662" s="76"/>
      <c r="C7662" s="76"/>
    </row>
    <row r="7663" spans="1:3" x14ac:dyDescent="0.2">
      <c r="A7663" s="76"/>
      <c r="C7663" s="76"/>
    </row>
    <row r="7664" spans="1:3" x14ac:dyDescent="0.2">
      <c r="A7664" s="76"/>
      <c r="C7664" s="76"/>
    </row>
    <row r="7665" spans="1:3" x14ac:dyDescent="0.2">
      <c r="A7665" s="76"/>
      <c r="C7665" s="76"/>
    </row>
    <row r="7666" spans="1:3" x14ac:dyDescent="0.2">
      <c r="A7666" s="76"/>
      <c r="C7666" s="76"/>
    </row>
    <row r="7667" spans="1:3" x14ac:dyDescent="0.2">
      <c r="A7667" s="76"/>
      <c r="C7667" s="76"/>
    </row>
    <row r="7668" spans="1:3" x14ac:dyDescent="0.2">
      <c r="A7668" s="76"/>
      <c r="C7668" s="76"/>
    </row>
    <row r="7669" spans="1:3" x14ac:dyDescent="0.2">
      <c r="A7669" s="76"/>
      <c r="C7669" s="76"/>
    </row>
    <row r="7670" spans="1:3" x14ac:dyDescent="0.2">
      <c r="A7670" s="76"/>
      <c r="C7670" s="76"/>
    </row>
    <row r="7671" spans="1:3" x14ac:dyDescent="0.2">
      <c r="A7671" s="76"/>
      <c r="C7671" s="76"/>
    </row>
    <row r="7672" spans="1:3" x14ac:dyDescent="0.2">
      <c r="A7672" s="76"/>
      <c r="C7672" s="76"/>
    </row>
    <row r="7673" spans="1:3" x14ac:dyDescent="0.2">
      <c r="A7673" s="76"/>
      <c r="C7673" s="76"/>
    </row>
    <row r="7674" spans="1:3" x14ac:dyDescent="0.2">
      <c r="A7674" s="76"/>
      <c r="C7674" s="76"/>
    </row>
    <row r="7675" spans="1:3" x14ac:dyDescent="0.2">
      <c r="A7675" s="76"/>
      <c r="C7675" s="76"/>
    </row>
    <row r="7676" spans="1:3" x14ac:dyDescent="0.2">
      <c r="A7676" s="76"/>
      <c r="C7676" s="76"/>
    </row>
    <row r="7677" spans="1:3" x14ac:dyDescent="0.2">
      <c r="A7677" s="76"/>
      <c r="C7677" s="76"/>
    </row>
    <row r="7678" spans="1:3" x14ac:dyDescent="0.2">
      <c r="A7678" s="76"/>
      <c r="C7678" s="76"/>
    </row>
    <row r="7679" spans="1:3" x14ac:dyDescent="0.2">
      <c r="A7679" s="76"/>
      <c r="C7679" s="76"/>
    </row>
    <row r="7680" spans="1:3" x14ac:dyDescent="0.2">
      <c r="A7680" s="76"/>
      <c r="C7680" s="76"/>
    </row>
    <row r="7681" spans="1:3" x14ac:dyDescent="0.2">
      <c r="A7681" s="76"/>
      <c r="C7681" s="76"/>
    </row>
    <row r="7682" spans="1:3" x14ac:dyDescent="0.2">
      <c r="A7682" s="76"/>
      <c r="C7682" s="76"/>
    </row>
    <row r="7683" spans="1:3" x14ac:dyDescent="0.2">
      <c r="A7683" s="76"/>
      <c r="C7683" s="76"/>
    </row>
    <row r="7684" spans="1:3" x14ac:dyDescent="0.2">
      <c r="A7684" s="76"/>
      <c r="C7684" s="76"/>
    </row>
    <row r="7685" spans="1:3" x14ac:dyDescent="0.2">
      <c r="A7685" s="76"/>
      <c r="C7685" s="76"/>
    </row>
    <row r="7686" spans="1:3" x14ac:dyDescent="0.2">
      <c r="A7686" s="76"/>
      <c r="C7686" s="76"/>
    </row>
    <row r="7687" spans="1:3" x14ac:dyDescent="0.2">
      <c r="A7687" s="76"/>
      <c r="C7687" s="76"/>
    </row>
    <row r="7688" spans="1:3" x14ac:dyDescent="0.2">
      <c r="A7688" s="76"/>
      <c r="C7688" s="76"/>
    </row>
    <row r="7689" spans="1:3" x14ac:dyDescent="0.2">
      <c r="A7689" s="76"/>
      <c r="C7689" s="76"/>
    </row>
    <row r="7690" spans="1:3" x14ac:dyDescent="0.2">
      <c r="A7690" s="76"/>
      <c r="C7690" s="76"/>
    </row>
    <row r="7691" spans="1:3" x14ac:dyDescent="0.2">
      <c r="A7691" s="76"/>
      <c r="C7691" s="76"/>
    </row>
    <row r="7692" spans="1:3" x14ac:dyDescent="0.2">
      <c r="A7692" s="76"/>
      <c r="C7692" s="76"/>
    </row>
    <row r="7693" spans="1:3" x14ac:dyDescent="0.2">
      <c r="A7693" s="76"/>
      <c r="C7693" s="76"/>
    </row>
    <row r="7694" spans="1:3" x14ac:dyDescent="0.2">
      <c r="A7694" s="76"/>
      <c r="C7694" s="76"/>
    </row>
    <row r="7695" spans="1:3" x14ac:dyDescent="0.2">
      <c r="A7695" s="76"/>
      <c r="C7695" s="76"/>
    </row>
    <row r="7696" spans="1:3" x14ac:dyDescent="0.2">
      <c r="A7696" s="76"/>
      <c r="C7696" s="76"/>
    </row>
    <row r="7697" spans="1:3" x14ac:dyDescent="0.2">
      <c r="A7697" s="76"/>
      <c r="C7697" s="76"/>
    </row>
    <row r="7698" spans="1:3" x14ac:dyDescent="0.2">
      <c r="A7698" s="76"/>
      <c r="C7698" s="76"/>
    </row>
    <row r="7699" spans="1:3" x14ac:dyDescent="0.2">
      <c r="A7699" s="76"/>
      <c r="C7699" s="76"/>
    </row>
    <row r="7700" spans="1:3" x14ac:dyDescent="0.2">
      <c r="A7700" s="76"/>
      <c r="C7700" s="76"/>
    </row>
    <row r="7701" spans="1:3" x14ac:dyDescent="0.2">
      <c r="A7701" s="76"/>
      <c r="C7701" s="76"/>
    </row>
    <row r="7702" spans="1:3" x14ac:dyDescent="0.2">
      <c r="A7702" s="76"/>
      <c r="C7702" s="76"/>
    </row>
    <row r="7703" spans="1:3" x14ac:dyDescent="0.2">
      <c r="A7703" s="76"/>
      <c r="C7703" s="76"/>
    </row>
    <row r="7704" spans="1:3" x14ac:dyDescent="0.2">
      <c r="A7704" s="76"/>
      <c r="C7704" s="76"/>
    </row>
    <row r="7705" spans="1:3" x14ac:dyDescent="0.2">
      <c r="A7705" s="76"/>
      <c r="C7705" s="76"/>
    </row>
    <row r="7706" spans="1:3" x14ac:dyDescent="0.2">
      <c r="A7706" s="76"/>
      <c r="C7706" s="76"/>
    </row>
    <row r="7707" spans="1:3" x14ac:dyDescent="0.2">
      <c r="A7707" s="76"/>
      <c r="C7707" s="76"/>
    </row>
    <row r="7708" spans="1:3" x14ac:dyDescent="0.2">
      <c r="A7708" s="76"/>
      <c r="C7708" s="76"/>
    </row>
    <row r="7709" spans="1:3" x14ac:dyDescent="0.2">
      <c r="A7709" s="76"/>
      <c r="C7709" s="76"/>
    </row>
    <row r="7710" spans="1:3" x14ac:dyDescent="0.2">
      <c r="A7710" s="76"/>
      <c r="C7710" s="76"/>
    </row>
    <row r="7711" spans="1:3" x14ac:dyDescent="0.2">
      <c r="A7711" s="76"/>
      <c r="C7711" s="76"/>
    </row>
    <row r="7712" spans="1:3" x14ac:dyDescent="0.2">
      <c r="A7712" s="76"/>
      <c r="C7712" s="76"/>
    </row>
    <row r="7713" spans="1:3" x14ac:dyDescent="0.2">
      <c r="A7713" s="76"/>
      <c r="C7713" s="76"/>
    </row>
    <row r="7714" spans="1:3" x14ac:dyDescent="0.2">
      <c r="A7714" s="76"/>
      <c r="C7714" s="76"/>
    </row>
    <row r="7715" spans="1:3" x14ac:dyDescent="0.2">
      <c r="A7715" s="76"/>
      <c r="C7715" s="76"/>
    </row>
    <row r="7716" spans="1:3" x14ac:dyDescent="0.2">
      <c r="A7716" s="76"/>
      <c r="C7716" s="76"/>
    </row>
    <row r="7717" spans="1:3" x14ac:dyDescent="0.2">
      <c r="A7717" s="76"/>
      <c r="C7717" s="76"/>
    </row>
    <row r="7718" spans="1:3" x14ac:dyDescent="0.2">
      <c r="A7718" s="76"/>
      <c r="C7718" s="76"/>
    </row>
    <row r="7719" spans="1:3" x14ac:dyDescent="0.2">
      <c r="A7719" s="76"/>
      <c r="C7719" s="76"/>
    </row>
    <row r="7720" spans="1:3" x14ac:dyDescent="0.2">
      <c r="A7720" s="76"/>
      <c r="C7720" s="76"/>
    </row>
    <row r="7721" spans="1:3" x14ac:dyDescent="0.2">
      <c r="A7721" s="76"/>
      <c r="C7721" s="76"/>
    </row>
    <row r="7722" spans="1:3" x14ac:dyDescent="0.2">
      <c r="A7722" s="76"/>
      <c r="C7722" s="76"/>
    </row>
    <row r="7723" spans="1:3" x14ac:dyDescent="0.2">
      <c r="A7723" s="76"/>
      <c r="C7723" s="76"/>
    </row>
    <row r="7724" spans="1:3" x14ac:dyDescent="0.2">
      <c r="A7724" s="76"/>
      <c r="C7724" s="76"/>
    </row>
    <row r="7725" spans="1:3" x14ac:dyDescent="0.2">
      <c r="A7725" s="76"/>
      <c r="C7725" s="76"/>
    </row>
    <row r="7726" spans="1:3" x14ac:dyDescent="0.2">
      <c r="A7726" s="76"/>
      <c r="C7726" s="76"/>
    </row>
    <row r="7727" spans="1:3" x14ac:dyDescent="0.2">
      <c r="A7727" s="76"/>
      <c r="C7727" s="76"/>
    </row>
    <row r="7728" spans="1:3" x14ac:dyDescent="0.2">
      <c r="A7728" s="76"/>
      <c r="C7728" s="76"/>
    </row>
    <row r="7729" spans="1:3" x14ac:dyDescent="0.2">
      <c r="A7729" s="76"/>
      <c r="C7729" s="76"/>
    </row>
    <row r="7730" spans="1:3" x14ac:dyDescent="0.2">
      <c r="A7730" s="76"/>
      <c r="C7730" s="76"/>
    </row>
    <row r="7731" spans="1:3" x14ac:dyDescent="0.2">
      <c r="A7731" s="76"/>
      <c r="C7731" s="76"/>
    </row>
    <row r="7732" spans="1:3" x14ac:dyDescent="0.2">
      <c r="A7732" s="76"/>
      <c r="C7732" s="76"/>
    </row>
    <row r="7733" spans="1:3" x14ac:dyDescent="0.2">
      <c r="A7733" s="76"/>
      <c r="C7733" s="76"/>
    </row>
    <row r="7734" spans="1:3" x14ac:dyDescent="0.2">
      <c r="A7734" s="76"/>
      <c r="C7734" s="76"/>
    </row>
    <row r="7735" spans="1:3" x14ac:dyDescent="0.2">
      <c r="A7735" s="76"/>
      <c r="C7735" s="76"/>
    </row>
    <row r="7736" spans="1:3" x14ac:dyDescent="0.2">
      <c r="A7736" s="76"/>
      <c r="C7736" s="76"/>
    </row>
    <row r="7737" spans="1:3" x14ac:dyDescent="0.2">
      <c r="A7737" s="76"/>
      <c r="C7737" s="76"/>
    </row>
    <row r="7738" spans="1:3" x14ac:dyDescent="0.2">
      <c r="A7738" s="76"/>
      <c r="C7738" s="76"/>
    </row>
    <row r="7739" spans="1:3" x14ac:dyDescent="0.2">
      <c r="A7739" s="76"/>
      <c r="C7739" s="76"/>
    </row>
    <row r="7740" spans="1:3" x14ac:dyDescent="0.2">
      <c r="A7740" s="76"/>
      <c r="C7740" s="76"/>
    </row>
    <row r="7741" spans="1:3" x14ac:dyDescent="0.2">
      <c r="A7741" s="76"/>
      <c r="C7741" s="76"/>
    </row>
    <row r="7742" spans="1:3" x14ac:dyDescent="0.2">
      <c r="A7742" s="76"/>
      <c r="C7742" s="76"/>
    </row>
    <row r="7743" spans="1:3" x14ac:dyDescent="0.2">
      <c r="A7743" s="76"/>
      <c r="C7743" s="76"/>
    </row>
    <row r="7744" spans="1:3" x14ac:dyDescent="0.2">
      <c r="A7744" s="76"/>
      <c r="C7744" s="76"/>
    </row>
    <row r="7745" spans="1:3" x14ac:dyDescent="0.2">
      <c r="A7745" s="76"/>
      <c r="C7745" s="76"/>
    </row>
    <row r="7746" spans="1:3" x14ac:dyDescent="0.2">
      <c r="A7746" s="76"/>
      <c r="C7746" s="76"/>
    </row>
    <row r="7747" spans="1:3" x14ac:dyDescent="0.2">
      <c r="A7747" s="76"/>
      <c r="C7747" s="76"/>
    </row>
    <row r="7748" spans="1:3" x14ac:dyDescent="0.2">
      <c r="A7748" s="76"/>
      <c r="C7748" s="76"/>
    </row>
    <row r="7749" spans="1:3" x14ac:dyDescent="0.2">
      <c r="A7749" s="76"/>
      <c r="C7749" s="76"/>
    </row>
    <row r="7750" spans="1:3" x14ac:dyDescent="0.2">
      <c r="A7750" s="76"/>
      <c r="C7750" s="76"/>
    </row>
    <row r="7751" spans="1:3" x14ac:dyDescent="0.2">
      <c r="A7751" s="76"/>
      <c r="C7751" s="76"/>
    </row>
    <row r="7752" spans="1:3" x14ac:dyDescent="0.2">
      <c r="A7752" s="76"/>
      <c r="C7752" s="76"/>
    </row>
    <row r="7753" spans="1:3" x14ac:dyDescent="0.2">
      <c r="A7753" s="76"/>
      <c r="C7753" s="76"/>
    </row>
    <row r="7754" spans="1:3" x14ac:dyDescent="0.2">
      <c r="A7754" s="76"/>
      <c r="C7754" s="76"/>
    </row>
    <row r="7755" spans="1:3" x14ac:dyDescent="0.2">
      <c r="A7755" s="76"/>
      <c r="C7755" s="76"/>
    </row>
    <row r="7756" spans="1:3" x14ac:dyDescent="0.2">
      <c r="A7756" s="76"/>
      <c r="C7756" s="76"/>
    </row>
    <row r="7757" spans="1:3" x14ac:dyDescent="0.2">
      <c r="A7757" s="76"/>
      <c r="C7757" s="76"/>
    </row>
    <row r="7758" spans="1:3" x14ac:dyDescent="0.2">
      <c r="A7758" s="76"/>
      <c r="C7758" s="76"/>
    </row>
    <row r="7759" spans="1:3" x14ac:dyDescent="0.2">
      <c r="A7759" s="76"/>
      <c r="C7759" s="76"/>
    </row>
    <row r="7760" spans="1:3" x14ac:dyDescent="0.2">
      <c r="A7760" s="76"/>
      <c r="C7760" s="76"/>
    </row>
    <row r="7761" spans="1:3" x14ac:dyDescent="0.2">
      <c r="A7761" s="76"/>
      <c r="C7761" s="76"/>
    </row>
    <row r="7762" spans="1:3" x14ac:dyDescent="0.2">
      <c r="A7762" s="76"/>
      <c r="C7762" s="76"/>
    </row>
    <row r="7763" spans="1:3" x14ac:dyDescent="0.2">
      <c r="A7763" s="76"/>
      <c r="C7763" s="76"/>
    </row>
    <row r="7764" spans="1:3" x14ac:dyDescent="0.2">
      <c r="A7764" s="76"/>
      <c r="C7764" s="76"/>
    </row>
    <row r="7765" spans="1:3" x14ac:dyDescent="0.2">
      <c r="A7765" s="76"/>
      <c r="C7765" s="76"/>
    </row>
    <row r="7766" spans="1:3" x14ac:dyDescent="0.2">
      <c r="A7766" s="76"/>
      <c r="C7766" s="76"/>
    </row>
    <row r="7767" spans="1:3" x14ac:dyDescent="0.2">
      <c r="A7767" s="76"/>
      <c r="C7767" s="76"/>
    </row>
    <row r="7768" spans="1:3" x14ac:dyDescent="0.2">
      <c r="A7768" s="76"/>
      <c r="C7768" s="76"/>
    </row>
    <row r="7769" spans="1:3" x14ac:dyDescent="0.2">
      <c r="A7769" s="76"/>
      <c r="C7769" s="76"/>
    </row>
    <row r="7770" spans="1:3" x14ac:dyDescent="0.2">
      <c r="A7770" s="76"/>
      <c r="C7770" s="76"/>
    </row>
    <row r="7771" spans="1:3" x14ac:dyDescent="0.2">
      <c r="A7771" s="76"/>
      <c r="C7771" s="76"/>
    </row>
    <row r="7772" spans="1:3" x14ac:dyDescent="0.2">
      <c r="A7772" s="76"/>
      <c r="C7772" s="76"/>
    </row>
    <row r="7773" spans="1:3" x14ac:dyDescent="0.2">
      <c r="A7773" s="76"/>
      <c r="C7773" s="76"/>
    </row>
    <row r="7774" spans="1:3" x14ac:dyDescent="0.2">
      <c r="A7774" s="76"/>
      <c r="C7774" s="76"/>
    </row>
    <row r="7775" spans="1:3" x14ac:dyDescent="0.2">
      <c r="A7775" s="76"/>
      <c r="C7775" s="76"/>
    </row>
    <row r="7776" spans="1:3" x14ac:dyDescent="0.2">
      <c r="A7776" s="76"/>
      <c r="C7776" s="76"/>
    </row>
    <row r="7777" spans="1:3" x14ac:dyDescent="0.2">
      <c r="A7777" s="76"/>
      <c r="C7777" s="76"/>
    </row>
    <row r="7778" spans="1:3" x14ac:dyDescent="0.2">
      <c r="A7778" s="76"/>
      <c r="C7778" s="76"/>
    </row>
    <row r="7779" spans="1:3" x14ac:dyDescent="0.2">
      <c r="A7779" s="76"/>
      <c r="C7779" s="76"/>
    </row>
    <row r="7780" spans="1:3" x14ac:dyDescent="0.2">
      <c r="A7780" s="76"/>
      <c r="C7780" s="76"/>
    </row>
    <row r="7781" spans="1:3" x14ac:dyDescent="0.2">
      <c r="A7781" s="76"/>
      <c r="C7781" s="76"/>
    </row>
    <row r="7782" spans="1:3" x14ac:dyDescent="0.2">
      <c r="A7782" s="76"/>
      <c r="C7782" s="76"/>
    </row>
    <row r="7783" spans="1:3" x14ac:dyDescent="0.2">
      <c r="A7783" s="76"/>
      <c r="C7783" s="76"/>
    </row>
    <row r="7784" spans="1:3" x14ac:dyDescent="0.2">
      <c r="A7784" s="76"/>
      <c r="C7784" s="76"/>
    </row>
    <row r="7785" spans="1:3" x14ac:dyDescent="0.2">
      <c r="A7785" s="76"/>
      <c r="C7785" s="76"/>
    </row>
    <row r="7786" spans="1:3" x14ac:dyDescent="0.2">
      <c r="A7786" s="76"/>
      <c r="C7786" s="76"/>
    </row>
    <row r="7787" spans="1:3" x14ac:dyDescent="0.2">
      <c r="A7787" s="76"/>
      <c r="C7787" s="76"/>
    </row>
    <row r="7788" spans="1:3" x14ac:dyDescent="0.2">
      <c r="A7788" s="76"/>
      <c r="C7788" s="76"/>
    </row>
    <row r="7789" spans="1:3" x14ac:dyDescent="0.2">
      <c r="A7789" s="76"/>
      <c r="C7789" s="76"/>
    </row>
    <row r="7790" spans="1:3" x14ac:dyDescent="0.2">
      <c r="A7790" s="76"/>
      <c r="C7790" s="76"/>
    </row>
    <row r="7791" spans="1:3" x14ac:dyDescent="0.2">
      <c r="A7791" s="76"/>
      <c r="C7791" s="76"/>
    </row>
    <row r="7792" spans="1:3" x14ac:dyDescent="0.2">
      <c r="A7792" s="76"/>
      <c r="C7792" s="76"/>
    </row>
    <row r="7793" spans="1:3" x14ac:dyDescent="0.2">
      <c r="A7793" s="76"/>
      <c r="C7793" s="76"/>
    </row>
    <row r="7794" spans="1:3" x14ac:dyDescent="0.2">
      <c r="A7794" s="76"/>
      <c r="C7794" s="76"/>
    </row>
    <row r="7795" spans="1:3" x14ac:dyDescent="0.2">
      <c r="A7795" s="76"/>
      <c r="C7795" s="76"/>
    </row>
    <row r="7796" spans="1:3" x14ac:dyDescent="0.2">
      <c r="A7796" s="76"/>
      <c r="C7796" s="76"/>
    </row>
    <row r="7797" spans="1:3" x14ac:dyDescent="0.2">
      <c r="A7797" s="76"/>
      <c r="C7797" s="76"/>
    </row>
    <row r="7798" spans="1:3" x14ac:dyDescent="0.2">
      <c r="A7798" s="76"/>
      <c r="C7798" s="76"/>
    </row>
    <row r="7799" spans="1:3" x14ac:dyDescent="0.2">
      <c r="A7799" s="76"/>
      <c r="C7799" s="76"/>
    </row>
    <row r="7800" spans="1:3" x14ac:dyDescent="0.2">
      <c r="A7800" s="76"/>
      <c r="C7800" s="76"/>
    </row>
    <row r="7801" spans="1:3" x14ac:dyDescent="0.2">
      <c r="A7801" s="76"/>
      <c r="C7801" s="76"/>
    </row>
    <row r="7802" spans="1:3" x14ac:dyDescent="0.2">
      <c r="A7802" s="76"/>
      <c r="C7802" s="76"/>
    </row>
    <row r="7803" spans="1:3" x14ac:dyDescent="0.2">
      <c r="A7803" s="76"/>
      <c r="C7803" s="76"/>
    </row>
    <row r="7804" spans="1:3" x14ac:dyDescent="0.2">
      <c r="A7804" s="76"/>
      <c r="C7804" s="76"/>
    </row>
    <row r="7805" spans="1:3" x14ac:dyDescent="0.2">
      <c r="A7805" s="76"/>
      <c r="C7805" s="76"/>
    </row>
    <row r="7806" spans="1:3" x14ac:dyDescent="0.2">
      <c r="A7806" s="76"/>
      <c r="C7806" s="76"/>
    </row>
    <row r="7807" spans="1:3" x14ac:dyDescent="0.2">
      <c r="A7807" s="76"/>
      <c r="C7807" s="76"/>
    </row>
    <row r="7808" spans="1:3" x14ac:dyDescent="0.2">
      <c r="A7808" s="76"/>
      <c r="C7808" s="76"/>
    </row>
    <row r="7809" spans="1:3" x14ac:dyDescent="0.2">
      <c r="A7809" s="76"/>
      <c r="C7809" s="76"/>
    </row>
    <row r="7810" spans="1:3" x14ac:dyDescent="0.2">
      <c r="A7810" s="76"/>
      <c r="C7810" s="76"/>
    </row>
    <row r="7811" spans="1:3" x14ac:dyDescent="0.2">
      <c r="A7811" s="76"/>
      <c r="C7811" s="76"/>
    </row>
    <row r="7812" spans="1:3" x14ac:dyDescent="0.2">
      <c r="A7812" s="76"/>
      <c r="C7812" s="76"/>
    </row>
    <row r="7813" spans="1:3" x14ac:dyDescent="0.2">
      <c r="A7813" s="76"/>
      <c r="C7813" s="76"/>
    </row>
    <row r="7814" spans="1:3" x14ac:dyDescent="0.2">
      <c r="A7814" s="76"/>
      <c r="C7814" s="76"/>
    </row>
    <row r="7815" spans="1:3" x14ac:dyDescent="0.2">
      <c r="A7815" s="76"/>
      <c r="C7815" s="76"/>
    </row>
    <row r="7816" spans="1:3" x14ac:dyDescent="0.2">
      <c r="A7816" s="76"/>
      <c r="C7816" s="76"/>
    </row>
    <row r="7817" spans="1:3" x14ac:dyDescent="0.2">
      <c r="A7817" s="76"/>
      <c r="C7817" s="76"/>
    </row>
    <row r="7818" spans="1:3" x14ac:dyDescent="0.2">
      <c r="A7818" s="76"/>
      <c r="C7818" s="76"/>
    </row>
    <row r="7819" spans="1:3" x14ac:dyDescent="0.2">
      <c r="A7819" s="76"/>
      <c r="C7819" s="76"/>
    </row>
    <row r="7820" spans="1:3" x14ac:dyDescent="0.2">
      <c r="A7820" s="76"/>
      <c r="C7820" s="76"/>
    </row>
    <row r="7821" spans="1:3" x14ac:dyDescent="0.2">
      <c r="A7821" s="76"/>
      <c r="C7821" s="76"/>
    </row>
    <row r="7822" spans="1:3" x14ac:dyDescent="0.2">
      <c r="A7822" s="76"/>
      <c r="C7822" s="76"/>
    </row>
    <row r="7823" spans="1:3" x14ac:dyDescent="0.2">
      <c r="A7823" s="76"/>
      <c r="C7823" s="76"/>
    </row>
    <row r="7824" spans="1:3" x14ac:dyDescent="0.2">
      <c r="A7824" s="76"/>
      <c r="C7824" s="76"/>
    </row>
    <row r="7825" spans="1:3" x14ac:dyDescent="0.2">
      <c r="A7825" s="76"/>
      <c r="C7825" s="76"/>
    </row>
    <row r="7826" spans="1:3" x14ac:dyDescent="0.2">
      <c r="A7826" s="76"/>
      <c r="C7826" s="76"/>
    </row>
    <row r="7827" spans="1:3" x14ac:dyDescent="0.2">
      <c r="A7827" s="76"/>
      <c r="C7827" s="76"/>
    </row>
    <row r="7828" spans="1:3" x14ac:dyDescent="0.2">
      <c r="A7828" s="76"/>
      <c r="C7828" s="76"/>
    </row>
    <row r="7829" spans="1:3" x14ac:dyDescent="0.2">
      <c r="A7829" s="76"/>
      <c r="C7829" s="76"/>
    </row>
    <row r="7830" spans="1:3" x14ac:dyDescent="0.2">
      <c r="A7830" s="76"/>
      <c r="C7830" s="76"/>
    </row>
    <row r="7831" spans="1:3" x14ac:dyDescent="0.2">
      <c r="A7831" s="76"/>
      <c r="C7831" s="76"/>
    </row>
    <row r="7832" spans="1:3" x14ac:dyDescent="0.2">
      <c r="A7832" s="76"/>
      <c r="C7832" s="76"/>
    </row>
    <row r="7833" spans="1:3" x14ac:dyDescent="0.2">
      <c r="A7833" s="76"/>
      <c r="C7833" s="76"/>
    </row>
    <row r="7834" spans="1:3" x14ac:dyDescent="0.2">
      <c r="A7834" s="76"/>
      <c r="C7834" s="76"/>
    </row>
    <row r="7835" spans="1:3" x14ac:dyDescent="0.2">
      <c r="A7835" s="76"/>
      <c r="C7835" s="76"/>
    </row>
    <row r="7836" spans="1:3" x14ac:dyDescent="0.2">
      <c r="A7836" s="76"/>
      <c r="C7836" s="76"/>
    </row>
    <row r="7837" spans="1:3" x14ac:dyDescent="0.2">
      <c r="A7837" s="76"/>
      <c r="C7837" s="76"/>
    </row>
    <row r="7838" spans="1:3" x14ac:dyDescent="0.2">
      <c r="A7838" s="76"/>
      <c r="C7838" s="76"/>
    </row>
    <row r="7839" spans="1:3" x14ac:dyDescent="0.2">
      <c r="A7839" s="76"/>
      <c r="C7839" s="76"/>
    </row>
    <row r="7840" spans="1:3" x14ac:dyDescent="0.2">
      <c r="A7840" s="76"/>
      <c r="C7840" s="76"/>
    </row>
    <row r="7841" spans="1:3" x14ac:dyDescent="0.2">
      <c r="A7841" s="76"/>
      <c r="C7841" s="76"/>
    </row>
    <row r="7842" spans="1:3" x14ac:dyDescent="0.2">
      <c r="A7842" s="76"/>
      <c r="C7842" s="76"/>
    </row>
    <row r="7843" spans="1:3" x14ac:dyDescent="0.2">
      <c r="A7843" s="76"/>
      <c r="C7843" s="76"/>
    </row>
    <row r="7844" spans="1:3" x14ac:dyDescent="0.2">
      <c r="A7844" s="76"/>
      <c r="C7844" s="76"/>
    </row>
    <row r="7845" spans="1:3" x14ac:dyDescent="0.2">
      <c r="A7845" s="76"/>
      <c r="C7845" s="76"/>
    </row>
    <row r="7846" spans="1:3" x14ac:dyDescent="0.2">
      <c r="A7846" s="76"/>
      <c r="C7846" s="76"/>
    </row>
    <row r="7847" spans="1:3" x14ac:dyDescent="0.2">
      <c r="A7847" s="76"/>
      <c r="C7847" s="76"/>
    </row>
    <row r="7848" spans="1:3" x14ac:dyDescent="0.2">
      <c r="A7848" s="76"/>
      <c r="C7848" s="76"/>
    </row>
    <row r="7849" spans="1:3" x14ac:dyDescent="0.2">
      <c r="A7849" s="76"/>
      <c r="C7849" s="76"/>
    </row>
    <row r="7850" spans="1:3" x14ac:dyDescent="0.2">
      <c r="A7850" s="76"/>
      <c r="C7850" s="76"/>
    </row>
    <row r="7851" spans="1:3" x14ac:dyDescent="0.2">
      <c r="A7851" s="76"/>
      <c r="C7851" s="76"/>
    </row>
    <row r="7852" spans="1:3" x14ac:dyDescent="0.2">
      <c r="A7852" s="76"/>
      <c r="C7852" s="76"/>
    </row>
    <row r="7853" spans="1:3" x14ac:dyDescent="0.2">
      <c r="A7853" s="76"/>
      <c r="C7853" s="76"/>
    </row>
    <row r="7854" spans="1:3" x14ac:dyDescent="0.2">
      <c r="A7854" s="76"/>
      <c r="C7854" s="76"/>
    </row>
    <row r="7855" spans="1:3" x14ac:dyDescent="0.2">
      <c r="A7855" s="76"/>
      <c r="C7855" s="76"/>
    </row>
    <row r="7856" spans="1:3" x14ac:dyDescent="0.2">
      <c r="A7856" s="76"/>
      <c r="C7856" s="76"/>
    </row>
    <row r="7857" spans="1:3" x14ac:dyDescent="0.2">
      <c r="A7857" s="76"/>
      <c r="C7857" s="76"/>
    </row>
    <row r="7858" spans="1:3" x14ac:dyDescent="0.2">
      <c r="A7858" s="76"/>
      <c r="C7858" s="76"/>
    </row>
    <row r="7859" spans="1:3" x14ac:dyDescent="0.2">
      <c r="A7859" s="76"/>
      <c r="C7859" s="76"/>
    </row>
    <row r="7860" spans="1:3" x14ac:dyDescent="0.2">
      <c r="A7860" s="76"/>
      <c r="C7860" s="76"/>
    </row>
    <row r="7861" spans="1:3" x14ac:dyDescent="0.2">
      <c r="A7861" s="76"/>
      <c r="C7861" s="76"/>
    </row>
    <row r="7862" spans="1:3" x14ac:dyDescent="0.2">
      <c r="A7862" s="76"/>
      <c r="C7862" s="76"/>
    </row>
    <row r="7863" spans="1:3" x14ac:dyDescent="0.2">
      <c r="A7863" s="76"/>
      <c r="C7863" s="76"/>
    </row>
    <row r="7864" spans="1:3" x14ac:dyDescent="0.2">
      <c r="A7864" s="76"/>
      <c r="C7864" s="76"/>
    </row>
    <row r="7865" spans="1:3" x14ac:dyDescent="0.2">
      <c r="A7865" s="76"/>
      <c r="C7865" s="76"/>
    </row>
    <row r="7866" spans="1:3" x14ac:dyDescent="0.2">
      <c r="A7866" s="76"/>
      <c r="C7866" s="76"/>
    </row>
    <row r="7867" spans="1:3" x14ac:dyDescent="0.2">
      <c r="A7867" s="76"/>
      <c r="C7867" s="76"/>
    </row>
    <row r="7868" spans="1:3" x14ac:dyDescent="0.2">
      <c r="A7868" s="76"/>
      <c r="C7868" s="76"/>
    </row>
    <row r="7869" spans="1:3" x14ac:dyDescent="0.2">
      <c r="A7869" s="76"/>
      <c r="C7869" s="76"/>
    </row>
    <row r="7870" spans="1:3" x14ac:dyDescent="0.2">
      <c r="A7870" s="76"/>
      <c r="C7870" s="76"/>
    </row>
    <row r="7871" spans="1:3" x14ac:dyDescent="0.2">
      <c r="A7871" s="76"/>
      <c r="C7871" s="76"/>
    </row>
    <row r="7872" spans="1:3" x14ac:dyDescent="0.2">
      <c r="A7872" s="76"/>
      <c r="C7872" s="76"/>
    </row>
    <row r="7873" spans="1:3" x14ac:dyDescent="0.2">
      <c r="A7873" s="76"/>
      <c r="C7873" s="76"/>
    </row>
    <row r="7874" spans="1:3" x14ac:dyDescent="0.2">
      <c r="A7874" s="76"/>
      <c r="C7874" s="76"/>
    </row>
    <row r="7875" spans="1:3" x14ac:dyDescent="0.2">
      <c r="A7875" s="76"/>
      <c r="C7875" s="76"/>
    </row>
    <row r="7876" spans="1:3" x14ac:dyDescent="0.2">
      <c r="A7876" s="76"/>
      <c r="C7876" s="76"/>
    </row>
    <row r="7877" spans="1:3" x14ac:dyDescent="0.2">
      <c r="A7877" s="76"/>
      <c r="C7877" s="76"/>
    </row>
    <row r="7878" spans="1:3" x14ac:dyDescent="0.2">
      <c r="A7878" s="76"/>
      <c r="C7878" s="76"/>
    </row>
    <row r="7879" spans="1:3" x14ac:dyDescent="0.2">
      <c r="A7879" s="76"/>
      <c r="C7879" s="76"/>
    </row>
    <row r="7880" spans="1:3" x14ac:dyDescent="0.2">
      <c r="A7880" s="76"/>
      <c r="C7880" s="76"/>
    </row>
    <row r="7881" spans="1:3" x14ac:dyDescent="0.2">
      <c r="A7881" s="76"/>
      <c r="C7881" s="76"/>
    </row>
    <row r="7882" spans="1:3" x14ac:dyDescent="0.2">
      <c r="A7882" s="76"/>
      <c r="C7882" s="76"/>
    </row>
    <row r="7883" spans="1:3" x14ac:dyDescent="0.2">
      <c r="A7883" s="76"/>
      <c r="C7883" s="76"/>
    </row>
    <row r="7884" spans="1:3" x14ac:dyDescent="0.2">
      <c r="A7884" s="76"/>
      <c r="C7884" s="76"/>
    </row>
    <row r="7885" spans="1:3" x14ac:dyDescent="0.2">
      <c r="A7885" s="76"/>
      <c r="C7885" s="76"/>
    </row>
    <row r="7886" spans="1:3" x14ac:dyDescent="0.2">
      <c r="A7886" s="76"/>
      <c r="C7886" s="76"/>
    </row>
    <row r="7887" spans="1:3" x14ac:dyDescent="0.2">
      <c r="A7887" s="76"/>
      <c r="C7887" s="76"/>
    </row>
    <row r="7888" spans="1:3" x14ac:dyDescent="0.2">
      <c r="A7888" s="76"/>
      <c r="C7888" s="76"/>
    </row>
    <row r="7889" spans="1:3" x14ac:dyDescent="0.2">
      <c r="A7889" s="76"/>
      <c r="C7889" s="76"/>
    </row>
    <row r="7890" spans="1:3" x14ac:dyDescent="0.2">
      <c r="A7890" s="76"/>
      <c r="C7890" s="76"/>
    </row>
    <row r="7891" spans="1:3" x14ac:dyDescent="0.2">
      <c r="A7891" s="76"/>
      <c r="C7891" s="76"/>
    </row>
    <row r="7892" spans="1:3" x14ac:dyDescent="0.2">
      <c r="A7892" s="76"/>
      <c r="C7892" s="76"/>
    </row>
    <row r="7893" spans="1:3" x14ac:dyDescent="0.2">
      <c r="A7893" s="76"/>
      <c r="C7893" s="76"/>
    </row>
    <row r="7894" spans="1:3" x14ac:dyDescent="0.2">
      <c r="A7894" s="76"/>
      <c r="C7894" s="76"/>
    </row>
    <row r="7895" spans="1:3" x14ac:dyDescent="0.2">
      <c r="A7895" s="76"/>
      <c r="C7895" s="76"/>
    </row>
    <row r="7896" spans="1:3" x14ac:dyDescent="0.2">
      <c r="A7896" s="76"/>
      <c r="C7896" s="76"/>
    </row>
    <row r="7897" spans="1:3" x14ac:dyDescent="0.2">
      <c r="A7897" s="76"/>
      <c r="C7897" s="76"/>
    </row>
    <row r="7898" spans="1:3" x14ac:dyDescent="0.2">
      <c r="A7898" s="76"/>
      <c r="C7898" s="76"/>
    </row>
    <row r="7899" spans="1:3" x14ac:dyDescent="0.2">
      <c r="A7899" s="76"/>
      <c r="C7899" s="76"/>
    </row>
    <row r="7900" spans="1:3" x14ac:dyDescent="0.2">
      <c r="A7900" s="76"/>
      <c r="C7900" s="76"/>
    </row>
    <row r="7901" spans="1:3" x14ac:dyDescent="0.2">
      <c r="A7901" s="76"/>
      <c r="C7901" s="76"/>
    </row>
    <row r="7902" spans="1:3" x14ac:dyDescent="0.2">
      <c r="A7902" s="76"/>
      <c r="C7902" s="76"/>
    </row>
    <row r="7903" spans="1:3" x14ac:dyDescent="0.2">
      <c r="A7903" s="76"/>
      <c r="C7903" s="76"/>
    </row>
    <row r="7904" spans="1:3" x14ac:dyDescent="0.2">
      <c r="A7904" s="76"/>
      <c r="C7904" s="76"/>
    </row>
    <row r="7905" spans="1:3" x14ac:dyDescent="0.2">
      <c r="A7905" s="76"/>
      <c r="C7905" s="76"/>
    </row>
    <row r="7906" spans="1:3" x14ac:dyDescent="0.2">
      <c r="A7906" s="76"/>
      <c r="C7906" s="76"/>
    </row>
    <row r="7907" spans="1:3" x14ac:dyDescent="0.2">
      <c r="A7907" s="76"/>
      <c r="C7907" s="76"/>
    </row>
    <row r="7908" spans="1:3" x14ac:dyDescent="0.2">
      <c r="A7908" s="76"/>
      <c r="C7908" s="76"/>
    </row>
    <row r="7909" spans="1:3" x14ac:dyDescent="0.2">
      <c r="A7909" s="76"/>
      <c r="C7909" s="76"/>
    </row>
    <row r="7910" spans="1:3" x14ac:dyDescent="0.2">
      <c r="A7910" s="76"/>
      <c r="C7910" s="76"/>
    </row>
    <row r="7911" spans="1:3" x14ac:dyDescent="0.2">
      <c r="A7911" s="76"/>
      <c r="C7911" s="76"/>
    </row>
    <row r="7912" spans="1:3" x14ac:dyDescent="0.2">
      <c r="A7912" s="76"/>
      <c r="C7912" s="76"/>
    </row>
    <row r="7913" spans="1:3" x14ac:dyDescent="0.2">
      <c r="A7913" s="76"/>
      <c r="C7913" s="76"/>
    </row>
    <row r="7914" spans="1:3" x14ac:dyDescent="0.2">
      <c r="A7914" s="76"/>
      <c r="C7914" s="76"/>
    </row>
    <row r="7915" spans="1:3" x14ac:dyDescent="0.2">
      <c r="A7915" s="76"/>
      <c r="C7915" s="76"/>
    </row>
    <row r="7916" spans="1:3" x14ac:dyDescent="0.2">
      <c r="A7916" s="76"/>
      <c r="C7916" s="76"/>
    </row>
    <row r="7917" spans="1:3" x14ac:dyDescent="0.2">
      <c r="A7917" s="76"/>
      <c r="C7917" s="76"/>
    </row>
    <row r="7918" spans="1:3" x14ac:dyDescent="0.2">
      <c r="A7918" s="76"/>
      <c r="C7918" s="76"/>
    </row>
    <row r="7919" spans="1:3" x14ac:dyDescent="0.2">
      <c r="A7919" s="76"/>
      <c r="C7919" s="76"/>
    </row>
    <row r="7920" spans="1:3" x14ac:dyDescent="0.2">
      <c r="A7920" s="76"/>
      <c r="C7920" s="76"/>
    </row>
    <row r="7921" spans="1:3" x14ac:dyDescent="0.2">
      <c r="A7921" s="76"/>
      <c r="C7921" s="76"/>
    </row>
    <row r="7922" spans="1:3" x14ac:dyDescent="0.2">
      <c r="A7922" s="76"/>
      <c r="C7922" s="76"/>
    </row>
    <row r="7923" spans="1:3" x14ac:dyDescent="0.2">
      <c r="A7923" s="76"/>
      <c r="C7923" s="76"/>
    </row>
    <row r="7924" spans="1:3" x14ac:dyDescent="0.2">
      <c r="A7924" s="76"/>
      <c r="C7924" s="76"/>
    </row>
    <row r="7925" spans="1:3" x14ac:dyDescent="0.2">
      <c r="A7925" s="76"/>
      <c r="C7925" s="76"/>
    </row>
    <row r="7926" spans="1:3" x14ac:dyDescent="0.2">
      <c r="A7926" s="76"/>
      <c r="C7926" s="76"/>
    </row>
    <row r="7927" spans="1:3" x14ac:dyDescent="0.2">
      <c r="A7927" s="76"/>
      <c r="C7927" s="76"/>
    </row>
    <row r="7928" spans="1:3" x14ac:dyDescent="0.2">
      <c r="A7928" s="76"/>
      <c r="C7928" s="76"/>
    </row>
    <row r="7929" spans="1:3" x14ac:dyDescent="0.2">
      <c r="A7929" s="76"/>
      <c r="C7929" s="76"/>
    </row>
    <row r="7930" spans="1:3" x14ac:dyDescent="0.2">
      <c r="A7930" s="76"/>
      <c r="C7930" s="76"/>
    </row>
    <row r="7931" spans="1:3" x14ac:dyDescent="0.2">
      <c r="A7931" s="76"/>
      <c r="C7931" s="76"/>
    </row>
    <row r="7932" spans="1:3" x14ac:dyDescent="0.2">
      <c r="A7932" s="76"/>
      <c r="C7932" s="76"/>
    </row>
    <row r="7933" spans="1:3" x14ac:dyDescent="0.2">
      <c r="A7933" s="76"/>
      <c r="C7933" s="76"/>
    </row>
    <row r="7934" spans="1:3" x14ac:dyDescent="0.2">
      <c r="A7934" s="76"/>
      <c r="C7934" s="76"/>
    </row>
    <row r="7935" spans="1:3" x14ac:dyDescent="0.2">
      <c r="A7935" s="76"/>
      <c r="C7935" s="76"/>
    </row>
    <row r="7936" spans="1:3" x14ac:dyDescent="0.2">
      <c r="A7936" s="76"/>
      <c r="C7936" s="76"/>
    </row>
    <row r="7937" spans="1:3" x14ac:dyDescent="0.2">
      <c r="A7937" s="76"/>
      <c r="C7937" s="76"/>
    </row>
    <row r="7938" spans="1:3" x14ac:dyDescent="0.2">
      <c r="A7938" s="76"/>
      <c r="C7938" s="76"/>
    </row>
    <row r="7939" spans="1:3" x14ac:dyDescent="0.2">
      <c r="A7939" s="76"/>
      <c r="C7939" s="76"/>
    </row>
    <row r="7940" spans="1:3" x14ac:dyDescent="0.2">
      <c r="A7940" s="76"/>
      <c r="C7940" s="76"/>
    </row>
    <row r="7941" spans="1:3" x14ac:dyDescent="0.2">
      <c r="A7941" s="76"/>
      <c r="C7941" s="76"/>
    </row>
    <row r="7942" spans="1:3" x14ac:dyDescent="0.2">
      <c r="A7942" s="76"/>
      <c r="C7942" s="76"/>
    </row>
    <row r="7943" spans="1:3" x14ac:dyDescent="0.2">
      <c r="A7943" s="76"/>
      <c r="C7943" s="76"/>
    </row>
    <row r="7944" spans="1:3" x14ac:dyDescent="0.2">
      <c r="A7944" s="76"/>
      <c r="C7944" s="76"/>
    </row>
    <row r="7945" spans="1:3" x14ac:dyDescent="0.2">
      <c r="A7945" s="76"/>
      <c r="C7945" s="76"/>
    </row>
    <row r="7946" spans="1:3" x14ac:dyDescent="0.2">
      <c r="A7946" s="76"/>
      <c r="C7946" s="76"/>
    </row>
    <row r="7947" spans="1:3" x14ac:dyDescent="0.2">
      <c r="A7947" s="76"/>
      <c r="C7947" s="76"/>
    </row>
    <row r="7948" spans="1:3" x14ac:dyDescent="0.2">
      <c r="A7948" s="76"/>
      <c r="C7948" s="76"/>
    </row>
    <row r="7949" spans="1:3" x14ac:dyDescent="0.2">
      <c r="A7949" s="76"/>
      <c r="C7949" s="76"/>
    </row>
    <row r="7950" spans="1:3" x14ac:dyDescent="0.2">
      <c r="A7950" s="76"/>
      <c r="C7950" s="76"/>
    </row>
    <row r="7951" spans="1:3" x14ac:dyDescent="0.2">
      <c r="A7951" s="76"/>
      <c r="C7951" s="76"/>
    </row>
    <row r="7952" spans="1:3" x14ac:dyDescent="0.2">
      <c r="A7952" s="76"/>
      <c r="C7952" s="76"/>
    </row>
    <row r="7953" spans="1:3" x14ac:dyDescent="0.2">
      <c r="A7953" s="76"/>
      <c r="C7953" s="76"/>
    </row>
    <row r="7954" spans="1:3" x14ac:dyDescent="0.2">
      <c r="A7954" s="76"/>
      <c r="C7954" s="76"/>
    </row>
    <row r="7955" spans="1:3" x14ac:dyDescent="0.2">
      <c r="A7955" s="76"/>
      <c r="C7955" s="76"/>
    </row>
    <row r="7956" spans="1:3" x14ac:dyDescent="0.2">
      <c r="A7956" s="76"/>
      <c r="C7956" s="76"/>
    </row>
    <row r="7957" spans="1:3" x14ac:dyDescent="0.2">
      <c r="A7957" s="76"/>
      <c r="C7957" s="76"/>
    </row>
    <row r="7958" spans="1:3" x14ac:dyDescent="0.2">
      <c r="A7958" s="76"/>
      <c r="C7958" s="76"/>
    </row>
    <row r="7959" spans="1:3" x14ac:dyDescent="0.2">
      <c r="A7959" s="76"/>
      <c r="C7959" s="76"/>
    </row>
    <row r="7960" spans="1:3" x14ac:dyDescent="0.2">
      <c r="A7960" s="76"/>
      <c r="C7960" s="76"/>
    </row>
    <row r="7961" spans="1:3" x14ac:dyDescent="0.2">
      <c r="A7961" s="76"/>
      <c r="C7961" s="76"/>
    </row>
    <row r="7962" spans="1:3" x14ac:dyDescent="0.2">
      <c r="A7962" s="76"/>
      <c r="C7962" s="76"/>
    </row>
    <row r="7963" spans="1:3" x14ac:dyDescent="0.2">
      <c r="A7963" s="76"/>
      <c r="C7963" s="76"/>
    </row>
    <row r="7964" spans="1:3" x14ac:dyDescent="0.2">
      <c r="A7964" s="76"/>
      <c r="C7964" s="76"/>
    </row>
    <row r="7965" spans="1:3" x14ac:dyDescent="0.2">
      <c r="A7965" s="76"/>
      <c r="C7965" s="76"/>
    </row>
    <row r="7966" spans="1:3" x14ac:dyDescent="0.2">
      <c r="A7966" s="76"/>
      <c r="C7966" s="76"/>
    </row>
    <row r="7967" spans="1:3" x14ac:dyDescent="0.2">
      <c r="A7967" s="76"/>
      <c r="C7967" s="76"/>
    </row>
    <row r="7968" spans="1:3" x14ac:dyDescent="0.2">
      <c r="A7968" s="76"/>
      <c r="C7968" s="76"/>
    </row>
    <row r="7969" spans="1:3" x14ac:dyDescent="0.2">
      <c r="A7969" s="76"/>
      <c r="C7969" s="76"/>
    </row>
    <row r="7970" spans="1:3" x14ac:dyDescent="0.2">
      <c r="A7970" s="76"/>
      <c r="C7970" s="76"/>
    </row>
    <row r="7971" spans="1:3" x14ac:dyDescent="0.2">
      <c r="A7971" s="76"/>
      <c r="C7971" s="76"/>
    </row>
    <row r="7972" spans="1:3" x14ac:dyDescent="0.2">
      <c r="A7972" s="76"/>
      <c r="C7972" s="76"/>
    </row>
    <row r="7973" spans="1:3" x14ac:dyDescent="0.2">
      <c r="A7973" s="76"/>
      <c r="C7973" s="76"/>
    </row>
    <row r="7974" spans="1:3" x14ac:dyDescent="0.2">
      <c r="A7974" s="76"/>
      <c r="C7974" s="76"/>
    </row>
    <row r="7975" spans="1:3" x14ac:dyDescent="0.2">
      <c r="A7975" s="76"/>
      <c r="C7975" s="76"/>
    </row>
    <row r="7976" spans="1:3" x14ac:dyDescent="0.2">
      <c r="A7976" s="76"/>
      <c r="C7976" s="76"/>
    </row>
    <row r="7977" spans="1:3" x14ac:dyDescent="0.2">
      <c r="A7977" s="76"/>
      <c r="C7977" s="76"/>
    </row>
    <row r="7978" spans="1:3" x14ac:dyDescent="0.2">
      <c r="A7978" s="76"/>
      <c r="C7978" s="76"/>
    </row>
    <row r="7979" spans="1:3" x14ac:dyDescent="0.2">
      <c r="A7979" s="76"/>
      <c r="C7979" s="76"/>
    </row>
    <row r="7980" spans="1:3" x14ac:dyDescent="0.2">
      <c r="A7980" s="76"/>
      <c r="C7980" s="76"/>
    </row>
    <row r="7981" spans="1:3" x14ac:dyDescent="0.2">
      <c r="A7981" s="76"/>
      <c r="C7981" s="76"/>
    </row>
    <row r="7982" spans="1:3" x14ac:dyDescent="0.2">
      <c r="A7982" s="76"/>
      <c r="C7982" s="76"/>
    </row>
    <row r="7983" spans="1:3" x14ac:dyDescent="0.2">
      <c r="A7983" s="76"/>
      <c r="C7983" s="76"/>
    </row>
    <row r="7984" spans="1:3" x14ac:dyDescent="0.2">
      <c r="A7984" s="76"/>
      <c r="C7984" s="76"/>
    </row>
    <row r="7985" spans="1:3" x14ac:dyDescent="0.2">
      <c r="A7985" s="76"/>
      <c r="C7985" s="76"/>
    </row>
    <row r="7986" spans="1:3" x14ac:dyDescent="0.2">
      <c r="A7986" s="76"/>
      <c r="C7986" s="76"/>
    </row>
    <row r="7987" spans="1:3" x14ac:dyDescent="0.2">
      <c r="A7987" s="76"/>
      <c r="C7987" s="76"/>
    </row>
    <row r="7988" spans="1:3" x14ac:dyDescent="0.2">
      <c r="A7988" s="76"/>
      <c r="C7988" s="76"/>
    </row>
    <row r="7989" spans="1:3" x14ac:dyDescent="0.2">
      <c r="A7989" s="76"/>
      <c r="C7989" s="76"/>
    </row>
    <row r="7990" spans="1:3" x14ac:dyDescent="0.2">
      <c r="A7990" s="76"/>
      <c r="C7990" s="76"/>
    </row>
    <row r="7991" spans="1:3" x14ac:dyDescent="0.2">
      <c r="A7991" s="76"/>
      <c r="C7991" s="76"/>
    </row>
    <row r="7992" spans="1:3" x14ac:dyDescent="0.2">
      <c r="A7992" s="76"/>
      <c r="C7992" s="76"/>
    </row>
    <row r="7993" spans="1:3" x14ac:dyDescent="0.2">
      <c r="A7993" s="76"/>
      <c r="C7993" s="76"/>
    </row>
    <row r="7994" spans="1:3" x14ac:dyDescent="0.2">
      <c r="A7994" s="76"/>
      <c r="C7994" s="76"/>
    </row>
    <row r="7995" spans="1:3" x14ac:dyDescent="0.2">
      <c r="A7995" s="76"/>
      <c r="C7995" s="76"/>
    </row>
    <row r="7996" spans="1:3" x14ac:dyDescent="0.2">
      <c r="A7996" s="76"/>
      <c r="C7996" s="76"/>
    </row>
    <row r="7997" spans="1:3" x14ac:dyDescent="0.2">
      <c r="A7997" s="76"/>
      <c r="C7997" s="76"/>
    </row>
    <row r="7998" spans="1:3" x14ac:dyDescent="0.2">
      <c r="A7998" s="76"/>
      <c r="C7998" s="76"/>
    </row>
    <row r="7999" spans="1:3" x14ac:dyDescent="0.2">
      <c r="A7999" s="76"/>
      <c r="C7999" s="76"/>
    </row>
    <row r="8000" spans="1:3" x14ac:dyDescent="0.2">
      <c r="A8000" s="76"/>
      <c r="C8000" s="76"/>
    </row>
    <row r="8001" spans="1:3" x14ac:dyDescent="0.2">
      <c r="A8001" s="76"/>
      <c r="C8001" s="76"/>
    </row>
    <row r="8002" spans="1:3" x14ac:dyDescent="0.2">
      <c r="A8002" s="76"/>
      <c r="C8002" s="76"/>
    </row>
    <row r="8003" spans="1:3" x14ac:dyDescent="0.2">
      <c r="A8003" s="76"/>
      <c r="C8003" s="76"/>
    </row>
    <row r="8004" spans="1:3" x14ac:dyDescent="0.2">
      <c r="A8004" s="76"/>
      <c r="C8004" s="76"/>
    </row>
    <row r="8005" spans="1:3" x14ac:dyDescent="0.2">
      <c r="A8005" s="76"/>
      <c r="C8005" s="76"/>
    </row>
    <row r="8006" spans="1:3" x14ac:dyDescent="0.2">
      <c r="A8006" s="76"/>
      <c r="C8006" s="76"/>
    </row>
    <row r="8007" spans="1:3" x14ac:dyDescent="0.2">
      <c r="A8007" s="76"/>
      <c r="C8007" s="76"/>
    </row>
    <row r="8008" spans="1:3" x14ac:dyDescent="0.2">
      <c r="A8008" s="76"/>
      <c r="C8008" s="76"/>
    </row>
    <row r="8009" spans="1:3" x14ac:dyDescent="0.2">
      <c r="A8009" s="76"/>
      <c r="C8009" s="76"/>
    </row>
    <row r="8010" spans="1:3" x14ac:dyDescent="0.2">
      <c r="A8010" s="76"/>
      <c r="C8010" s="76"/>
    </row>
    <row r="8011" spans="1:3" x14ac:dyDescent="0.2">
      <c r="A8011" s="76"/>
      <c r="C8011" s="76"/>
    </row>
    <row r="8012" spans="1:3" x14ac:dyDescent="0.2">
      <c r="A8012" s="76"/>
      <c r="C8012" s="76"/>
    </row>
    <row r="8013" spans="1:3" x14ac:dyDescent="0.2">
      <c r="A8013" s="76"/>
      <c r="C8013" s="76"/>
    </row>
    <row r="8014" spans="1:3" x14ac:dyDescent="0.2">
      <c r="A8014" s="76"/>
      <c r="C8014" s="76"/>
    </row>
    <row r="8015" spans="1:3" x14ac:dyDescent="0.2">
      <c r="A8015" s="76"/>
      <c r="C8015" s="76"/>
    </row>
    <row r="8016" spans="1:3" x14ac:dyDescent="0.2">
      <c r="A8016" s="76"/>
      <c r="C8016" s="76"/>
    </row>
    <row r="8017" spans="1:3" x14ac:dyDescent="0.2">
      <c r="A8017" s="76"/>
      <c r="C8017" s="76"/>
    </row>
    <row r="8018" spans="1:3" x14ac:dyDescent="0.2">
      <c r="A8018" s="76"/>
      <c r="C8018" s="76"/>
    </row>
    <row r="8019" spans="1:3" x14ac:dyDescent="0.2">
      <c r="A8019" s="76"/>
      <c r="C8019" s="76"/>
    </row>
    <row r="8020" spans="1:3" x14ac:dyDescent="0.2">
      <c r="A8020" s="76"/>
      <c r="C8020" s="76"/>
    </row>
    <row r="8021" spans="1:3" x14ac:dyDescent="0.2">
      <c r="A8021" s="76"/>
      <c r="C8021" s="76"/>
    </row>
    <row r="8022" spans="1:3" x14ac:dyDescent="0.2">
      <c r="A8022" s="76"/>
      <c r="C8022" s="76"/>
    </row>
    <row r="8023" spans="1:3" x14ac:dyDescent="0.2">
      <c r="A8023" s="76"/>
      <c r="C8023" s="76"/>
    </row>
    <row r="8024" spans="1:3" x14ac:dyDescent="0.2">
      <c r="A8024" s="76"/>
      <c r="C8024" s="76"/>
    </row>
    <row r="8025" spans="1:3" x14ac:dyDescent="0.2">
      <c r="A8025" s="76"/>
      <c r="C8025" s="76"/>
    </row>
    <row r="8026" spans="1:3" x14ac:dyDescent="0.2">
      <c r="A8026" s="76"/>
      <c r="C8026" s="76"/>
    </row>
    <row r="8027" spans="1:3" x14ac:dyDescent="0.2">
      <c r="A8027" s="76"/>
      <c r="C8027" s="76"/>
    </row>
    <row r="8028" spans="1:3" x14ac:dyDescent="0.2">
      <c r="A8028" s="76"/>
      <c r="C8028" s="76"/>
    </row>
    <row r="8029" spans="1:3" x14ac:dyDescent="0.2">
      <c r="A8029" s="76"/>
      <c r="C8029" s="76"/>
    </row>
    <row r="8030" spans="1:3" x14ac:dyDescent="0.2">
      <c r="A8030" s="76"/>
      <c r="C8030" s="76"/>
    </row>
    <row r="8031" spans="1:3" x14ac:dyDescent="0.2">
      <c r="A8031" s="76"/>
      <c r="C8031" s="76"/>
    </row>
    <row r="8032" spans="1:3" x14ac:dyDescent="0.2">
      <c r="A8032" s="76"/>
      <c r="C8032" s="76"/>
    </row>
    <row r="8033" spans="1:3" x14ac:dyDescent="0.2">
      <c r="A8033" s="76"/>
      <c r="C8033" s="76"/>
    </row>
    <row r="8034" spans="1:3" x14ac:dyDescent="0.2">
      <c r="A8034" s="76"/>
      <c r="C8034" s="76"/>
    </row>
    <row r="8035" spans="1:3" x14ac:dyDescent="0.2">
      <c r="A8035" s="76"/>
      <c r="C8035" s="76"/>
    </row>
    <row r="8036" spans="1:3" x14ac:dyDescent="0.2">
      <c r="A8036" s="76"/>
      <c r="C8036" s="76"/>
    </row>
    <row r="8037" spans="1:3" x14ac:dyDescent="0.2">
      <c r="A8037" s="76"/>
      <c r="C8037" s="76"/>
    </row>
    <row r="8038" spans="1:3" x14ac:dyDescent="0.2">
      <c r="A8038" s="76"/>
      <c r="C8038" s="76"/>
    </row>
    <row r="8039" spans="1:3" x14ac:dyDescent="0.2">
      <c r="A8039" s="76"/>
      <c r="C8039" s="76"/>
    </row>
    <row r="8040" spans="1:3" x14ac:dyDescent="0.2">
      <c r="A8040" s="76"/>
      <c r="C8040" s="76"/>
    </row>
    <row r="8041" spans="1:3" x14ac:dyDescent="0.2">
      <c r="A8041" s="76"/>
      <c r="C8041" s="76"/>
    </row>
    <row r="8042" spans="1:3" x14ac:dyDescent="0.2">
      <c r="A8042" s="76"/>
      <c r="C8042" s="76"/>
    </row>
    <row r="8043" spans="1:3" x14ac:dyDescent="0.2">
      <c r="A8043" s="76"/>
      <c r="C8043" s="76"/>
    </row>
    <row r="8044" spans="1:3" x14ac:dyDescent="0.2">
      <c r="A8044" s="76"/>
      <c r="C8044" s="76"/>
    </row>
    <row r="8045" spans="1:3" x14ac:dyDescent="0.2">
      <c r="A8045" s="76"/>
      <c r="C8045" s="76"/>
    </row>
    <row r="8046" spans="1:3" x14ac:dyDescent="0.2">
      <c r="A8046" s="76"/>
      <c r="C8046" s="76"/>
    </row>
    <row r="8047" spans="1:3" x14ac:dyDescent="0.2">
      <c r="A8047" s="76"/>
      <c r="C8047" s="76"/>
    </row>
    <row r="8048" spans="1:3" x14ac:dyDescent="0.2">
      <c r="A8048" s="76"/>
      <c r="C8048" s="76"/>
    </row>
    <row r="8049" spans="1:3" x14ac:dyDescent="0.2">
      <c r="A8049" s="76"/>
      <c r="C8049" s="76"/>
    </row>
    <row r="8050" spans="1:3" x14ac:dyDescent="0.2">
      <c r="A8050" s="76"/>
      <c r="C8050" s="76"/>
    </row>
    <row r="8051" spans="1:3" x14ac:dyDescent="0.2">
      <c r="A8051" s="76"/>
      <c r="C8051" s="76"/>
    </row>
    <row r="8052" spans="1:3" x14ac:dyDescent="0.2">
      <c r="A8052" s="76"/>
      <c r="C8052" s="76"/>
    </row>
    <row r="8053" spans="1:3" x14ac:dyDescent="0.2">
      <c r="A8053" s="76"/>
      <c r="C8053" s="76"/>
    </row>
    <row r="8054" spans="1:3" x14ac:dyDescent="0.2">
      <c r="A8054" s="76"/>
      <c r="C8054" s="76"/>
    </row>
    <row r="8055" spans="1:3" x14ac:dyDescent="0.2">
      <c r="A8055" s="76"/>
      <c r="C8055" s="76"/>
    </row>
    <row r="8056" spans="1:3" x14ac:dyDescent="0.2">
      <c r="A8056" s="76"/>
      <c r="C8056" s="76"/>
    </row>
    <row r="8057" spans="1:3" x14ac:dyDescent="0.2">
      <c r="A8057" s="76"/>
      <c r="C8057" s="76"/>
    </row>
    <row r="8058" spans="1:3" x14ac:dyDescent="0.2">
      <c r="A8058" s="76"/>
      <c r="C8058" s="76"/>
    </row>
    <row r="8059" spans="1:3" x14ac:dyDescent="0.2">
      <c r="A8059" s="76"/>
      <c r="C8059" s="76"/>
    </row>
    <row r="8060" spans="1:3" x14ac:dyDescent="0.2">
      <c r="A8060" s="76"/>
      <c r="C8060" s="76"/>
    </row>
    <row r="8061" spans="1:3" x14ac:dyDescent="0.2">
      <c r="A8061" s="76"/>
      <c r="C8061" s="76"/>
    </row>
    <row r="8062" spans="1:3" x14ac:dyDescent="0.2">
      <c r="A8062" s="76"/>
      <c r="C8062" s="76"/>
    </row>
    <row r="8063" spans="1:3" x14ac:dyDescent="0.2">
      <c r="A8063" s="76"/>
      <c r="C8063" s="76"/>
    </row>
    <row r="8064" spans="1:3" x14ac:dyDescent="0.2">
      <c r="A8064" s="76"/>
      <c r="C8064" s="76"/>
    </row>
    <row r="8065" spans="1:3" x14ac:dyDescent="0.2">
      <c r="A8065" s="76"/>
      <c r="C8065" s="76"/>
    </row>
    <row r="8066" spans="1:3" x14ac:dyDescent="0.2">
      <c r="A8066" s="76"/>
      <c r="C8066" s="76"/>
    </row>
    <row r="8067" spans="1:3" x14ac:dyDescent="0.2">
      <c r="A8067" s="76"/>
      <c r="C8067" s="76"/>
    </row>
    <row r="8068" spans="1:3" x14ac:dyDescent="0.2">
      <c r="A8068" s="76"/>
      <c r="C8068" s="76"/>
    </row>
    <row r="8069" spans="1:3" x14ac:dyDescent="0.2">
      <c r="A8069" s="76"/>
      <c r="C8069" s="76"/>
    </row>
    <row r="8070" spans="1:3" x14ac:dyDescent="0.2">
      <c r="A8070" s="76"/>
      <c r="C8070" s="76"/>
    </row>
    <row r="8071" spans="1:3" x14ac:dyDescent="0.2">
      <c r="A8071" s="76"/>
      <c r="C8071" s="76"/>
    </row>
    <row r="8072" spans="1:3" x14ac:dyDescent="0.2">
      <c r="A8072" s="76"/>
      <c r="C8072" s="76"/>
    </row>
    <row r="8073" spans="1:3" x14ac:dyDescent="0.2">
      <c r="A8073" s="76"/>
      <c r="C8073" s="76"/>
    </row>
    <row r="8074" spans="1:3" x14ac:dyDescent="0.2">
      <c r="A8074" s="76"/>
      <c r="C8074" s="76"/>
    </row>
    <row r="8075" spans="1:3" x14ac:dyDescent="0.2">
      <c r="A8075" s="76"/>
      <c r="C8075" s="76"/>
    </row>
    <row r="8076" spans="1:3" x14ac:dyDescent="0.2">
      <c r="A8076" s="76"/>
      <c r="C8076" s="76"/>
    </row>
    <row r="8077" spans="1:3" x14ac:dyDescent="0.2">
      <c r="A8077" s="76"/>
      <c r="C8077" s="76"/>
    </row>
    <row r="8078" spans="1:3" x14ac:dyDescent="0.2">
      <c r="A8078" s="76"/>
      <c r="C8078" s="76"/>
    </row>
    <row r="8079" spans="1:3" x14ac:dyDescent="0.2">
      <c r="A8079" s="76"/>
      <c r="C8079" s="76"/>
    </row>
    <row r="8080" spans="1:3" x14ac:dyDescent="0.2">
      <c r="A8080" s="76"/>
      <c r="C8080" s="76"/>
    </row>
    <row r="8081" spans="1:3" x14ac:dyDescent="0.2">
      <c r="A8081" s="76"/>
      <c r="C8081" s="76"/>
    </row>
    <row r="8082" spans="1:3" x14ac:dyDescent="0.2">
      <c r="A8082" s="76"/>
      <c r="C8082" s="76"/>
    </row>
    <row r="8083" spans="1:3" x14ac:dyDescent="0.2">
      <c r="A8083" s="76"/>
      <c r="C8083" s="76"/>
    </row>
    <row r="8084" spans="1:3" x14ac:dyDescent="0.2">
      <c r="A8084" s="76"/>
      <c r="C8084" s="76"/>
    </row>
    <row r="8085" spans="1:3" x14ac:dyDescent="0.2">
      <c r="A8085" s="76"/>
      <c r="C8085" s="76"/>
    </row>
    <row r="8086" spans="1:3" x14ac:dyDescent="0.2">
      <c r="A8086" s="76"/>
      <c r="C8086" s="76"/>
    </row>
    <row r="8087" spans="1:3" x14ac:dyDescent="0.2">
      <c r="A8087" s="76"/>
      <c r="C8087" s="76"/>
    </row>
    <row r="8088" spans="1:3" x14ac:dyDescent="0.2">
      <c r="A8088" s="76"/>
      <c r="C8088" s="76"/>
    </row>
    <row r="8089" spans="1:3" x14ac:dyDescent="0.2">
      <c r="A8089" s="76"/>
      <c r="C8089" s="76"/>
    </row>
    <row r="8090" spans="1:3" x14ac:dyDescent="0.2">
      <c r="A8090" s="76"/>
      <c r="C8090" s="76"/>
    </row>
    <row r="8091" spans="1:3" x14ac:dyDescent="0.2">
      <c r="A8091" s="76"/>
      <c r="C8091" s="76"/>
    </row>
    <row r="8092" spans="1:3" x14ac:dyDescent="0.2">
      <c r="A8092" s="76"/>
      <c r="C8092" s="76"/>
    </row>
    <row r="8093" spans="1:3" x14ac:dyDescent="0.2">
      <c r="A8093" s="76"/>
      <c r="C8093" s="76"/>
    </row>
    <row r="8094" spans="1:3" x14ac:dyDescent="0.2">
      <c r="A8094" s="76"/>
      <c r="C8094" s="76"/>
    </row>
    <row r="8095" spans="1:3" x14ac:dyDescent="0.2">
      <c r="A8095" s="76"/>
      <c r="C8095" s="76"/>
    </row>
    <row r="8096" spans="1:3" x14ac:dyDescent="0.2">
      <c r="A8096" s="76"/>
      <c r="C8096" s="76"/>
    </row>
    <row r="8097" spans="1:3" x14ac:dyDescent="0.2">
      <c r="A8097" s="76"/>
      <c r="C8097" s="76"/>
    </row>
    <row r="8098" spans="1:3" x14ac:dyDescent="0.2">
      <c r="A8098" s="76"/>
      <c r="C8098" s="76"/>
    </row>
    <row r="8099" spans="1:3" x14ac:dyDescent="0.2">
      <c r="A8099" s="76"/>
      <c r="C8099" s="76"/>
    </row>
    <row r="8100" spans="1:3" x14ac:dyDescent="0.2">
      <c r="A8100" s="76"/>
      <c r="C8100" s="76"/>
    </row>
    <row r="8101" spans="1:3" x14ac:dyDescent="0.2">
      <c r="A8101" s="76"/>
      <c r="C8101" s="76"/>
    </row>
    <row r="8102" spans="1:3" x14ac:dyDescent="0.2">
      <c r="A8102" s="76"/>
      <c r="C8102" s="76"/>
    </row>
    <row r="8103" spans="1:3" x14ac:dyDescent="0.2">
      <c r="A8103" s="76"/>
      <c r="C8103" s="76"/>
    </row>
    <row r="8104" spans="1:3" x14ac:dyDescent="0.2">
      <c r="A8104" s="76"/>
      <c r="C8104" s="76"/>
    </row>
    <row r="8105" spans="1:3" x14ac:dyDescent="0.2">
      <c r="A8105" s="76"/>
      <c r="C8105" s="76"/>
    </row>
    <row r="8106" spans="1:3" x14ac:dyDescent="0.2">
      <c r="A8106" s="76"/>
      <c r="C8106" s="76"/>
    </row>
    <row r="8107" spans="1:3" x14ac:dyDescent="0.2">
      <c r="A8107" s="76"/>
      <c r="C8107" s="76"/>
    </row>
    <row r="8108" spans="1:3" x14ac:dyDescent="0.2">
      <c r="A8108" s="76"/>
      <c r="C8108" s="76"/>
    </row>
    <row r="8109" spans="1:3" x14ac:dyDescent="0.2">
      <c r="A8109" s="76"/>
      <c r="C8109" s="76"/>
    </row>
    <row r="8110" spans="1:3" x14ac:dyDescent="0.2">
      <c r="A8110" s="76"/>
      <c r="C8110" s="76"/>
    </row>
    <row r="8111" spans="1:3" x14ac:dyDescent="0.2">
      <c r="A8111" s="76"/>
      <c r="C8111" s="76"/>
    </row>
    <row r="8112" spans="1:3" x14ac:dyDescent="0.2">
      <c r="A8112" s="76"/>
      <c r="C8112" s="76"/>
    </row>
    <row r="8113" spans="1:3" x14ac:dyDescent="0.2">
      <c r="A8113" s="76"/>
      <c r="C8113" s="76"/>
    </row>
    <row r="8114" spans="1:3" x14ac:dyDescent="0.2">
      <c r="A8114" s="76"/>
      <c r="C8114" s="76"/>
    </row>
    <row r="8115" spans="1:3" x14ac:dyDescent="0.2">
      <c r="A8115" s="76"/>
      <c r="C8115" s="76"/>
    </row>
    <row r="8116" spans="1:3" x14ac:dyDescent="0.2">
      <c r="A8116" s="76"/>
      <c r="C8116" s="76"/>
    </row>
    <row r="8117" spans="1:3" x14ac:dyDescent="0.2">
      <c r="A8117" s="76"/>
      <c r="C8117" s="76"/>
    </row>
    <row r="8118" spans="1:3" x14ac:dyDescent="0.2">
      <c r="A8118" s="76"/>
      <c r="C8118" s="76"/>
    </row>
    <row r="8119" spans="1:3" x14ac:dyDescent="0.2">
      <c r="A8119" s="76"/>
      <c r="C8119" s="76"/>
    </row>
    <row r="8120" spans="1:3" x14ac:dyDescent="0.2">
      <c r="A8120" s="76"/>
      <c r="C8120" s="76"/>
    </row>
    <row r="8121" spans="1:3" x14ac:dyDescent="0.2">
      <c r="A8121" s="76"/>
      <c r="C8121" s="76"/>
    </row>
    <row r="8122" spans="1:3" x14ac:dyDescent="0.2">
      <c r="A8122" s="76"/>
      <c r="C8122" s="76"/>
    </row>
    <row r="8123" spans="1:3" x14ac:dyDescent="0.2">
      <c r="A8123" s="76"/>
      <c r="C8123" s="76"/>
    </row>
    <row r="8124" spans="1:3" x14ac:dyDescent="0.2">
      <c r="A8124" s="76"/>
      <c r="C8124" s="76"/>
    </row>
    <row r="8125" spans="1:3" x14ac:dyDescent="0.2">
      <c r="A8125" s="76"/>
      <c r="C8125" s="76"/>
    </row>
    <row r="8126" spans="1:3" x14ac:dyDescent="0.2">
      <c r="A8126" s="76"/>
      <c r="C8126" s="76"/>
    </row>
    <row r="8127" spans="1:3" x14ac:dyDescent="0.2">
      <c r="A8127" s="76"/>
      <c r="C8127" s="76"/>
    </row>
    <row r="8128" spans="1:3" x14ac:dyDescent="0.2">
      <c r="A8128" s="76"/>
      <c r="C8128" s="76"/>
    </row>
    <row r="8129" spans="1:3" x14ac:dyDescent="0.2">
      <c r="A8129" s="76"/>
      <c r="C8129" s="76"/>
    </row>
    <row r="8130" spans="1:3" x14ac:dyDescent="0.2">
      <c r="A8130" s="76"/>
      <c r="C8130" s="76"/>
    </row>
    <row r="8131" spans="1:3" x14ac:dyDescent="0.2">
      <c r="A8131" s="76"/>
      <c r="C8131" s="76"/>
    </row>
    <row r="8132" spans="1:3" x14ac:dyDescent="0.2">
      <c r="A8132" s="76"/>
      <c r="C8132" s="76"/>
    </row>
    <row r="8133" spans="1:3" x14ac:dyDescent="0.2">
      <c r="A8133" s="76"/>
      <c r="C8133" s="76"/>
    </row>
    <row r="8134" spans="1:3" x14ac:dyDescent="0.2">
      <c r="A8134" s="76"/>
      <c r="C8134" s="76"/>
    </row>
    <row r="8135" spans="1:3" x14ac:dyDescent="0.2">
      <c r="A8135" s="76"/>
      <c r="C8135" s="76"/>
    </row>
    <row r="8136" spans="1:3" x14ac:dyDescent="0.2">
      <c r="A8136" s="76"/>
      <c r="C8136" s="76"/>
    </row>
    <row r="8137" spans="1:3" x14ac:dyDescent="0.2">
      <c r="A8137" s="76"/>
      <c r="C8137" s="76"/>
    </row>
    <row r="8138" spans="1:3" x14ac:dyDescent="0.2">
      <c r="A8138" s="76"/>
      <c r="C8138" s="76"/>
    </row>
    <row r="8139" spans="1:3" x14ac:dyDescent="0.2">
      <c r="A8139" s="76"/>
      <c r="C8139" s="76"/>
    </row>
    <row r="8140" spans="1:3" x14ac:dyDescent="0.2">
      <c r="A8140" s="76"/>
      <c r="C8140" s="76"/>
    </row>
    <row r="8141" spans="1:3" x14ac:dyDescent="0.2">
      <c r="A8141" s="76"/>
      <c r="C8141" s="76"/>
    </row>
    <row r="8142" spans="1:3" x14ac:dyDescent="0.2">
      <c r="A8142" s="76"/>
      <c r="C8142" s="76"/>
    </row>
    <row r="8143" spans="1:3" x14ac:dyDescent="0.2">
      <c r="A8143" s="76"/>
      <c r="C8143" s="76"/>
    </row>
    <row r="8144" spans="1:3" x14ac:dyDescent="0.2">
      <c r="A8144" s="76"/>
      <c r="C8144" s="76"/>
    </row>
    <row r="8145" spans="1:3" x14ac:dyDescent="0.2">
      <c r="A8145" s="76"/>
      <c r="C8145" s="76"/>
    </row>
    <row r="8146" spans="1:3" x14ac:dyDescent="0.2">
      <c r="A8146" s="76"/>
      <c r="C8146" s="76"/>
    </row>
    <row r="8147" spans="1:3" x14ac:dyDescent="0.2">
      <c r="A8147" s="76"/>
      <c r="C8147" s="76"/>
    </row>
    <row r="8148" spans="1:3" x14ac:dyDescent="0.2">
      <c r="A8148" s="76"/>
      <c r="C8148" s="76"/>
    </row>
    <row r="8149" spans="1:3" x14ac:dyDescent="0.2">
      <c r="A8149" s="76"/>
      <c r="C8149" s="76"/>
    </row>
    <row r="8150" spans="1:3" x14ac:dyDescent="0.2">
      <c r="A8150" s="76"/>
      <c r="C8150" s="76"/>
    </row>
    <row r="8151" spans="1:3" x14ac:dyDescent="0.2">
      <c r="A8151" s="76"/>
      <c r="C8151" s="76"/>
    </row>
    <row r="8152" spans="1:3" x14ac:dyDescent="0.2">
      <c r="A8152" s="76"/>
      <c r="C8152" s="76"/>
    </row>
    <row r="8153" spans="1:3" x14ac:dyDescent="0.2">
      <c r="A8153" s="76"/>
      <c r="C8153" s="76"/>
    </row>
    <row r="8154" spans="1:3" x14ac:dyDescent="0.2">
      <c r="A8154" s="76"/>
      <c r="C8154" s="76"/>
    </row>
    <row r="8155" spans="1:3" x14ac:dyDescent="0.2">
      <c r="A8155" s="76"/>
      <c r="C8155" s="76"/>
    </row>
    <row r="8156" spans="1:3" x14ac:dyDescent="0.2">
      <c r="A8156" s="76"/>
      <c r="C8156" s="76"/>
    </row>
    <row r="8157" spans="1:3" x14ac:dyDescent="0.2">
      <c r="A8157" s="76"/>
      <c r="C8157" s="76"/>
    </row>
    <row r="8158" spans="1:3" x14ac:dyDescent="0.2">
      <c r="A8158" s="76"/>
      <c r="C8158" s="76"/>
    </row>
    <row r="8159" spans="1:3" x14ac:dyDescent="0.2">
      <c r="A8159" s="76"/>
      <c r="C8159" s="76"/>
    </row>
    <row r="8160" spans="1:3" x14ac:dyDescent="0.2">
      <c r="A8160" s="76"/>
      <c r="C8160" s="76"/>
    </row>
    <row r="8161" spans="1:3" x14ac:dyDescent="0.2">
      <c r="A8161" s="76"/>
      <c r="C8161" s="76"/>
    </row>
    <row r="8162" spans="1:3" x14ac:dyDescent="0.2">
      <c r="A8162" s="76"/>
      <c r="C8162" s="76"/>
    </row>
    <row r="8163" spans="1:3" x14ac:dyDescent="0.2">
      <c r="A8163" s="76"/>
      <c r="C8163" s="76"/>
    </row>
    <row r="8164" spans="1:3" x14ac:dyDescent="0.2">
      <c r="A8164" s="76"/>
      <c r="C8164" s="76"/>
    </row>
    <row r="8165" spans="1:3" x14ac:dyDescent="0.2">
      <c r="A8165" s="76"/>
      <c r="C8165" s="76"/>
    </row>
    <row r="8166" spans="1:3" x14ac:dyDescent="0.2">
      <c r="A8166" s="76"/>
      <c r="C8166" s="76"/>
    </row>
    <row r="8167" spans="1:3" x14ac:dyDescent="0.2">
      <c r="A8167" s="76"/>
      <c r="C8167" s="76"/>
    </row>
    <row r="8168" spans="1:3" x14ac:dyDescent="0.2">
      <c r="A8168" s="76"/>
      <c r="C8168" s="76"/>
    </row>
    <row r="8169" spans="1:3" x14ac:dyDescent="0.2">
      <c r="A8169" s="76"/>
      <c r="C8169" s="76"/>
    </row>
    <row r="8170" spans="1:3" x14ac:dyDescent="0.2">
      <c r="A8170" s="76"/>
      <c r="C8170" s="76"/>
    </row>
    <row r="8171" spans="1:3" x14ac:dyDescent="0.2">
      <c r="A8171" s="76"/>
      <c r="C8171" s="76"/>
    </row>
    <row r="8172" spans="1:3" x14ac:dyDescent="0.2">
      <c r="A8172" s="76"/>
      <c r="C8172" s="76"/>
    </row>
    <row r="8173" spans="1:3" x14ac:dyDescent="0.2">
      <c r="A8173" s="76"/>
      <c r="C8173" s="76"/>
    </row>
    <row r="8174" spans="1:3" x14ac:dyDescent="0.2">
      <c r="A8174" s="76"/>
      <c r="C8174" s="76"/>
    </row>
    <row r="8175" spans="1:3" x14ac:dyDescent="0.2">
      <c r="A8175" s="76"/>
      <c r="C8175" s="76"/>
    </row>
    <row r="8176" spans="1:3" x14ac:dyDescent="0.2">
      <c r="A8176" s="76"/>
      <c r="C8176" s="76"/>
    </row>
    <row r="8177" spans="1:3" x14ac:dyDescent="0.2">
      <c r="A8177" s="76"/>
      <c r="C8177" s="76"/>
    </row>
    <row r="8178" spans="1:3" x14ac:dyDescent="0.2">
      <c r="A8178" s="76"/>
      <c r="C8178" s="76"/>
    </row>
    <row r="8179" spans="1:3" x14ac:dyDescent="0.2">
      <c r="A8179" s="76"/>
      <c r="C8179" s="76"/>
    </row>
    <row r="8180" spans="1:3" x14ac:dyDescent="0.2">
      <c r="A8180" s="76"/>
      <c r="C8180" s="76"/>
    </row>
    <row r="8181" spans="1:3" x14ac:dyDescent="0.2">
      <c r="A8181" s="76"/>
      <c r="C8181" s="76"/>
    </row>
    <row r="8182" spans="1:3" x14ac:dyDescent="0.2">
      <c r="A8182" s="76"/>
      <c r="C8182" s="76"/>
    </row>
    <row r="8183" spans="1:3" x14ac:dyDescent="0.2">
      <c r="A8183" s="76"/>
      <c r="C8183" s="76"/>
    </row>
    <row r="8184" spans="1:3" x14ac:dyDescent="0.2">
      <c r="A8184" s="76"/>
      <c r="C8184" s="76"/>
    </row>
    <row r="8185" spans="1:3" x14ac:dyDescent="0.2">
      <c r="A8185" s="76"/>
      <c r="C8185" s="76"/>
    </row>
    <row r="8186" spans="1:3" x14ac:dyDescent="0.2">
      <c r="A8186" s="76"/>
      <c r="C8186" s="76"/>
    </row>
    <row r="8187" spans="1:3" x14ac:dyDescent="0.2">
      <c r="A8187" s="76"/>
      <c r="C8187" s="76"/>
    </row>
    <row r="8188" spans="1:3" x14ac:dyDescent="0.2">
      <c r="A8188" s="76"/>
      <c r="C8188" s="76"/>
    </row>
    <row r="8189" spans="1:3" x14ac:dyDescent="0.2">
      <c r="A8189" s="76"/>
      <c r="C8189" s="76"/>
    </row>
    <row r="8190" spans="1:3" x14ac:dyDescent="0.2">
      <c r="A8190" s="76"/>
      <c r="C8190" s="76"/>
    </row>
    <row r="8191" spans="1:3" x14ac:dyDescent="0.2">
      <c r="A8191" s="76"/>
      <c r="C8191" s="76"/>
    </row>
    <row r="8192" spans="1:3" x14ac:dyDescent="0.2">
      <c r="A8192" s="76"/>
      <c r="C8192" s="76"/>
    </row>
    <row r="8193" spans="1:3" x14ac:dyDescent="0.2">
      <c r="A8193" s="76"/>
      <c r="C8193" s="76"/>
    </row>
    <row r="8194" spans="1:3" x14ac:dyDescent="0.2">
      <c r="A8194" s="76"/>
      <c r="C8194" s="76"/>
    </row>
    <row r="8195" spans="1:3" x14ac:dyDescent="0.2">
      <c r="A8195" s="76"/>
      <c r="C8195" s="76"/>
    </row>
    <row r="8196" spans="1:3" x14ac:dyDescent="0.2">
      <c r="A8196" s="76"/>
      <c r="C8196" s="76"/>
    </row>
    <row r="8197" spans="1:3" x14ac:dyDescent="0.2">
      <c r="A8197" s="76"/>
      <c r="C8197" s="76"/>
    </row>
    <row r="8198" spans="1:3" x14ac:dyDescent="0.2">
      <c r="A8198" s="76"/>
      <c r="C8198" s="76"/>
    </row>
    <row r="8199" spans="1:3" x14ac:dyDescent="0.2">
      <c r="A8199" s="76"/>
      <c r="C8199" s="76"/>
    </row>
    <row r="8200" spans="1:3" x14ac:dyDescent="0.2">
      <c r="A8200" s="76"/>
      <c r="C8200" s="76"/>
    </row>
    <row r="8201" spans="1:3" x14ac:dyDescent="0.2">
      <c r="A8201" s="76"/>
      <c r="C8201" s="76"/>
    </row>
    <row r="8202" spans="1:3" x14ac:dyDescent="0.2">
      <c r="A8202" s="76"/>
      <c r="C8202" s="76"/>
    </row>
    <row r="8203" spans="1:3" x14ac:dyDescent="0.2">
      <c r="A8203" s="76"/>
      <c r="C8203" s="76"/>
    </row>
    <row r="8204" spans="1:3" x14ac:dyDescent="0.2">
      <c r="A8204" s="76"/>
      <c r="C8204" s="76"/>
    </row>
    <row r="8205" spans="1:3" x14ac:dyDescent="0.2">
      <c r="A8205" s="76"/>
      <c r="C8205" s="76"/>
    </row>
    <row r="8206" spans="1:3" x14ac:dyDescent="0.2">
      <c r="A8206" s="76"/>
      <c r="C8206" s="76"/>
    </row>
    <row r="8207" spans="1:3" x14ac:dyDescent="0.2">
      <c r="A8207" s="76"/>
      <c r="C8207" s="76"/>
    </row>
    <row r="8208" spans="1:3" x14ac:dyDescent="0.2">
      <c r="A8208" s="76"/>
      <c r="C8208" s="76"/>
    </row>
    <row r="8209" spans="1:3" x14ac:dyDescent="0.2">
      <c r="A8209" s="76"/>
      <c r="C8209" s="76"/>
    </row>
    <row r="8210" spans="1:3" x14ac:dyDescent="0.2">
      <c r="A8210" s="76"/>
      <c r="C8210" s="76"/>
    </row>
    <row r="8211" spans="1:3" x14ac:dyDescent="0.2">
      <c r="A8211" s="76"/>
      <c r="C8211" s="76"/>
    </row>
    <row r="8212" spans="1:3" x14ac:dyDescent="0.2">
      <c r="A8212" s="76"/>
      <c r="C8212" s="76"/>
    </row>
    <row r="8213" spans="1:3" x14ac:dyDescent="0.2">
      <c r="A8213" s="76"/>
      <c r="C8213" s="76"/>
    </row>
    <row r="8214" spans="1:3" x14ac:dyDescent="0.2">
      <c r="A8214" s="76"/>
      <c r="C8214" s="76"/>
    </row>
    <row r="8215" spans="1:3" x14ac:dyDescent="0.2">
      <c r="A8215" s="76"/>
      <c r="C8215" s="76"/>
    </row>
    <row r="8216" spans="1:3" x14ac:dyDescent="0.2">
      <c r="A8216" s="76"/>
      <c r="C8216" s="76"/>
    </row>
    <row r="8217" spans="1:3" x14ac:dyDescent="0.2">
      <c r="A8217" s="76"/>
      <c r="C8217" s="76"/>
    </row>
    <row r="8218" spans="1:3" x14ac:dyDescent="0.2">
      <c r="A8218" s="76"/>
      <c r="C8218" s="76"/>
    </row>
    <row r="8219" spans="1:3" x14ac:dyDescent="0.2">
      <c r="A8219" s="76"/>
      <c r="C8219" s="76"/>
    </row>
    <row r="8220" spans="1:3" x14ac:dyDescent="0.2">
      <c r="A8220" s="76"/>
      <c r="C8220" s="76"/>
    </row>
    <row r="8221" spans="1:3" x14ac:dyDescent="0.2">
      <c r="A8221" s="76"/>
      <c r="C8221" s="76"/>
    </row>
    <row r="8222" spans="1:3" x14ac:dyDescent="0.2">
      <c r="A8222" s="76"/>
      <c r="C8222" s="76"/>
    </row>
    <row r="8223" spans="1:3" x14ac:dyDescent="0.2">
      <c r="A8223" s="76"/>
      <c r="C8223" s="76"/>
    </row>
    <row r="8224" spans="1:3" x14ac:dyDescent="0.2">
      <c r="A8224" s="76"/>
      <c r="C8224" s="76"/>
    </row>
    <row r="8225" spans="1:3" x14ac:dyDescent="0.2">
      <c r="A8225" s="76"/>
      <c r="C8225" s="76"/>
    </row>
    <row r="8226" spans="1:3" x14ac:dyDescent="0.2">
      <c r="A8226" s="76"/>
      <c r="C8226" s="76"/>
    </row>
    <row r="8227" spans="1:3" x14ac:dyDescent="0.2">
      <c r="A8227" s="76"/>
      <c r="C8227" s="76"/>
    </row>
    <row r="8228" spans="1:3" x14ac:dyDescent="0.2">
      <c r="A8228" s="76"/>
      <c r="C8228" s="76"/>
    </row>
    <row r="8229" spans="1:3" x14ac:dyDescent="0.2">
      <c r="A8229" s="76"/>
      <c r="C8229" s="76"/>
    </row>
    <row r="8230" spans="1:3" x14ac:dyDescent="0.2">
      <c r="A8230" s="76"/>
      <c r="C8230" s="76"/>
    </row>
    <row r="8231" spans="1:3" x14ac:dyDescent="0.2">
      <c r="A8231" s="76"/>
      <c r="C8231" s="76"/>
    </row>
    <row r="8232" spans="1:3" x14ac:dyDescent="0.2">
      <c r="A8232" s="76"/>
      <c r="C8232" s="76"/>
    </row>
    <row r="8233" spans="1:3" x14ac:dyDescent="0.2">
      <c r="A8233" s="76"/>
      <c r="C8233" s="76"/>
    </row>
    <row r="8234" spans="1:3" x14ac:dyDescent="0.2">
      <c r="A8234" s="76"/>
      <c r="C8234" s="76"/>
    </row>
    <row r="8235" spans="1:3" x14ac:dyDescent="0.2">
      <c r="A8235" s="76"/>
      <c r="C8235" s="76"/>
    </row>
    <row r="8236" spans="1:3" x14ac:dyDescent="0.2">
      <c r="A8236" s="76"/>
      <c r="C8236" s="76"/>
    </row>
    <row r="8237" spans="1:3" x14ac:dyDescent="0.2">
      <c r="A8237" s="76"/>
      <c r="C8237" s="76"/>
    </row>
    <row r="8238" spans="1:3" x14ac:dyDescent="0.2">
      <c r="A8238" s="76"/>
      <c r="C8238" s="76"/>
    </row>
    <row r="8239" spans="1:3" x14ac:dyDescent="0.2">
      <c r="A8239" s="76"/>
      <c r="C8239" s="76"/>
    </row>
    <row r="8240" spans="1:3" x14ac:dyDescent="0.2">
      <c r="A8240" s="76"/>
      <c r="C8240" s="76"/>
    </row>
    <row r="8241" spans="1:3" x14ac:dyDescent="0.2">
      <c r="A8241" s="76"/>
      <c r="C8241" s="76"/>
    </row>
    <row r="8242" spans="1:3" x14ac:dyDescent="0.2">
      <c r="A8242" s="76"/>
      <c r="C8242" s="76"/>
    </row>
    <row r="8243" spans="1:3" x14ac:dyDescent="0.2">
      <c r="A8243" s="76"/>
      <c r="C8243" s="76"/>
    </row>
    <row r="8244" spans="1:3" x14ac:dyDescent="0.2">
      <c r="A8244" s="76"/>
      <c r="C8244" s="76"/>
    </row>
    <row r="8245" spans="1:3" x14ac:dyDescent="0.2">
      <c r="A8245" s="76"/>
      <c r="C8245" s="76"/>
    </row>
    <row r="8246" spans="1:3" x14ac:dyDescent="0.2">
      <c r="A8246" s="76"/>
      <c r="C8246" s="76"/>
    </row>
    <row r="8247" spans="1:3" x14ac:dyDescent="0.2">
      <c r="A8247" s="76"/>
      <c r="C8247" s="76"/>
    </row>
    <row r="8248" spans="1:3" x14ac:dyDescent="0.2">
      <c r="A8248" s="76"/>
      <c r="C8248" s="76"/>
    </row>
    <row r="8249" spans="1:3" x14ac:dyDescent="0.2">
      <c r="A8249" s="76"/>
      <c r="C8249" s="76"/>
    </row>
    <row r="8250" spans="1:3" x14ac:dyDescent="0.2">
      <c r="A8250" s="76"/>
      <c r="C8250" s="76"/>
    </row>
    <row r="8251" spans="1:3" x14ac:dyDescent="0.2">
      <c r="A8251" s="76"/>
      <c r="C8251" s="76"/>
    </row>
    <row r="8252" spans="1:3" x14ac:dyDescent="0.2">
      <c r="A8252" s="76"/>
      <c r="C8252" s="76"/>
    </row>
    <row r="8253" spans="1:3" x14ac:dyDescent="0.2">
      <c r="A8253" s="76"/>
      <c r="C8253" s="76"/>
    </row>
    <row r="8254" spans="1:3" x14ac:dyDescent="0.2">
      <c r="A8254" s="76"/>
      <c r="C8254" s="76"/>
    </row>
    <row r="8255" spans="1:3" x14ac:dyDescent="0.2">
      <c r="A8255" s="76"/>
      <c r="C8255" s="76"/>
    </row>
    <row r="8256" spans="1:3" x14ac:dyDescent="0.2">
      <c r="A8256" s="76"/>
      <c r="C8256" s="76"/>
    </row>
    <row r="8257" spans="1:3" x14ac:dyDescent="0.2">
      <c r="A8257" s="76"/>
      <c r="C8257" s="76"/>
    </row>
    <row r="8258" spans="1:3" x14ac:dyDescent="0.2">
      <c r="A8258" s="76"/>
      <c r="C8258" s="76"/>
    </row>
    <row r="8259" spans="1:3" x14ac:dyDescent="0.2">
      <c r="A8259" s="76"/>
      <c r="C8259" s="76"/>
    </row>
    <row r="8260" spans="1:3" x14ac:dyDescent="0.2">
      <c r="A8260" s="76"/>
      <c r="C8260" s="76"/>
    </row>
    <row r="8261" spans="1:3" x14ac:dyDescent="0.2">
      <c r="A8261" s="76"/>
      <c r="C8261" s="76"/>
    </row>
    <row r="8262" spans="1:3" x14ac:dyDescent="0.2">
      <c r="A8262" s="76"/>
      <c r="C8262" s="76"/>
    </row>
    <row r="8263" spans="1:3" x14ac:dyDescent="0.2">
      <c r="A8263" s="76"/>
      <c r="C8263" s="76"/>
    </row>
    <row r="8264" spans="1:3" x14ac:dyDescent="0.2">
      <c r="A8264" s="76"/>
      <c r="C8264" s="76"/>
    </row>
    <row r="8265" spans="1:3" x14ac:dyDescent="0.2">
      <c r="A8265" s="76"/>
      <c r="C8265" s="76"/>
    </row>
    <row r="8266" spans="1:3" x14ac:dyDescent="0.2">
      <c r="A8266" s="76"/>
      <c r="C8266" s="76"/>
    </row>
    <row r="8267" spans="1:3" x14ac:dyDescent="0.2">
      <c r="A8267" s="76"/>
      <c r="C8267" s="76"/>
    </row>
    <row r="8268" spans="1:3" x14ac:dyDescent="0.2">
      <c r="A8268" s="76"/>
      <c r="C8268" s="76"/>
    </row>
    <row r="8269" spans="1:3" x14ac:dyDescent="0.2">
      <c r="A8269" s="76"/>
      <c r="C8269" s="76"/>
    </row>
    <row r="8270" spans="1:3" x14ac:dyDescent="0.2">
      <c r="A8270" s="76"/>
      <c r="C8270" s="76"/>
    </row>
    <row r="8271" spans="1:3" x14ac:dyDescent="0.2">
      <c r="A8271" s="76"/>
      <c r="C8271" s="76"/>
    </row>
    <row r="8272" spans="1:3" x14ac:dyDescent="0.2">
      <c r="A8272" s="76"/>
      <c r="C8272" s="76"/>
    </row>
    <row r="8273" spans="1:3" x14ac:dyDescent="0.2">
      <c r="A8273" s="76"/>
      <c r="C8273" s="76"/>
    </row>
    <row r="8274" spans="1:3" x14ac:dyDescent="0.2">
      <c r="A8274" s="76"/>
      <c r="C8274" s="76"/>
    </row>
    <row r="8275" spans="1:3" x14ac:dyDescent="0.2">
      <c r="A8275" s="76"/>
      <c r="C8275" s="76"/>
    </row>
    <row r="8276" spans="1:3" x14ac:dyDescent="0.2">
      <c r="A8276" s="76"/>
      <c r="C8276" s="76"/>
    </row>
    <row r="8277" spans="1:3" x14ac:dyDescent="0.2">
      <c r="A8277" s="76"/>
      <c r="C8277" s="76"/>
    </row>
    <row r="8278" spans="1:3" x14ac:dyDescent="0.2">
      <c r="A8278" s="76"/>
      <c r="C8278" s="76"/>
    </row>
    <row r="8279" spans="1:3" x14ac:dyDescent="0.2">
      <c r="A8279" s="76"/>
      <c r="C8279" s="76"/>
    </row>
    <row r="8280" spans="1:3" x14ac:dyDescent="0.2">
      <c r="A8280" s="76"/>
      <c r="C8280" s="76"/>
    </row>
    <row r="8281" spans="1:3" x14ac:dyDescent="0.2">
      <c r="A8281" s="76"/>
      <c r="C8281" s="76"/>
    </row>
    <row r="8282" spans="1:3" x14ac:dyDescent="0.2">
      <c r="A8282" s="76"/>
      <c r="C8282" s="76"/>
    </row>
    <row r="8283" spans="1:3" x14ac:dyDescent="0.2">
      <c r="A8283" s="76"/>
      <c r="C8283" s="76"/>
    </row>
    <row r="8284" spans="1:3" x14ac:dyDescent="0.2">
      <c r="A8284" s="76"/>
      <c r="C8284" s="76"/>
    </row>
    <row r="8285" spans="1:3" x14ac:dyDescent="0.2">
      <c r="A8285" s="76"/>
      <c r="C8285" s="76"/>
    </row>
    <row r="8286" spans="1:3" x14ac:dyDescent="0.2">
      <c r="A8286" s="76"/>
      <c r="C8286" s="76"/>
    </row>
    <row r="8287" spans="1:3" x14ac:dyDescent="0.2">
      <c r="A8287" s="76"/>
      <c r="C8287" s="76"/>
    </row>
    <row r="8288" spans="1:3" x14ac:dyDescent="0.2">
      <c r="A8288" s="76"/>
      <c r="C8288" s="76"/>
    </row>
    <row r="8289" spans="1:3" x14ac:dyDescent="0.2">
      <c r="A8289" s="76"/>
      <c r="C8289" s="76"/>
    </row>
    <row r="8290" spans="1:3" x14ac:dyDescent="0.2">
      <c r="A8290" s="76"/>
      <c r="C8290" s="76"/>
    </row>
    <row r="8291" spans="1:3" x14ac:dyDescent="0.2">
      <c r="A8291" s="76"/>
      <c r="C8291" s="76"/>
    </row>
    <row r="8292" spans="1:3" x14ac:dyDescent="0.2">
      <c r="A8292" s="76"/>
      <c r="C8292" s="76"/>
    </row>
    <row r="8293" spans="1:3" x14ac:dyDescent="0.2">
      <c r="A8293" s="76"/>
      <c r="C8293" s="76"/>
    </row>
    <row r="8294" spans="1:3" x14ac:dyDescent="0.2">
      <c r="A8294" s="76"/>
      <c r="C8294" s="76"/>
    </row>
    <row r="8295" spans="1:3" x14ac:dyDescent="0.2">
      <c r="A8295" s="76"/>
      <c r="C8295" s="76"/>
    </row>
    <row r="8296" spans="1:3" x14ac:dyDescent="0.2">
      <c r="A8296" s="76"/>
      <c r="C8296" s="76"/>
    </row>
    <row r="8297" spans="1:3" x14ac:dyDescent="0.2">
      <c r="A8297" s="76"/>
      <c r="C8297" s="76"/>
    </row>
    <row r="8298" spans="1:3" x14ac:dyDescent="0.2">
      <c r="A8298" s="76"/>
      <c r="C8298" s="76"/>
    </row>
    <row r="8299" spans="1:3" x14ac:dyDescent="0.2">
      <c r="A8299" s="76"/>
      <c r="C8299" s="76"/>
    </row>
    <row r="8300" spans="1:3" x14ac:dyDescent="0.2">
      <c r="A8300" s="76"/>
      <c r="C8300" s="76"/>
    </row>
    <row r="8301" spans="1:3" x14ac:dyDescent="0.2">
      <c r="A8301" s="76"/>
      <c r="C8301" s="76"/>
    </row>
    <row r="8302" spans="1:3" x14ac:dyDescent="0.2">
      <c r="A8302" s="76"/>
      <c r="C8302" s="76"/>
    </row>
    <row r="8303" spans="1:3" x14ac:dyDescent="0.2">
      <c r="A8303" s="76"/>
      <c r="C8303" s="76"/>
    </row>
    <row r="8304" spans="1:3" x14ac:dyDescent="0.2">
      <c r="A8304" s="76"/>
      <c r="C8304" s="76"/>
    </row>
    <row r="8305" spans="1:3" x14ac:dyDescent="0.2">
      <c r="A8305" s="76"/>
      <c r="C8305" s="76"/>
    </row>
    <row r="8306" spans="1:3" x14ac:dyDescent="0.2">
      <c r="A8306" s="76"/>
      <c r="C8306" s="76"/>
    </row>
    <row r="8307" spans="1:3" x14ac:dyDescent="0.2">
      <c r="A8307" s="76"/>
      <c r="C8307" s="76"/>
    </row>
    <row r="8308" spans="1:3" x14ac:dyDescent="0.2">
      <c r="A8308" s="76"/>
      <c r="C8308" s="76"/>
    </row>
    <row r="8309" spans="1:3" x14ac:dyDescent="0.2">
      <c r="A8309" s="76"/>
      <c r="C8309" s="76"/>
    </row>
    <row r="8310" spans="1:3" x14ac:dyDescent="0.2">
      <c r="A8310" s="76"/>
      <c r="C8310" s="76"/>
    </row>
    <row r="8311" spans="1:3" x14ac:dyDescent="0.2">
      <c r="A8311" s="76"/>
      <c r="C8311" s="76"/>
    </row>
    <row r="8312" spans="1:3" x14ac:dyDescent="0.2">
      <c r="A8312" s="76"/>
      <c r="C8312" s="76"/>
    </row>
    <row r="8313" spans="1:3" x14ac:dyDescent="0.2">
      <c r="A8313" s="76"/>
      <c r="C8313" s="76"/>
    </row>
    <row r="8314" spans="1:3" x14ac:dyDescent="0.2">
      <c r="A8314" s="76"/>
      <c r="C8314" s="76"/>
    </row>
    <row r="8315" spans="1:3" x14ac:dyDescent="0.2">
      <c r="A8315" s="76"/>
      <c r="C8315" s="76"/>
    </row>
    <row r="8316" spans="1:3" x14ac:dyDescent="0.2">
      <c r="A8316" s="76"/>
      <c r="C8316" s="76"/>
    </row>
    <row r="8317" spans="1:3" x14ac:dyDescent="0.2">
      <c r="A8317" s="76"/>
      <c r="C8317" s="76"/>
    </row>
    <row r="8318" spans="1:3" x14ac:dyDescent="0.2">
      <c r="A8318" s="76"/>
      <c r="C8318" s="76"/>
    </row>
    <row r="8319" spans="1:3" x14ac:dyDescent="0.2">
      <c r="A8319" s="76"/>
      <c r="C8319" s="76"/>
    </row>
    <row r="8320" spans="1:3" x14ac:dyDescent="0.2">
      <c r="A8320" s="76"/>
      <c r="C8320" s="76"/>
    </row>
    <row r="8321" spans="1:3" x14ac:dyDescent="0.2">
      <c r="A8321" s="76"/>
      <c r="C8321" s="76"/>
    </row>
    <row r="8322" spans="1:3" x14ac:dyDescent="0.2">
      <c r="A8322" s="76"/>
      <c r="C8322" s="76"/>
    </row>
    <row r="8323" spans="1:3" x14ac:dyDescent="0.2">
      <c r="A8323" s="76"/>
      <c r="C8323" s="76"/>
    </row>
    <row r="8324" spans="1:3" x14ac:dyDescent="0.2">
      <c r="A8324" s="76"/>
      <c r="C8324" s="76"/>
    </row>
    <row r="8325" spans="1:3" x14ac:dyDescent="0.2">
      <c r="A8325" s="76"/>
      <c r="C8325" s="76"/>
    </row>
    <row r="8326" spans="1:3" x14ac:dyDescent="0.2">
      <c r="A8326" s="76"/>
      <c r="C8326" s="76"/>
    </row>
    <row r="8327" spans="1:3" x14ac:dyDescent="0.2">
      <c r="A8327" s="76"/>
      <c r="C8327" s="76"/>
    </row>
    <row r="8328" spans="1:3" x14ac:dyDescent="0.2">
      <c r="A8328" s="76"/>
      <c r="C8328" s="76"/>
    </row>
    <row r="8329" spans="1:3" x14ac:dyDescent="0.2">
      <c r="A8329" s="76"/>
      <c r="C8329" s="76"/>
    </row>
    <row r="8330" spans="1:3" x14ac:dyDescent="0.2">
      <c r="A8330" s="76"/>
      <c r="C8330" s="76"/>
    </row>
    <row r="8331" spans="1:3" x14ac:dyDescent="0.2">
      <c r="A8331" s="76"/>
      <c r="C8331" s="76"/>
    </row>
    <row r="8332" spans="1:3" x14ac:dyDescent="0.2">
      <c r="A8332" s="76"/>
      <c r="C8332" s="76"/>
    </row>
    <row r="8333" spans="1:3" x14ac:dyDescent="0.2">
      <c r="A8333" s="76"/>
      <c r="C8333" s="76"/>
    </row>
    <row r="8334" spans="1:3" x14ac:dyDescent="0.2">
      <c r="A8334" s="76"/>
      <c r="C8334" s="76"/>
    </row>
    <row r="8335" spans="1:3" x14ac:dyDescent="0.2">
      <c r="A8335" s="76"/>
      <c r="C8335" s="76"/>
    </row>
    <row r="8336" spans="1:3" x14ac:dyDescent="0.2">
      <c r="A8336" s="76"/>
      <c r="C8336" s="76"/>
    </row>
    <row r="8337" spans="1:3" x14ac:dyDescent="0.2">
      <c r="A8337" s="76"/>
      <c r="C8337" s="76"/>
    </row>
    <row r="8338" spans="1:3" x14ac:dyDescent="0.2">
      <c r="A8338" s="76"/>
      <c r="C8338" s="76"/>
    </row>
    <row r="8339" spans="1:3" x14ac:dyDescent="0.2">
      <c r="A8339" s="76"/>
      <c r="C8339" s="76"/>
    </row>
    <row r="8340" spans="1:3" x14ac:dyDescent="0.2">
      <c r="A8340" s="76"/>
      <c r="C8340" s="76"/>
    </row>
    <row r="8341" spans="1:3" x14ac:dyDescent="0.2">
      <c r="A8341" s="76"/>
      <c r="C8341" s="76"/>
    </row>
    <row r="8342" spans="1:3" x14ac:dyDescent="0.2">
      <c r="A8342" s="76"/>
      <c r="C8342" s="76"/>
    </row>
    <row r="8343" spans="1:3" x14ac:dyDescent="0.2">
      <c r="A8343" s="76"/>
      <c r="C8343" s="76"/>
    </row>
    <row r="8344" spans="1:3" x14ac:dyDescent="0.2">
      <c r="A8344" s="76"/>
      <c r="C8344" s="76"/>
    </row>
    <row r="8345" spans="1:3" x14ac:dyDescent="0.2">
      <c r="A8345" s="76"/>
      <c r="C8345" s="76"/>
    </row>
    <row r="8346" spans="1:3" x14ac:dyDescent="0.2">
      <c r="A8346" s="76"/>
      <c r="C8346" s="76"/>
    </row>
    <row r="8347" spans="1:3" x14ac:dyDescent="0.2">
      <c r="A8347" s="76"/>
      <c r="C8347" s="76"/>
    </row>
    <row r="8348" spans="1:3" x14ac:dyDescent="0.2">
      <c r="A8348" s="76"/>
      <c r="C8348" s="76"/>
    </row>
    <row r="8349" spans="1:3" x14ac:dyDescent="0.2">
      <c r="A8349" s="76"/>
      <c r="C8349" s="76"/>
    </row>
    <row r="8350" spans="1:3" x14ac:dyDescent="0.2">
      <c r="A8350" s="76"/>
      <c r="C8350" s="76"/>
    </row>
    <row r="8351" spans="1:3" x14ac:dyDescent="0.2">
      <c r="A8351" s="76"/>
      <c r="C8351" s="76"/>
    </row>
    <row r="8352" spans="1:3" x14ac:dyDescent="0.2">
      <c r="A8352" s="76"/>
      <c r="C8352" s="76"/>
    </row>
    <row r="8353" spans="1:3" x14ac:dyDescent="0.2">
      <c r="A8353" s="76"/>
      <c r="C8353" s="76"/>
    </row>
    <row r="8354" spans="1:3" x14ac:dyDescent="0.2">
      <c r="A8354" s="76"/>
      <c r="C8354" s="76"/>
    </row>
    <row r="8355" spans="1:3" x14ac:dyDescent="0.2">
      <c r="A8355" s="76"/>
      <c r="C8355" s="76"/>
    </row>
    <row r="8356" spans="1:3" x14ac:dyDescent="0.2">
      <c r="A8356" s="76"/>
      <c r="C8356" s="76"/>
    </row>
    <row r="8357" spans="1:3" x14ac:dyDescent="0.2">
      <c r="A8357" s="76"/>
      <c r="C8357" s="76"/>
    </row>
    <row r="8358" spans="1:3" x14ac:dyDescent="0.2">
      <c r="A8358" s="76"/>
      <c r="C8358" s="76"/>
    </row>
    <row r="8359" spans="1:3" x14ac:dyDescent="0.2">
      <c r="A8359" s="76"/>
      <c r="C8359" s="76"/>
    </row>
    <row r="8360" spans="1:3" x14ac:dyDescent="0.2">
      <c r="A8360" s="76"/>
      <c r="C8360" s="76"/>
    </row>
    <row r="8361" spans="1:3" x14ac:dyDescent="0.2">
      <c r="A8361" s="76"/>
      <c r="C8361" s="76"/>
    </row>
    <row r="8362" spans="1:3" x14ac:dyDescent="0.2">
      <c r="A8362" s="76"/>
      <c r="C8362" s="76"/>
    </row>
    <row r="8363" spans="1:3" x14ac:dyDescent="0.2">
      <c r="A8363" s="76"/>
      <c r="C8363" s="76"/>
    </row>
    <row r="8364" spans="1:3" x14ac:dyDescent="0.2">
      <c r="A8364" s="76"/>
      <c r="C8364" s="76"/>
    </row>
    <row r="8365" spans="1:3" x14ac:dyDescent="0.2">
      <c r="A8365" s="76"/>
      <c r="C8365" s="76"/>
    </row>
    <row r="8366" spans="1:3" x14ac:dyDescent="0.2">
      <c r="A8366" s="76"/>
      <c r="C8366" s="76"/>
    </row>
    <row r="8367" spans="1:3" x14ac:dyDescent="0.2">
      <c r="A8367" s="76"/>
      <c r="C8367" s="76"/>
    </row>
    <row r="8368" spans="1:3" x14ac:dyDescent="0.2">
      <c r="A8368" s="76"/>
      <c r="C8368" s="76"/>
    </row>
    <row r="8369" spans="1:3" x14ac:dyDescent="0.2">
      <c r="A8369" s="76"/>
      <c r="C8369" s="76"/>
    </row>
    <row r="8370" spans="1:3" x14ac:dyDescent="0.2">
      <c r="A8370" s="76"/>
      <c r="C8370" s="76"/>
    </row>
    <row r="8371" spans="1:3" x14ac:dyDescent="0.2">
      <c r="A8371" s="76"/>
      <c r="C8371" s="76"/>
    </row>
    <row r="8372" spans="1:3" x14ac:dyDescent="0.2">
      <c r="A8372" s="76"/>
      <c r="C8372" s="76"/>
    </row>
    <row r="8373" spans="1:3" x14ac:dyDescent="0.2">
      <c r="A8373" s="76"/>
      <c r="C8373" s="76"/>
    </row>
    <row r="8374" spans="1:3" x14ac:dyDescent="0.2">
      <c r="A8374" s="76"/>
      <c r="C8374" s="76"/>
    </row>
    <row r="8375" spans="1:3" x14ac:dyDescent="0.2">
      <c r="A8375" s="76"/>
      <c r="C8375" s="76"/>
    </row>
    <row r="8376" spans="1:3" x14ac:dyDescent="0.2">
      <c r="A8376" s="76"/>
      <c r="C8376" s="76"/>
    </row>
    <row r="8377" spans="1:3" x14ac:dyDescent="0.2">
      <c r="A8377" s="76"/>
      <c r="C8377" s="76"/>
    </row>
    <row r="8378" spans="1:3" x14ac:dyDescent="0.2">
      <c r="A8378" s="76"/>
      <c r="C8378" s="76"/>
    </row>
    <row r="8379" spans="1:3" x14ac:dyDescent="0.2">
      <c r="A8379" s="76"/>
      <c r="C8379" s="76"/>
    </row>
    <row r="8380" spans="1:3" x14ac:dyDescent="0.2">
      <c r="A8380" s="76"/>
      <c r="C8380" s="76"/>
    </row>
    <row r="8381" spans="1:3" x14ac:dyDescent="0.2">
      <c r="A8381" s="76"/>
      <c r="C8381" s="76"/>
    </row>
    <row r="8382" spans="1:3" x14ac:dyDescent="0.2">
      <c r="A8382" s="76"/>
      <c r="C8382" s="76"/>
    </row>
    <row r="8383" spans="1:3" x14ac:dyDescent="0.2">
      <c r="A8383" s="76"/>
      <c r="C8383" s="76"/>
    </row>
    <row r="8384" spans="1:3" x14ac:dyDescent="0.2">
      <c r="A8384" s="76"/>
      <c r="C8384" s="76"/>
    </row>
    <row r="8385" spans="1:3" x14ac:dyDescent="0.2">
      <c r="A8385" s="76"/>
      <c r="C8385" s="76"/>
    </row>
    <row r="8386" spans="1:3" x14ac:dyDescent="0.2">
      <c r="A8386" s="76"/>
      <c r="C8386" s="76"/>
    </row>
    <row r="8387" spans="1:3" x14ac:dyDescent="0.2">
      <c r="A8387" s="76"/>
      <c r="C8387" s="76"/>
    </row>
    <row r="8388" spans="1:3" x14ac:dyDescent="0.2">
      <c r="A8388" s="76"/>
      <c r="C8388" s="76"/>
    </row>
    <row r="8389" spans="1:3" x14ac:dyDescent="0.2">
      <c r="A8389" s="76"/>
      <c r="C8389" s="76"/>
    </row>
    <row r="8390" spans="1:3" x14ac:dyDescent="0.2">
      <c r="A8390" s="76"/>
      <c r="C8390" s="76"/>
    </row>
    <row r="8391" spans="1:3" x14ac:dyDescent="0.2">
      <c r="A8391" s="76"/>
      <c r="C8391" s="76"/>
    </row>
    <row r="8392" spans="1:3" x14ac:dyDescent="0.2">
      <c r="A8392" s="76"/>
      <c r="C8392" s="76"/>
    </row>
    <row r="8393" spans="1:3" x14ac:dyDescent="0.2">
      <c r="A8393" s="76"/>
      <c r="C8393" s="76"/>
    </row>
    <row r="8394" spans="1:3" x14ac:dyDescent="0.2">
      <c r="A8394" s="76"/>
      <c r="C8394" s="76"/>
    </row>
    <row r="8395" spans="1:3" x14ac:dyDescent="0.2">
      <c r="A8395" s="76"/>
      <c r="C8395" s="76"/>
    </row>
    <row r="8396" spans="1:3" x14ac:dyDescent="0.2">
      <c r="A8396" s="76"/>
      <c r="C8396" s="76"/>
    </row>
    <row r="8397" spans="1:3" x14ac:dyDescent="0.2">
      <c r="A8397" s="76"/>
      <c r="C8397" s="76"/>
    </row>
    <row r="8398" spans="1:3" x14ac:dyDescent="0.2">
      <c r="A8398" s="76"/>
      <c r="C8398" s="76"/>
    </row>
    <row r="8399" spans="1:3" x14ac:dyDescent="0.2">
      <c r="A8399" s="76"/>
      <c r="C8399" s="76"/>
    </row>
    <row r="8400" spans="1:3" x14ac:dyDescent="0.2">
      <c r="A8400" s="76"/>
      <c r="C8400" s="76"/>
    </row>
    <row r="8401" spans="1:3" x14ac:dyDescent="0.2">
      <c r="A8401" s="76"/>
      <c r="C8401" s="76"/>
    </row>
    <row r="8402" spans="1:3" x14ac:dyDescent="0.2">
      <c r="A8402" s="76"/>
      <c r="C8402" s="76"/>
    </row>
    <row r="8403" spans="1:3" x14ac:dyDescent="0.2">
      <c r="A8403" s="76"/>
      <c r="C8403" s="76"/>
    </row>
    <row r="8404" spans="1:3" x14ac:dyDescent="0.2">
      <c r="A8404" s="76"/>
      <c r="C8404" s="76"/>
    </row>
    <row r="8405" spans="1:3" x14ac:dyDescent="0.2">
      <c r="A8405" s="76"/>
      <c r="C8405" s="76"/>
    </row>
    <row r="8406" spans="1:3" x14ac:dyDescent="0.2">
      <c r="A8406" s="76"/>
      <c r="C8406" s="76"/>
    </row>
    <row r="8407" spans="1:3" x14ac:dyDescent="0.2">
      <c r="A8407" s="76"/>
      <c r="C8407" s="76"/>
    </row>
    <row r="8408" spans="1:3" x14ac:dyDescent="0.2">
      <c r="A8408" s="76"/>
      <c r="C8408" s="76"/>
    </row>
    <row r="8409" spans="1:3" x14ac:dyDescent="0.2">
      <c r="A8409" s="76"/>
      <c r="C8409" s="76"/>
    </row>
    <row r="8410" spans="1:3" x14ac:dyDescent="0.2">
      <c r="A8410" s="76"/>
      <c r="C8410" s="76"/>
    </row>
    <row r="8411" spans="1:3" x14ac:dyDescent="0.2">
      <c r="A8411" s="76"/>
      <c r="C8411" s="76"/>
    </row>
    <row r="8412" spans="1:3" x14ac:dyDescent="0.2">
      <c r="A8412" s="76"/>
      <c r="C8412" s="76"/>
    </row>
    <row r="8413" spans="1:3" x14ac:dyDescent="0.2">
      <c r="A8413" s="76"/>
      <c r="C8413" s="76"/>
    </row>
    <row r="8414" spans="1:3" x14ac:dyDescent="0.2">
      <c r="A8414" s="76"/>
      <c r="C8414" s="76"/>
    </row>
    <row r="8415" spans="1:3" x14ac:dyDescent="0.2">
      <c r="A8415" s="76"/>
      <c r="C8415" s="76"/>
    </row>
    <row r="8416" spans="1:3" x14ac:dyDescent="0.2">
      <c r="A8416" s="76"/>
      <c r="C8416" s="76"/>
    </row>
    <row r="8417" spans="1:3" x14ac:dyDescent="0.2">
      <c r="A8417" s="76"/>
      <c r="C8417" s="76"/>
    </row>
    <row r="8418" spans="1:3" x14ac:dyDescent="0.2">
      <c r="A8418" s="76"/>
      <c r="C8418" s="76"/>
    </row>
    <row r="8419" spans="1:3" x14ac:dyDescent="0.2">
      <c r="A8419" s="76"/>
      <c r="C8419" s="76"/>
    </row>
    <row r="8420" spans="1:3" x14ac:dyDescent="0.2">
      <c r="A8420" s="76"/>
      <c r="C8420" s="76"/>
    </row>
    <row r="8421" spans="1:3" x14ac:dyDescent="0.2">
      <c r="A8421" s="76"/>
      <c r="C8421" s="76"/>
    </row>
    <row r="8422" spans="1:3" x14ac:dyDescent="0.2">
      <c r="A8422" s="76"/>
      <c r="C8422" s="76"/>
    </row>
    <row r="8423" spans="1:3" x14ac:dyDescent="0.2">
      <c r="A8423" s="76"/>
      <c r="C8423" s="76"/>
    </row>
    <row r="8424" spans="1:3" x14ac:dyDescent="0.2">
      <c r="A8424" s="76"/>
      <c r="C8424" s="76"/>
    </row>
    <row r="8425" spans="1:3" x14ac:dyDescent="0.2">
      <c r="A8425" s="76"/>
      <c r="C8425" s="76"/>
    </row>
    <row r="8426" spans="1:3" x14ac:dyDescent="0.2">
      <c r="A8426" s="76"/>
      <c r="C8426" s="76"/>
    </row>
    <row r="8427" spans="1:3" x14ac:dyDescent="0.2">
      <c r="A8427" s="76"/>
      <c r="C8427" s="76"/>
    </row>
    <row r="8428" spans="1:3" x14ac:dyDescent="0.2">
      <c r="A8428" s="76"/>
      <c r="C8428" s="76"/>
    </row>
    <row r="8429" spans="1:3" x14ac:dyDescent="0.2">
      <c r="A8429" s="76"/>
      <c r="C8429" s="76"/>
    </row>
    <row r="8430" spans="1:3" x14ac:dyDescent="0.2">
      <c r="A8430" s="76"/>
      <c r="C8430" s="76"/>
    </row>
    <row r="8431" spans="1:3" x14ac:dyDescent="0.2">
      <c r="A8431" s="76"/>
      <c r="C8431" s="76"/>
    </row>
    <row r="8432" spans="1:3" x14ac:dyDescent="0.2">
      <c r="A8432" s="76"/>
      <c r="C8432" s="76"/>
    </row>
    <row r="8433" spans="1:3" x14ac:dyDescent="0.2">
      <c r="A8433" s="76"/>
      <c r="C8433" s="76"/>
    </row>
    <row r="8434" spans="1:3" x14ac:dyDescent="0.2">
      <c r="A8434" s="76"/>
      <c r="C8434" s="76"/>
    </row>
    <row r="8435" spans="1:3" x14ac:dyDescent="0.2">
      <c r="A8435" s="76"/>
      <c r="C8435" s="76"/>
    </row>
    <row r="8436" spans="1:3" x14ac:dyDescent="0.2">
      <c r="A8436" s="76"/>
      <c r="C8436" s="76"/>
    </row>
    <row r="8437" spans="1:3" x14ac:dyDescent="0.2">
      <c r="A8437" s="76"/>
      <c r="C8437" s="76"/>
    </row>
    <row r="8438" spans="1:3" x14ac:dyDescent="0.2">
      <c r="A8438" s="76"/>
      <c r="C8438" s="76"/>
    </row>
    <row r="8439" spans="1:3" x14ac:dyDescent="0.2">
      <c r="A8439" s="76"/>
      <c r="C8439" s="76"/>
    </row>
    <row r="8440" spans="1:3" x14ac:dyDescent="0.2">
      <c r="A8440" s="76"/>
      <c r="C8440" s="76"/>
    </row>
    <row r="8441" spans="1:3" x14ac:dyDescent="0.2">
      <c r="A8441" s="76"/>
      <c r="C8441" s="76"/>
    </row>
    <row r="8442" spans="1:3" x14ac:dyDescent="0.2">
      <c r="A8442" s="76"/>
      <c r="C8442" s="76"/>
    </row>
    <row r="8443" spans="1:3" x14ac:dyDescent="0.2">
      <c r="A8443" s="76"/>
      <c r="C8443" s="76"/>
    </row>
    <row r="8444" spans="1:3" x14ac:dyDescent="0.2">
      <c r="A8444" s="76"/>
      <c r="C8444" s="76"/>
    </row>
    <row r="8445" spans="1:3" x14ac:dyDescent="0.2">
      <c r="A8445" s="76"/>
      <c r="C8445" s="76"/>
    </row>
    <row r="8446" spans="1:3" x14ac:dyDescent="0.2">
      <c r="A8446" s="76"/>
      <c r="C8446" s="76"/>
    </row>
    <row r="8447" spans="1:3" x14ac:dyDescent="0.2">
      <c r="A8447" s="76"/>
      <c r="C8447" s="76"/>
    </row>
    <row r="8448" spans="1:3" x14ac:dyDescent="0.2">
      <c r="A8448" s="76"/>
      <c r="C8448" s="76"/>
    </row>
    <row r="8449" spans="1:3" x14ac:dyDescent="0.2">
      <c r="A8449" s="76"/>
      <c r="C8449" s="76"/>
    </row>
    <row r="8450" spans="1:3" x14ac:dyDescent="0.2">
      <c r="A8450" s="76"/>
      <c r="C8450" s="76"/>
    </row>
    <row r="8451" spans="1:3" x14ac:dyDescent="0.2">
      <c r="A8451" s="76"/>
      <c r="C8451" s="76"/>
    </row>
    <row r="8452" spans="1:3" x14ac:dyDescent="0.2">
      <c r="A8452" s="76"/>
      <c r="C8452" s="76"/>
    </row>
    <row r="8453" spans="1:3" x14ac:dyDescent="0.2">
      <c r="A8453" s="76"/>
      <c r="C8453" s="76"/>
    </row>
    <row r="8454" spans="1:3" x14ac:dyDescent="0.2">
      <c r="A8454" s="76"/>
      <c r="C8454" s="76"/>
    </row>
    <row r="8455" spans="1:3" x14ac:dyDescent="0.2">
      <c r="A8455" s="76"/>
      <c r="C8455" s="76"/>
    </row>
    <row r="8456" spans="1:3" x14ac:dyDescent="0.2">
      <c r="A8456" s="76"/>
      <c r="C8456" s="76"/>
    </row>
    <row r="8457" spans="1:3" x14ac:dyDescent="0.2">
      <c r="A8457" s="76"/>
      <c r="C8457" s="76"/>
    </row>
    <row r="8458" spans="1:3" x14ac:dyDescent="0.2">
      <c r="A8458" s="76"/>
      <c r="C8458" s="76"/>
    </row>
    <row r="8459" spans="1:3" x14ac:dyDescent="0.2">
      <c r="A8459" s="76"/>
      <c r="C8459" s="76"/>
    </row>
    <row r="8460" spans="1:3" x14ac:dyDescent="0.2">
      <c r="A8460" s="76"/>
      <c r="C8460" s="76"/>
    </row>
    <row r="8461" spans="1:3" x14ac:dyDescent="0.2">
      <c r="A8461" s="76"/>
      <c r="C8461" s="76"/>
    </row>
    <row r="8462" spans="1:3" x14ac:dyDescent="0.2">
      <c r="A8462" s="76"/>
      <c r="C8462" s="76"/>
    </row>
    <row r="8463" spans="1:3" x14ac:dyDescent="0.2">
      <c r="A8463" s="76"/>
      <c r="C8463" s="76"/>
    </row>
    <row r="8464" spans="1:3" x14ac:dyDescent="0.2">
      <c r="A8464" s="76"/>
      <c r="C8464" s="76"/>
    </row>
    <row r="8465" spans="1:3" x14ac:dyDescent="0.2">
      <c r="A8465" s="76"/>
      <c r="C8465" s="76"/>
    </row>
    <row r="8466" spans="1:3" x14ac:dyDescent="0.2">
      <c r="A8466" s="76"/>
      <c r="C8466" s="76"/>
    </row>
    <row r="8467" spans="1:3" x14ac:dyDescent="0.2">
      <c r="A8467" s="76"/>
      <c r="C8467" s="76"/>
    </row>
    <row r="8468" spans="1:3" x14ac:dyDescent="0.2">
      <c r="A8468" s="76"/>
      <c r="C8468" s="76"/>
    </row>
    <row r="8469" spans="1:3" x14ac:dyDescent="0.2">
      <c r="A8469" s="76"/>
      <c r="C8469" s="76"/>
    </row>
    <row r="8470" spans="1:3" x14ac:dyDescent="0.2">
      <c r="A8470" s="76"/>
      <c r="C8470" s="76"/>
    </row>
    <row r="8471" spans="1:3" x14ac:dyDescent="0.2">
      <c r="A8471" s="76"/>
      <c r="C8471" s="76"/>
    </row>
    <row r="8472" spans="1:3" x14ac:dyDescent="0.2">
      <c r="A8472" s="76"/>
      <c r="C8472" s="76"/>
    </row>
    <row r="8473" spans="1:3" x14ac:dyDescent="0.2">
      <c r="A8473" s="76"/>
      <c r="C8473" s="76"/>
    </row>
    <row r="8474" spans="1:3" x14ac:dyDescent="0.2">
      <c r="A8474" s="76"/>
      <c r="C8474" s="76"/>
    </row>
    <row r="8475" spans="1:3" x14ac:dyDescent="0.2">
      <c r="A8475" s="76"/>
      <c r="C8475" s="76"/>
    </row>
    <row r="8476" spans="1:3" x14ac:dyDescent="0.2">
      <c r="A8476" s="76"/>
      <c r="C8476" s="76"/>
    </row>
    <row r="8477" spans="1:3" x14ac:dyDescent="0.2">
      <c r="A8477" s="76"/>
      <c r="C8477" s="76"/>
    </row>
    <row r="8478" spans="1:3" x14ac:dyDescent="0.2">
      <c r="A8478" s="76"/>
      <c r="C8478" s="76"/>
    </row>
    <row r="8479" spans="1:3" x14ac:dyDescent="0.2">
      <c r="A8479" s="76"/>
      <c r="C8479" s="76"/>
    </row>
    <row r="8480" spans="1:3" x14ac:dyDescent="0.2">
      <c r="A8480" s="76"/>
      <c r="C8480" s="76"/>
    </row>
    <row r="8481" spans="1:3" x14ac:dyDescent="0.2">
      <c r="A8481" s="76"/>
      <c r="C8481" s="76"/>
    </row>
    <row r="8482" spans="1:3" x14ac:dyDescent="0.2">
      <c r="A8482" s="76"/>
      <c r="C8482" s="76"/>
    </row>
    <row r="8483" spans="1:3" x14ac:dyDescent="0.2">
      <c r="A8483" s="76"/>
      <c r="C8483" s="76"/>
    </row>
    <row r="8484" spans="1:3" x14ac:dyDescent="0.2">
      <c r="A8484" s="76"/>
      <c r="C8484" s="76"/>
    </row>
    <row r="8485" spans="1:3" x14ac:dyDescent="0.2">
      <c r="A8485" s="76"/>
      <c r="C8485" s="76"/>
    </row>
    <row r="8486" spans="1:3" x14ac:dyDescent="0.2">
      <c r="A8486" s="76"/>
      <c r="C8486" s="76"/>
    </row>
    <row r="8487" spans="1:3" x14ac:dyDescent="0.2">
      <c r="A8487" s="76"/>
      <c r="C8487" s="76"/>
    </row>
    <row r="8488" spans="1:3" x14ac:dyDescent="0.2">
      <c r="A8488" s="76"/>
      <c r="C8488" s="76"/>
    </row>
    <row r="8489" spans="1:3" x14ac:dyDescent="0.2">
      <c r="A8489" s="76"/>
      <c r="C8489" s="76"/>
    </row>
    <row r="8490" spans="1:3" x14ac:dyDescent="0.2">
      <c r="A8490" s="76"/>
      <c r="C8490" s="76"/>
    </row>
    <row r="8491" spans="1:3" x14ac:dyDescent="0.2">
      <c r="A8491" s="76"/>
      <c r="C8491" s="76"/>
    </row>
    <row r="8492" spans="1:3" x14ac:dyDescent="0.2">
      <c r="A8492" s="76"/>
      <c r="C8492" s="76"/>
    </row>
    <row r="8493" spans="1:3" x14ac:dyDescent="0.2">
      <c r="A8493" s="76"/>
      <c r="C8493" s="76"/>
    </row>
    <row r="8494" spans="1:3" x14ac:dyDescent="0.2">
      <c r="A8494" s="76"/>
      <c r="C8494" s="76"/>
    </row>
    <row r="8495" spans="1:3" x14ac:dyDescent="0.2">
      <c r="A8495" s="76"/>
      <c r="C8495" s="76"/>
    </row>
    <row r="8496" spans="1:3" x14ac:dyDescent="0.2">
      <c r="A8496" s="76"/>
      <c r="C8496" s="76"/>
    </row>
    <row r="8497" spans="1:3" x14ac:dyDescent="0.2">
      <c r="A8497" s="76"/>
      <c r="C8497" s="76"/>
    </row>
    <row r="8498" spans="1:3" x14ac:dyDescent="0.2">
      <c r="A8498" s="76"/>
      <c r="C8498" s="76"/>
    </row>
    <row r="8499" spans="1:3" x14ac:dyDescent="0.2">
      <c r="A8499" s="76"/>
      <c r="C8499" s="76"/>
    </row>
    <row r="8500" spans="1:3" x14ac:dyDescent="0.2">
      <c r="A8500" s="76"/>
      <c r="C8500" s="76"/>
    </row>
    <row r="8501" spans="1:3" x14ac:dyDescent="0.2">
      <c r="A8501" s="76"/>
      <c r="C8501" s="76"/>
    </row>
    <row r="8502" spans="1:3" x14ac:dyDescent="0.2">
      <c r="A8502" s="76"/>
      <c r="C8502" s="76"/>
    </row>
    <row r="8503" spans="1:3" x14ac:dyDescent="0.2">
      <c r="A8503" s="76"/>
      <c r="C8503" s="76"/>
    </row>
    <row r="8504" spans="1:3" x14ac:dyDescent="0.2">
      <c r="A8504" s="76"/>
      <c r="C8504" s="76"/>
    </row>
    <row r="8505" spans="1:3" x14ac:dyDescent="0.2">
      <c r="A8505" s="76"/>
      <c r="C8505" s="76"/>
    </row>
    <row r="8506" spans="1:3" x14ac:dyDescent="0.2">
      <c r="A8506" s="76"/>
      <c r="C8506" s="76"/>
    </row>
    <row r="8507" spans="1:3" x14ac:dyDescent="0.2">
      <c r="A8507" s="76"/>
      <c r="C8507" s="76"/>
    </row>
    <row r="8508" spans="1:3" x14ac:dyDescent="0.2">
      <c r="A8508" s="76"/>
      <c r="C8508" s="76"/>
    </row>
    <row r="8509" spans="1:3" x14ac:dyDescent="0.2">
      <c r="A8509" s="76"/>
      <c r="C8509" s="76"/>
    </row>
    <row r="8510" spans="1:3" x14ac:dyDescent="0.2">
      <c r="A8510" s="76"/>
      <c r="C8510" s="76"/>
    </row>
    <row r="8511" spans="1:3" x14ac:dyDescent="0.2">
      <c r="A8511" s="76"/>
      <c r="C8511" s="76"/>
    </row>
    <row r="8512" spans="1:3" x14ac:dyDescent="0.2">
      <c r="A8512" s="76"/>
      <c r="C8512" s="76"/>
    </row>
    <row r="8513" spans="1:3" x14ac:dyDescent="0.2">
      <c r="A8513" s="76"/>
      <c r="C8513" s="76"/>
    </row>
    <row r="8514" spans="1:3" x14ac:dyDescent="0.2">
      <c r="A8514" s="76"/>
      <c r="C8514" s="76"/>
    </row>
    <row r="8515" spans="1:3" x14ac:dyDescent="0.2">
      <c r="A8515" s="76"/>
      <c r="C8515" s="76"/>
    </row>
    <row r="8516" spans="1:3" x14ac:dyDescent="0.2">
      <c r="A8516" s="76"/>
      <c r="C8516" s="76"/>
    </row>
    <row r="8517" spans="1:3" x14ac:dyDescent="0.2">
      <c r="A8517" s="76"/>
      <c r="C8517" s="76"/>
    </row>
    <row r="8518" spans="1:3" x14ac:dyDescent="0.2">
      <c r="A8518" s="76"/>
      <c r="C8518" s="76"/>
    </row>
    <row r="8519" spans="1:3" x14ac:dyDescent="0.2">
      <c r="A8519" s="76"/>
      <c r="C8519" s="76"/>
    </row>
    <row r="8520" spans="1:3" x14ac:dyDescent="0.2">
      <c r="A8520" s="76"/>
      <c r="C8520" s="76"/>
    </row>
    <row r="8521" spans="1:3" x14ac:dyDescent="0.2">
      <c r="A8521" s="76"/>
      <c r="C8521" s="76"/>
    </row>
    <row r="8522" spans="1:3" x14ac:dyDescent="0.2">
      <c r="A8522" s="76"/>
      <c r="C8522" s="76"/>
    </row>
    <row r="8523" spans="1:3" x14ac:dyDescent="0.2">
      <c r="A8523" s="76"/>
      <c r="C8523" s="76"/>
    </row>
    <row r="8524" spans="1:3" x14ac:dyDescent="0.2">
      <c r="A8524" s="76"/>
      <c r="C8524" s="76"/>
    </row>
    <row r="8525" spans="1:3" x14ac:dyDescent="0.2">
      <c r="A8525" s="76"/>
      <c r="C8525" s="76"/>
    </row>
    <row r="8526" spans="1:3" x14ac:dyDescent="0.2">
      <c r="A8526" s="76"/>
      <c r="C8526" s="76"/>
    </row>
    <row r="8527" spans="1:3" x14ac:dyDescent="0.2">
      <c r="A8527" s="76"/>
      <c r="C8527" s="76"/>
    </row>
    <row r="8528" spans="1:3" x14ac:dyDescent="0.2">
      <c r="A8528" s="76"/>
      <c r="C8528" s="76"/>
    </row>
    <row r="8529" spans="1:3" x14ac:dyDescent="0.2">
      <c r="A8529" s="76"/>
      <c r="C8529" s="76"/>
    </row>
    <row r="8530" spans="1:3" x14ac:dyDescent="0.2">
      <c r="A8530" s="76"/>
      <c r="C8530" s="76"/>
    </row>
    <row r="8531" spans="1:3" x14ac:dyDescent="0.2">
      <c r="A8531" s="76"/>
      <c r="C8531" s="76"/>
    </row>
    <row r="8532" spans="1:3" x14ac:dyDescent="0.2">
      <c r="A8532" s="76"/>
      <c r="C8532" s="76"/>
    </row>
    <row r="8533" spans="1:3" x14ac:dyDescent="0.2">
      <c r="A8533" s="76"/>
      <c r="C8533" s="76"/>
    </row>
    <row r="8534" spans="1:3" x14ac:dyDescent="0.2">
      <c r="A8534" s="76"/>
      <c r="C8534" s="76"/>
    </row>
    <row r="8535" spans="1:3" x14ac:dyDescent="0.2">
      <c r="A8535" s="76"/>
      <c r="C8535" s="76"/>
    </row>
    <row r="8536" spans="1:3" x14ac:dyDescent="0.2">
      <c r="A8536" s="76"/>
      <c r="C8536" s="76"/>
    </row>
    <row r="8537" spans="1:3" x14ac:dyDescent="0.2">
      <c r="A8537" s="76"/>
      <c r="C8537" s="76"/>
    </row>
    <row r="8538" spans="1:3" x14ac:dyDescent="0.2">
      <c r="A8538" s="76"/>
      <c r="C8538" s="76"/>
    </row>
    <row r="8539" spans="1:3" x14ac:dyDescent="0.2">
      <c r="A8539" s="76"/>
      <c r="C8539" s="76"/>
    </row>
    <row r="8540" spans="1:3" x14ac:dyDescent="0.2">
      <c r="A8540" s="76"/>
      <c r="C8540" s="76"/>
    </row>
    <row r="8541" spans="1:3" x14ac:dyDescent="0.2">
      <c r="A8541" s="76"/>
      <c r="C8541" s="76"/>
    </row>
    <row r="8542" spans="1:3" x14ac:dyDescent="0.2">
      <c r="A8542" s="76"/>
      <c r="C8542" s="76"/>
    </row>
    <row r="8543" spans="1:3" x14ac:dyDescent="0.2">
      <c r="A8543" s="76"/>
      <c r="C8543" s="76"/>
    </row>
    <row r="8544" spans="1:3" x14ac:dyDescent="0.2">
      <c r="A8544" s="76"/>
      <c r="C8544" s="76"/>
    </row>
    <row r="8545" spans="1:3" x14ac:dyDescent="0.2">
      <c r="A8545" s="76"/>
      <c r="C8545" s="76"/>
    </row>
    <row r="8546" spans="1:3" x14ac:dyDescent="0.2">
      <c r="A8546" s="76"/>
      <c r="C8546" s="76"/>
    </row>
    <row r="8547" spans="1:3" x14ac:dyDescent="0.2">
      <c r="A8547" s="76"/>
      <c r="C8547" s="76"/>
    </row>
    <row r="8548" spans="1:3" x14ac:dyDescent="0.2">
      <c r="A8548" s="76"/>
      <c r="C8548" s="76"/>
    </row>
    <row r="8549" spans="1:3" x14ac:dyDescent="0.2">
      <c r="A8549" s="76"/>
      <c r="C8549" s="76"/>
    </row>
    <row r="8550" spans="1:3" x14ac:dyDescent="0.2">
      <c r="A8550" s="76"/>
      <c r="C8550" s="76"/>
    </row>
    <row r="8551" spans="1:3" x14ac:dyDescent="0.2">
      <c r="A8551" s="76"/>
      <c r="C8551" s="76"/>
    </row>
    <row r="8552" spans="1:3" x14ac:dyDescent="0.2">
      <c r="A8552" s="76"/>
      <c r="C8552" s="76"/>
    </row>
    <row r="8553" spans="1:3" x14ac:dyDescent="0.2">
      <c r="A8553" s="76"/>
      <c r="C8553" s="76"/>
    </row>
    <row r="8554" spans="1:3" x14ac:dyDescent="0.2">
      <c r="A8554" s="76"/>
      <c r="C8554" s="76"/>
    </row>
    <row r="8555" spans="1:3" x14ac:dyDescent="0.2">
      <c r="A8555" s="76"/>
      <c r="C8555" s="76"/>
    </row>
    <row r="8556" spans="1:3" x14ac:dyDescent="0.2">
      <c r="A8556" s="76"/>
      <c r="C8556" s="76"/>
    </row>
    <row r="8557" spans="1:3" x14ac:dyDescent="0.2">
      <c r="A8557" s="76"/>
      <c r="C8557" s="76"/>
    </row>
    <row r="8558" spans="1:3" x14ac:dyDescent="0.2">
      <c r="A8558" s="76"/>
      <c r="C8558" s="76"/>
    </row>
    <row r="8559" spans="1:3" x14ac:dyDescent="0.2">
      <c r="A8559" s="76"/>
      <c r="C8559" s="76"/>
    </row>
    <row r="8560" spans="1:3" x14ac:dyDescent="0.2">
      <c r="A8560" s="76"/>
      <c r="C8560" s="76"/>
    </row>
    <row r="8561" spans="1:3" x14ac:dyDescent="0.2">
      <c r="A8561" s="76"/>
      <c r="C8561" s="76"/>
    </row>
    <row r="8562" spans="1:3" x14ac:dyDescent="0.2">
      <c r="A8562" s="76"/>
      <c r="C8562" s="76"/>
    </row>
    <row r="8563" spans="1:3" x14ac:dyDescent="0.2">
      <c r="A8563" s="76"/>
      <c r="C8563" s="76"/>
    </row>
    <row r="8564" spans="1:3" x14ac:dyDescent="0.2">
      <c r="A8564" s="76"/>
      <c r="C8564" s="76"/>
    </row>
    <row r="8565" spans="1:3" x14ac:dyDescent="0.2">
      <c r="A8565" s="76"/>
      <c r="C8565" s="76"/>
    </row>
    <row r="8566" spans="1:3" x14ac:dyDescent="0.2">
      <c r="A8566" s="76"/>
      <c r="C8566" s="76"/>
    </row>
    <row r="8567" spans="1:3" x14ac:dyDescent="0.2">
      <c r="A8567" s="76"/>
      <c r="C8567" s="76"/>
    </row>
    <row r="8568" spans="1:3" x14ac:dyDescent="0.2">
      <c r="A8568" s="76"/>
      <c r="C8568" s="76"/>
    </row>
    <row r="8569" spans="1:3" x14ac:dyDescent="0.2">
      <c r="A8569" s="76"/>
      <c r="C8569" s="76"/>
    </row>
    <row r="8570" spans="1:3" x14ac:dyDescent="0.2">
      <c r="A8570" s="76"/>
      <c r="C8570" s="76"/>
    </row>
    <row r="8571" spans="1:3" x14ac:dyDescent="0.2">
      <c r="A8571" s="76"/>
      <c r="C8571" s="76"/>
    </row>
    <row r="8572" spans="1:3" x14ac:dyDescent="0.2">
      <c r="A8572" s="76"/>
      <c r="C8572" s="76"/>
    </row>
    <row r="8573" spans="1:3" x14ac:dyDescent="0.2">
      <c r="A8573" s="76"/>
      <c r="C8573" s="76"/>
    </row>
    <row r="8574" spans="1:3" x14ac:dyDescent="0.2">
      <c r="A8574" s="76"/>
      <c r="C8574" s="76"/>
    </row>
    <row r="8575" spans="1:3" x14ac:dyDescent="0.2">
      <c r="A8575" s="76"/>
      <c r="C8575" s="76"/>
    </row>
    <row r="8576" spans="1:3" x14ac:dyDescent="0.2">
      <c r="A8576" s="76"/>
      <c r="C8576" s="76"/>
    </row>
    <row r="8577" spans="1:3" x14ac:dyDescent="0.2">
      <c r="A8577" s="76"/>
      <c r="C8577" s="76"/>
    </row>
    <row r="8578" spans="1:3" x14ac:dyDescent="0.2">
      <c r="A8578" s="76"/>
      <c r="C8578" s="76"/>
    </row>
    <row r="8579" spans="1:3" x14ac:dyDescent="0.2">
      <c r="A8579" s="76"/>
      <c r="C8579" s="76"/>
    </row>
    <row r="8580" spans="1:3" x14ac:dyDescent="0.2">
      <c r="A8580" s="76"/>
      <c r="C8580" s="76"/>
    </row>
    <row r="8581" spans="1:3" x14ac:dyDescent="0.2">
      <c r="A8581" s="76"/>
      <c r="C8581" s="76"/>
    </row>
    <row r="8582" spans="1:3" x14ac:dyDescent="0.2">
      <c r="A8582" s="76"/>
      <c r="C8582" s="76"/>
    </row>
    <row r="8583" spans="1:3" x14ac:dyDescent="0.2">
      <c r="A8583" s="76"/>
      <c r="C8583" s="76"/>
    </row>
    <row r="8584" spans="1:3" x14ac:dyDescent="0.2">
      <c r="A8584" s="76"/>
      <c r="C8584" s="76"/>
    </row>
    <row r="8585" spans="1:3" x14ac:dyDescent="0.2">
      <c r="A8585" s="76"/>
      <c r="C8585" s="76"/>
    </row>
    <row r="8586" spans="1:3" x14ac:dyDescent="0.2">
      <c r="A8586" s="76"/>
      <c r="C8586" s="76"/>
    </row>
    <row r="8587" spans="1:3" x14ac:dyDescent="0.2">
      <c r="A8587" s="76"/>
      <c r="C8587" s="76"/>
    </row>
    <row r="8588" spans="1:3" x14ac:dyDescent="0.2">
      <c r="A8588" s="76"/>
      <c r="C8588" s="76"/>
    </row>
    <row r="8589" spans="1:3" x14ac:dyDescent="0.2">
      <c r="A8589" s="76"/>
      <c r="C8589" s="76"/>
    </row>
    <row r="8590" spans="1:3" x14ac:dyDescent="0.2">
      <c r="A8590" s="76"/>
      <c r="C8590" s="76"/>
    </row>
    <row r="8591" spans="1:3" x14ac:dyDescent="0.2">
      <c r="A8591" s="76"/>
      <c r="C8591" s="76"/>
    </row>
    <row r="8592" spans="1:3" x14ac:dyDescent="0.2">
      <c r="A8592" s="76"/>
      <c r="C8592" s="76"/>
    </row>
    <row r="8593" spans="1:3" x14ac:dyDescent="0.2">
      <c r="A8593" s="76"/>
      <c r="C8593" s="76"/>
    </row>
    <row r="8594" spans="1:3" x14ac:dyDescent="0.2">
      <c r="A8594" s="76"/>
      <c r="C8594" s="76"/>
    </row>
    <row r="8595" spans="1:3" x14ac:dyDescent="0.2">
      <c r="A8595" s="76"/>
      <c r="C8595" s="76"/>
    </row>
    <row r="8596" spans="1:3" x14ac:dyDescent="0.2">
      <c r="A8596" s="76"/>
      <c r="C8596" s="76"/>
    </row>
    <row r="8597" spans="1:3" x14ac:dyDescent="0.2">
      <c r="A8597" s="76"/>
      <c r="C8597" s="76"/>
    </row>
    <row r="8598" spans="1:3" x14ac:dyDescent="0.2">
      <c r="A8598" s="76"/>
      <c r="C8598" s="76"/>
    </row>
    <row r="8599" spans="1:3" x14ac:dyDescent="0.2">
      <c r="A8599" s="76"/>
      <c r="C8599" s="76"/>
    </row>
    <row r="8600" spans="1:3" x14ac:dyDescent="0.2">
      <c r="A8600" s="76"/>
      <c r="C8600" s="76"/>
    </row>
    <row r="8601" spans="1:3" x14ac:dyDescent="0.2">
      <c r="A8601" s="76"/>
      <c r="C8601" s="76"/>
    </row>
    <row r="8602" spans="1:3" x14ac:dyDescent="0.2">
      <c r="A8602" s="76"/>
      <c r="C8602" s="76"/>
    </row>
    <row r="8603" spans="1:3" x14ac:dyDescent="0.2">
      <c r="A8603" s="76"/>
      <c r="C8603" s="76"/>
    </row>
    <row r="8604" spans="1:3" x14ac:dyDescent="0.2">
      <c r="A8604" s="76"/>
      <c r="C8604" s="76"/>
    </row>
    <row r="8605" spans="1:3" x14ac:dyDescent="0.2">
      <c r="A8605" s="76"/>
      <c r="C8605" s="76"/>
    </row>
    <row r="8606" spans="1:3" x14ac:dyDescent="0.2">
      <c r="A8606" s="76"/>
      <c r="C8606" s="76"/>
    </row>
    <row r="8607" spans="1:3" x14ac:dyDescent="0.2">
      <c r="A8607" s="76"/>
      <c r="C8607" s="76"/>
    </row>
    <row r="8608" spans="1:3" x14ac:dyDescent="0.2">
      <c r="A8608" s="76"/>
      <c r="C8608" s="76"/>
    </row>
    <row r="8609" spans="1:3" x14ac:dyDescent="0.2">
      <c r="A8609" s="76"/>
      <c r="C8609" s="76"/>
    </row>
    <row r="8610" spans="1:3" x14ac:dyDescent="0.2">
      <c r="A8610" s="76"/>
      <c r="C8610" s="76"/>
    </row>
    <row r="8611" spans="1:3" x14ac:dyDescent="0.2">
      <c r="A8611" s="76"/>
      <c r="C8611" s="76"/>
    </row>
    <row r="8612" spans="1:3" x14ac:dyDescent="0.2">
      <c r="A8612" s="76"/>
      <c r="C8612" s="76"/>
    </row>
    <row r="8613" spans="1:3" x14ac:dyDescent="0.2">
      <c r="A8613" s="76"/>
      <c r="C8613" s="76"/>
    </row>
    <row r="8614" spans="1:3" x14ac:dyDescent="0.2">
      <c r="A8614" s="76"/>
      <c r="C8614" s="76"/>
    </row>
    <row r="8615" spans="1:3" x14ac:dyDescent="0.2">
      <c r="A8615" s="76"/>
      <c r="C8615" s="76"/>
    </row>
    <row r="8616" spans="1:3" x14ac:dyDescent="0.2">
      <c r="A8616" s="76"/>
      <c r="C8616" s="76"/>
    </row>
    <row r="8617" spans="1:3" x14ac:dyDescent="0.2">
      <c r="A8617" s="76"/>
      <c r="C8617" s="76"/>
    </row>
    <row r="8618" spans="1:3" x14ac:dyDescent="0.2">
      <c r="A8618" s="76"/>
      <c r="C8618" s="76"/>
    </row>
    <row r="8619" spans="1:3" x14ac:dyDescent="0.2">
      <c r="A8619" s="76"/>
      <c r="C8619" s="76"/>
    </row>
    <row r="8620" spans="1:3" x14ac:dyDescent="0.2">
      <c r="A8620" s="76"/>
      <c r="C8620" s="76"/>
    </row>
    <row r="8621" spans="1:3" x14ac:dyDescent="0.2">
      <c r="A8621" s="76"/>
      <c r="C8621" s="76"/>
    </row>
    <row r="8622" spans="1:3" x14ac:dyDescent="0.2">
      <c r="A8622" s="76"/>
      <c r="C8622" s="76"/>
    </row>
    <row r="8623" spans="1:3" x14ac:dyDescent="0.2">
      <c r="A8623" s="76"/>
      <c r="C8623" s="76"/>
    </row>
    <row r="8624" spans="1:3" x14ac:dyDescent="0.2">
      <c r="A8624" s="76"/>
      <c r="C8624" s="76"/>
    </row>
    <row r="8625" spans="1:3" x14ac:dyDescent="0.2">
      <c r="A8625" s="76"/>
      <c r="C8625" s="76"/>
    </row>
    <row r="8626" spans="1:3" x14ac:dyDescent="0.2">
      <c r="A8626" s="76"/>
      <c r="C8626" s="76"/>
    </row>
    <row r="8627" spans="1:3" x14ac:dyDescent="0.2">
      <c r="A8627" s="76"/>
      <c r="C8627" s="76"/>
    </row>
    <row r="8628" spans="1:3" x14ac:dyDescent="0.2">
      <c r="A8628" s="76"/>
      <c r="C8628" s="76"/>
    </row>
    <row r="8629" spans="1:3" x14ac:dyDescent="0.2">
      <c r="A8629" s="76"/>
      <c r="C8629" s="76"/>
    </row>
    <row r="8630" spans="1:3" x14ac:dyDescent="0.2">
      <c r="A8630" s="76"/>
      <c r="C8630" s="76"/>
    </row>
    <row r="8631" spans="1:3" x14ac:dyDescent="0.2">
      <c r="A8631" s="76"/>
      <c r="C8631" s="76"/>
    </row>
    <row r="8632" spans="1:3" x14ac:dyDescent="0.2">
      <c r="A8632" s="76"/>
      <c r="C8632" s="76"/>
    </row>
    <row r="8633" spans="1:3" x14ac:dyDescent="0.2">
      <c r="A8633" s="76"/>
      <c r="C8633" s="76"/>
    </row>
    <row r="8634" spans="1:3" x14ac:dyDescent="0.2">
      <c r="A8634" s="76"/>
      <c r="C8634" s="76"/>
    </row>
    <row r="8635" spans="1:3" x14ac:dyDescent="0.2">
      <c r="A8635" s="76"/>
      <c r="C8635" s="76"/>
    </row>
    <row r="8636" spans="1:3" x14ac:dyDescent="0.2">
      <c r="A8636" s="76"/>
      <c r="C8636" s="76"/>
    </row>
    <row r="8637" spans="1:3" x14ac:dyDescent="0.2">
      <c r="A8637" s="76"/>
      <c r="C8637" s="76"/>
    </row>
    <row r="8638" spans="1:3" x14ac:dyDescent="0.2">
      <c r="A8638" s="76"/>
      <c r="C8638" s="76"/>
    </row>
    <row r="8639" spans="1:3" x14ac:dyDescent="0.2">
      <c r="A8639" s="76"/>
      <c r="C8639" s="76"/>
    </row>
    <row r="8640" spans="1:3" x14ac:dyDescent="0.2">
      <c r="A8640" s="76"/>
      <c r="C8640" s="76"/>
    </row>
    <row r="8641" spans="1:3" x14ac:dyDescent="0.2">
      <c r="A8641" s="76"/>
      <c r="C8641" s="76"/>
    </row>
    <row r="8642" spans="1:3" x14ac:dyDescent="0.2">
      <c r="A8642" s="76"/>
      <c r="C8642" s="76"/>
    </row>
    <row r="8643" spans="1:3" x14ac:dyDescent="0.2">
      <c r="A8643" s="76"/>
      <c r="C8643" s="76"/>
    </row>
    <row r="8644" spans="1:3" x14ac:dyDescent="0.2">
      <c r="A8644" s="76"/>
      <c r="C8644" s="76"/>
    </row>
    <row r="8645" spans="1:3" x14ac:dyDescent="0.2">
      <c r="A8645" s="76"/>
      <c r="C8645" s="76"/>
    </row>
    <row r="8646" spans="1:3" x14ac:dyDescent="0.2">
      <c r="A8646" s="76"/>
      <c r="C8646" s="76"/>
    </row>
    <row r="8647" spans="1:3" x14ac:dyDescent="0.2">
      <c r="A8647" s="76"/>
      <c r="C8647" s="76"/>
    </row>
    <row r="8648" spans="1:3" x14ac:dyDescent="0.2">
      <c r="A8648" s="76"/>
      <c r="C8648" s="76"/>
    </row>
    <row r="8649" spans="1:3" x14ac:dyDescent="0.2">
      <c r="A8649" s="76"/>
      <c r="C8649" s="76"/>
    </row>
    <row r="8650" spans="1:3" x14ac:dyDescent="0.2">
      <c r="A8650" s="76"/>
      <c r="C8650" s="76"/>
    </row>
    <row r="8651" spans="1:3" x14ac:dyDescent="0.2">
      <c r="A8651" s="76"/>
      <c r="C8651" s="76"/>
    </row>
    <row r="8652" spans="1:3" x14ac:dyDescent="0.2">
      <c r="A8652" s="76"/>
      <c r="C8652" s="76"/>
    </row>
    <row r="8653" spans="1:3" x14ac:dyDescent="0.2">
      <c r="A8653" s="76"/>
      <c r="C8653" s="76"/>
    </row>
    <row r="8654" spans="1:3" x14ac:dyDescent="0.2">
      <c r="A8654" s="76"/>
      <c r="C8654" s="76"/>
    </row>
    <row r="8655" spans="1:3" x14ac:dyDescent="0.2">
      <c r="A8655" s="76"/>
      <c r="C8655" s="76"/>
    </row>
    <row r="8656" spans="1:3" x14ac:dyDescent="0.2">
      <c r="A8656" s="76"/>
      <c r="C8656" s="76"/>
    </row>
    <row r="8657" spans="1:3" x14ac:dyDescent="0.2">
      <c r="A8657" s="76"/>
      <c r="C8657" s="76"/>
    </row>
    <row r="8658" spans="1:3" x14ac:dyDescent="0.2">
      <c r="A8658" s="76"/>
      <c r="C8658" s="76"/>
    </row>
    <row r="8659" spans="1:3" x14ac:dyDescent="0.2">
      <c r="A8659" s="76"/>
      <c r="C8659" s="76"/>
    </row>
    <row r="8660" spans="1:3" x14ac:dyDescent="0.2">
      <c r="A8660" s="76"/>
      <c r="C8660" s="76"/>
    </row>
    <row r="8661" spans="1:3" x14ac:dyDescent="0.2">
      <c r="A8661" s="76"/>
      <c r="C8661" s="76"/>
    </row>
    <row r="8662" spans="1:3" x14ac:dyDescent="0.2">
      <c r="A8662" s="76"/>
      <c r="C8662" s="76"/>
    </row>
    <row r="8663" spans="1:3" x14ac:dyDescent="0.2">
      <c r="A8663" s="76"/>
      <c r="C8663" s="76"/>
    </row>
    <row r="8664" spans="1:3" x14ac:dyDescent="0.2">
      <c r="A8664" s="76"/>
      <c r="C8664" s="76"/>
    </row>
    <row r="8665" spans="1:3" x14ac:dyDescent="0.2">
      <c r="A8665" s="76"/>
      <c r="C8665" s="76"/>
    </row>
    <row r="8666" spans="1:3" x14ac:dyDescent="0.2">
      <c r="A8666" s="76"/>
      <c r="C8666" s="76"/>
    </row>
    <row r="8667" spans="1:3" x14ac:dyDescent="0.2">
      <c r="A8667" s="76"/>
      <c r="C8667" s="76"/>
    </row>
    <row r="8668" spans="1:3" x14ac:dyDescent="0.2">
      <c r="A8668" s="76"/>
      <c r="C8668" s="76"/>
    </row>
    <row r="8669" spans="1:3" x14ac:dyDescent="0.2">
      <c r="A8669" s="76"/>
      <c r="C8669" s="76"/>
    </row>
    <row r="8670" spans="1:3" x14ac:dyDescent="0.2">
      <c r="A8670" s="76"/>
      <c r="C8670" s="76"/>
    </row>
    <row r="8671" spans="1:3" x14ac:dyDescent="0.2">
      <c r="A8671" s="76"/>
      <c r="C8671" s="76"/>
    </row>
    <row r="8672" spans="1:3" x14ac:dyDescent="0.2">
      <c r="A8672" s="76"/>
      <c r="C8672" s="76"/>
    </row>
    <row r="8673" spans="1:3" x14ac:dyDescent="0.2">
      <c r="A8673" s="76"/>
      <c r="C8673" s="76"/>
    </row>
    <row r="8674" spans="1:3" x14ac:dyDescent="0.2">
      <c r="A8674" s="76"/>
      <c r="C8674" s="76"/>
    </row>
    <row r="8675" spans="1:3" x14ac:dyDescent="0.2">
      <c r="A8675" s="76"/>
      <c r="C8675" s="76"/>
    </row>
    <row r="8676" spans="1:3" x14ac:dyDescent="0.2">
      <c r="A8676" s="76"/>
      <c r="C8676" s="76"/>
    </row>
    <row r="8677" spans="1:3" x14ac:dyDescent="0.2">
      <c r="A8677" s="76"/>
      <c r="C8677" s="76"/>
    </row>
    <row r="8678" spans="1:3" x14ac:dyDescent="0.2">
      <c r="A8678" s="76"/>
      <c r="C8678" s="76"/>
    </row>
    <row r="8679" spans="1:3" x14ac:dyDescent="0.2">
      <c r="A8679" s="76"/>
      <c r="C8679" s="76"/>
    </row>
    <row r="8680" spans="1:3" x14ac:dyDescent="0.2">
      <c r="A8680" s="76"/>
      <c r="C8680" s="76"/>
    </row>
    <row r="8681" spans="1:3" x14ac:dyDescent="0.2">
      <c r="A8681" s="76"/>
      <c r="C8681" s="76"/>
    </row>
    <row r="8682" spans="1:3" x14ac:dyDescent="0.2">
      <c r="A8682" s="76"/>
      <c r="C8682" s="76"/>
    </row>
    <row r="8683" spans="1:3" x14ac:dyDescent="0.2">
      <c r="A8683" s="76"/>
      <c r="C8683" s="76"/>
    </row>
    <row r="8684" spans="1:3" x14ac:dyDescent="0.2">
      <c r="A8684" s="76"/>
      <c r="C8684" s="76"/>
    </row>
    <row r="8685" spans="1:3" x14ac:dyDescent="0.2">
      <c r="A8685" s="76"/>
      <c r="C8685" s="76"/>
    </row>
    <row r="8686" spans="1:3" x14ac:dyDescent="0.2">
      <c r="A8686" s="76"/>
      <c r="C8686" s="76"/>
    </row>
    <row r="8687" spans="1:3" x14ac:dyDescent="0.2">
      <c r="A8687" s="76"/>
      <c r="C8687" s="76"/>
    </row>
    <row r="8688" spans="1:3" x14ac:dyDescent="0.2">
      <c r="A8688" s="76"/>
      <c r="C8688" s="76"/>
    </row>
    <row r="8689" spans="1:3" x14ac:dyDescent="0.2">
      <c r="A8689" s="76"/>
      <c r="C8689" s="76"/>
    </row>
    <row r="8690" spans="1:3" x14ac:dyDescent="0.2">
      <c r="A8690" s="76"/>
      <c r="C8690" s="76"/>
    </row>
    <row r="8691" spans="1:3" x14ac:dyDescent="0.2">
      <c r="A8691" s="76"/>
      <c r="C8691" s="76"/>
    </row>
    <row r="8692" spans="1:3" x14ac:dyDescent="0.2">
      <c r="A8692" s="76"/>
      <c r="C8692" s="76"/>
    </row>
    <row r="8693" spans="1:3" x14ac:dyDescent="0.2">
      <c r="A8693" s="76"/>
      <c r="C8693" s="76"/>
    </row>
    <row r="8694" spans="1:3" x14ac:dyDescent="0.2">
      <c r="A8694" s="76"/>
      <c r="C8694" s="76"/>
    </row>
    <row r="8695" spans="1:3" x14ac:dyDescent="0.2">
      <c r="A8695" s="76"/>
      <c r="C8695" s="76"/>
    </row>
    <row r="8696" spans="1:3" x14ac:dyDescent="0.2">
      <c r="A8696" s="76"/>
      <c r="C8696" s="76"/>
    </row>
    <row r="8697" spans="1:3" x14ac:dyDescent="0.2">
      <c r="A8697" s="76"/>
      <c r="C8697" s="76"/>
    </row>
    <row r="8698" spans="1:3" x14ac:dyDescent="0.2">
      <c r="A8698" s="76"/>
      <c r="C8698" s="76"/>
    </row>
    <row r="8699" spans="1:3" x14ac:dyDescent="0.2">
      <c r="A8699" s="76"/>
      <c r="C8699" s="76"/>
    </row>
    <row r="8700" spans="1:3" x14ac:dyDescent="0.2">
      <c r="A8700" s="76"/>
      <c r="C8700" s="76"/>
    </row>
    <row r="8701" spans="1:3" x14ac:dyDescent="0.2">
      <c r="A8701" s="76"/>
      <c r="C8701" s="76"/>
    </row>
    <row r="8702" spans="1:3" x14ac:dyDescent="0.2">
      <c r="A8702" s="76"/>
      <c r="C8702" s="76"/>
    </row>
    <row r="8703" spans="1:3" x14ac:dyDescent="0.2">
      <c r="A8703" s="76"/>
      <c r="C8703" s="76"/>
    </row>
    <row r="8704" spans="1:3" x14ac:dyDescent="0.2">
      <c r="A8704" s="76"/>
      <c r="C8704" s="76"/>
    </row>
    <row r="8705" spans="1:3" x14ac:dyDescent="0.2">
      <c r="A8705" s="76"/>
      <c r="C8705" s="76"/>
    </row>
    <row r="8706" spans="1:3" x14ac:dyDescent="0.2">
      <c r="A8706" s="76"/>
      <c r="C8706" s="76"/>
    </row>
    <row r="8707" spans="1:3" x14ac:dyDescent="0.2">
      <c r="A8707" s="76"/>
      <c r="C8707" s="76"/>
    </row>
    <row r="8708" spans="1:3" x14ac:dyDescent="0.2">
      <c r="A8708" s="76"/>
      <c r="C8708" s="76"/>
    </row>
    <row r="8709" spans="1:3" x14ac:dyDescent="0.2">
      <c r="A8709" s="76"/>
      <c r="C8709" s="76"/>
    </row>
    <row r="8710" spans="1:3" x14ac:dyDescent="0.2">
      <c r="A8710" s="76"/>
      <c r="C8710" s="76"/>
    </row>
    <row r="8711" spans="1:3" x14ac:dyDescent="0.2">
      <c r="A8711" s="76"/>
      <c r="C8711" s="76"/>
    </row>
    <row r="8712" spans="1:3" x14ac:dyDescent="0.2">
      <c r="A8712" s="76"/>
      <c r="C8712" s="76"/>
    </row>
    <row r="8713" spans="1:3" x14ac:dyDescent="0.2">
      <c r="A8713" s="76"/>
      <c r="C8713" s="76"/>
    </row>
    <row r="8714" spans="1:3" x14ac:dyDescent="0.2">
      <c r="A8714" s="76"/>
      <c r="C8714" s="76"/>
    </row>
    <row r="8715" spans="1:3" x14ac:dyDescent="0.2">
      <c r="A8715" s="76"/>
      <c r="C8715" s="76"/>
    </row>
    <row r="8716" spans="1:3" x14ac:dyDescent="0.2">
      <c r="A8716" s="76"/>
      <c r="C8716" s="76"/>
    </row>
    <row r="8717" spans="1:3" x14ac:dyDescent="0.2">
      <c r="A8717" s="76"/>
      <c r="C8717" s="76"/>
    </row>
    <row r="8718" spans="1:3" x14ac:dyDescent="0.2">
      <c r="A8718" s="76"/>
      <c r="C8718" s="76"/>
    </row>
    <row r="8719" spans="1:3" x14ac:dyDescent="0.2">
      <c r="A8719" s="76"/>
      <c r="C8719" s="76"/>
    </row>
    <row r="8720" spans="1:3" x14ac:dyDescent="0.2">
      <c r="A8720" s="76"/>
      <c r="C8720" s="76"/>
    </row>
    <row r="8721" spans="1:3" x14ac:dyDescent="0.2">
      <c r="A8721" s="76"/>
      <c r="C8721" s="76"/>
    </row>
    <row r="8722" spans="1:3" x14ac:dyDescent="0.2">
      <c r="A8722" s="76"/>
      <c r="C8722" s="76"/>
    </row>
    <row r="8723" spans="1:3" x14ac:dyDescent="0.2">
      <c r="A8723" s="76"/>
      <c r="C8723" s="76"/>
    </row>
    <row r="8724" spans="1:3" x14ac:dyDescent="0.2">
      <c r="A8724" s="76"/>
      <c r="C8724" s="76"/>
    </row>
    <row r="8725" spans="1:3" x14ac:dyDescent="0.2">
      <c r="A8725" s="76"/>
      <c r="C8725" s="76"/>
    </row>
    <row r="8726" spans="1:3" x14ac:dyDescent="0.2">
      <c r="A8726" s="76"/>
      <c r="C8726" s="76"/>
    </row>
    <row r="8727" spans="1:3" x14ac:dyDescent="0.2">
      <c r="A8727" s="76"/>
      <c r="C8727" s="76"/>
    </row>
    <row r="8728" spans="1:3" x14ac:dyDescent="0.2">
      <c r="A8728" s="76"/>
      <c r="C8728" s="76"/>
    </row>
    <row r="8729" spans="1:3" x14ac:dyDescent="0.2">
      <c r="A8729" s="76"/>
      <c r="C8729" s="76"/>
    </row>
    <row r="8730" spans="1:3" x14ac:dyDescent="0.2">
      <c r="A8730" s="76"/>
      <c r="C8730" s="76"/>
    </row>
    <row r="8731" spans="1:3" x14ac:dyDescent="0.2">
      <c r="A8731" s="76"/>
      <c r="C8731" s="76"/>
    </row>
    <row r="8732" spans="1:3" x14ac:dyDescent="0.2">
      <c r="A8732" s="76"/>
      <c r="C8732" s="76"/>
    </row>
    <row r="8733" spans="1:3" x14ac:dyDescent="0.2">
      <c r="A8733" s="76"/>
      <c r="C8733" s="76"/>
    </row>
    <row r="8734" spans="1:3" x14ac:dyDescent="0.2">
      <c r="A8734" s="76"/>
      <c r="C8734" s="76"/>
    </row>
    <row r="8735" spans="1:3" x14ac:dyDescent="0.2">
      <c r="A8735" s="76"/>
      <c r="C8735" s="76"/>
    </row>
    <row r="8736" spans="1:3" x14ac:dyDescent="0.2">
      <c r="A8736" s="76"/>
      <c r="C8736" s="76"/>
    </row>
    <row r="8737" spans="1:3" x14ac:dyDescent="0.2">
      <c r="A8737" s="76"/>
      <c r="C8737" s="76"/>
    </row>
    <row r="8738" spans="1:3" x14ac:dyDescent="0.2">
      <c r="A8738" s="76"/>
      <c r="C8738" s="76"/>
    </row>
    <row r="8739" spans="1:3" x14ac:dyDescent="0.2">
      <c r="A8739" s="76"/>
      <c r="C8739" s="76"/>
    </row>
    <row r="8740" spans="1:3" x14ac:dyDescent="0.2">
      <c r="A8740" s="76"/>
      <c r="C8740" s="76"/>
    </row>
    <row r="8741" spans="1:3" x14ac:dyDescent="0.2">
      <c r="A8741" s="76"/>
      <c r="C8741" s="76"/>
    </row>
    <row r="8742" spans="1:3" x14ac:dyDescent="0.2">
      <c r="A8742" s="76"/>
      <c r="C8742" s="76"/>
    </row>
    <row r="8743" spans="1:3" x14ac:dyDescent="0.2">
      <c r="A8743" s="76"/>
      <c r="C8743" s="76"/>
    </row>
    <row r="8744" spans="1:3" x14ac:dyDescent="0.2">
      <c r="A8744" s="76"/>
      <c r="C8744" s="76"/>
    </row>
    <row r="8745" spans="1:3" x14ac:dyDescent="0.2">
      <c r="A8745" s="76"/>
      <c r="C8745" s="76"/>
    </row>
    <row r="8746" spans="1:3" x14ac:dyDescent="0.2">
      <c r="A8746" s="76"/>
      <c r="C8746" s="76"/>
    </row>
    <row r="8747" spans="1:3" x14ac:dyDescent="0.2">
      <c r="A8747" s="76"/>
      <c r="C8747" s="76"/>
    </row>
    <row r="8748" spans="1:3" x14ac:dyDescent="0.2">
      <c r="A8748" s="76"/>
      <c r="C8748" s="76"/>
    </row>
    <row r="8749" spans="1:3" x14ac:dyDescent="0.2">
      <c r="A8749" s="76"/>
      <c r="C8749" s="76"/>
    </row>
    <row r="8750" spans="1:3" x14ac:dyDescent="0.2">
      <c r="A8750" s="76"/>
      <c r="C8750" s="76"/>
    </row>
    <row r="8751" spans="1:3" x14ac:dyDescent="0.2">
      <c r="A8751" s="76"/>
      <c r="C8751" s="76"/>
    </row>
    <row r="8752" spans="1:3" x14ac:dyDescent="0.2">
      <c r="A8752" s="76"/>
      <c r="C8752" s="76"/>
    </row>
    <row r="8753" spans="1:3" x14ac:dyDescent="0.2">
      <c r="A8753" s="76"/>
      <c r="C8753" s="76"/>
    </row>
    <row r="8754" spans="1:3" x14ac:dyDescent="0.2">
      <c r="A8754" s="76"/>
      <c r="C8754" s="76"/>
    </row>
    <row r="8755" spans="1:3" x14ac:dyDescent="0.2">
      <c r="A8755" s="76"/>
      <c r="C8755" s="76"/>
    </row>
    <row r="8756" spans="1:3" x14ac:dyDescent="0.2">
      <c r="A8756" s="76"/>
      <c r="C8756" s="76"/>
    </row>
    <row r="8757" spans="1:3" x14ac:dyDescent="0.2">
      <c r="A8757" s="76"/>
      <c r="C8757" s="76"/>
    </row>
    <row r="8758" spans="1:3" x14ac:dyDescent="0.2">
      <c r="A8758" s="76"/>
      <c r="C8758" s="76"/>
    </row>
    <row r="8759" spans="1:3" x14ac:dyDescent="0.2">
      <c r="A8759" s="76"/>
      <c r="C8759" s="76"/>
    </row>
    <row r="8760" spans="1:3" x14ac:dyDescent="0.2">
      <c r="A8760" s="76"/>
      <c r="C8760" s="76"/>
    </row>
    <row r="8761" spans="1:3" x14ac:dyDescent="0.2">
      <c r="A8761" s="76"/>
      <c r="C8761" s="76"/>
    </row>
    <row r="8762" spans="1:3" x14ac:dyDescent="0.2">
      <c r="A8762" s="76"/>
      <c r="C8762" s="76"/>
    </row>
    <row r="8763" spans="1:3" x14ac:dyDescent="0.2">
      <c r="A8763" s="76"/>
      <c r="C8763" s="76"/>
    </row>
    <row r="8764" spans="1:3" x14ac:dyDescent="0.2">
      <c r="A8764" s="76"/>
      <c r="C8764" s="76"/>
    </row>
    <row r="8765" spans="1:3" x14ac:dyDescent="0.2">
      <c r="A8765" s="76"/>
      <c r="C8765" s="76"/>
    </row>
    <row r="8766" spans="1:3" x14ac:dyDescent="0.2">
      <c r="A8766" s="76"/>
      <c r="C8766" s="76"/>
    </row>
    <row r="8767" spans="1:3" x14ac:dyDescent="0.2">
      <c r="A8767" s="76"/>
      <c r="C8767" s="76"/>
    </row>
    <row r="8768" spans="1:3" x14ac:dyDescent="0.2">
      <c r="A8768" s="76"/>
      <c r="C8768" s="76"/>
    </row>
    <row r="8769" spans="1:3" x14ac:dyDescent="0.2">
      <c r="A8769" s="76"/>
      <c r="C8769" s="76"/>
    </row>
    <row r="8770" spans="1:3" x14ac:dyDescent="0.2">
      <c r="A8770" s="76"/>
      <c r="C8770" s="76"/>
    </row>
    <row r="8771" spans="1:3" x14ac:dyDescent="0.2">
      <c r="A8771" s="76"/>
      <c r="C8771" s="76"/>
    </row>
    <row r="8772" spans="1:3" x14ac:dyDescent="0.2">
      <c r="A8772" s="76"/>
      <c r="C8772" s="76"/>
    </row>
    <row r="8773" spans="1:3" x14ac:dyDescent="0.2">
      <c r="A8773" s="76"/>
      <c r="C8773" s="76"/>
    </row>
    <row r="8774" spans="1:3" x14ac:dyDescent="0.2">
      <c r="A8774" s="76"/>
      <c r="C8774" s="76"/>
    </row>
    <row r="8775" spans="1:3" x14ac:dyDescent="0.2">
      <c r="A8775" s="76"/>
      <c r="C8775" s="76"/>
    </row>
    <row r="8776" spans="1:3" x14ac:dyDescent="0.2">
      <c r="A8776" s="76"/>
      <c r="C8776" s="76"/>
    </row>
    <row r="8777" spans="1:3" x14ac:dyDescent="0.2">
      <c r="A8777" s="76"/>
      <c r="C8777" s="76"/>
    </row>
    <row r="8778" spans="1:3" x14ac:dyDescent="0.2">
      <c r="A8778" s="76"/>
      <c r="C8778" s="76"/>
    </row>
    <row r="8779" spans="1:3" x14ac:dyDescent="0.2">
      <c r="A8779" s="76"/>
      <c r="C8779" s="76"/>
    </row>
    <row r="8780" spans="1:3" x14ac:dyDescent="0.2">
      <c r="A8780" s="76"/>
      <c r="C8780" s="76"/>
    </row>
    <row r="8781" spans="1:3" x14ac:dyDescent="0.2">
      <c r="A8781" s="76"/>
      <c r="C8781" s="76"/>
    </row>
    <row r="8782" spans="1:3" x14ac:dyDescent="0.2">
      <c r="A8782" s="76"/>
      <c r="C8782" s="76"/>
    </row>
    <row r="8783" spans="1:3" x14ac:dyDescent="0.2">
      <c r="A8783" s="76"/>
      <c r="C8783" s="76"/>
    </row>
    <row r="8784" spans="1:3" x14ac:dyDescent="0.2">
      <c r="A8784" s="76"/>
      <c r="C8784" s="76"/>
    </row>
    <row r="8785" spans="1:3" x14ac:dyDescent="0.2">
      <c r="A8785" s="76"/>
      <c r="C8785" s="76"/>
    </row>
    <row r="8786" spans="1:3" x14ac:dyDescent="0.2">
      <c r="A8786" s="76"/>
      <c r="C8786" s="76"/>
    </row>
    <row r="8787" spans="1:3" x14ac:dyDescent="0.2">
      <c r="A8787" s="76"/>
      <c r="C8787" s="76"/>
    </row>
    <row r="8788" spans="1:3" x14ac:dyDescent="0.2">
      <c r="A8788" s="76"/>
      <c r="C8788" s="76"/>
    </row>
    <row r="8789" spans="1:3" x14ac:dyDescent="0.2">
      <c r="A8789" s="76"/>
      <c r="C8789" s="76"/>
    </row>
    <row r="8790" spans="1:3" x14ac:dyDescent="0.2">
      <c r="A8790" s="76"/>
      <c r="C8790" s="76"/>
    </row>
    <row r="8791" spans="1:3" x14ac:dyDescent="0.2">
      <c r="A8791" s="76"/>
      <c r="C8791" s="76"/>
    </row>
    <row r="8792" spans="1:3" x14ac:dyDescent="0.2">
      <c r="A8792" s="76"/>
      <c r="C8792" s="76"/>
    </row>
    <row r="8793" spans="1:3" x14ac:dyDescent="0.2">
      <c r="A8793" s="76"/>
      <c r="C8793" s="76"/>
    </row>
    <row r="8794" spans="1:3" x14ac:dyDescent="0.2">
      <c r="A8794" s="76"/>
      <c r="C8794" s="76"/>
    </row>
    <row r="8795" spans="1:3" x14ac:dyDescent="0.2">
      <c r="A8795" s="76"/>
      <c r="C8795" s="76"/>
    </row>
    <row r="8796" spans="1:3" x14ac:dyDescent="0.2">
      <c r="A8796" s="76"/>
      <c r="C8796" s="76"/>
    </row>
    <row r="8797" spans="1:3" x14ac:dyDescent="0.2">
      <c r="A8797" s="76"/>
      <c r="C8797" s="76"/>
    </row>
    <row r="8798" spans="1:3" x14ac:dyDescent="0.2">
      <c r="A8798" s="76"/>
      <c r="C8798" s="76"/>
    </row>
    <row r="8799" spans="1:3" x14ac:dyDescent="0.2">
      <c r="A8799" s="76"/>
      <c r="C8799" s="76"/>
    </row>
    <row r="8800" spans="1:3" x14ac:dyDescent="0.2">
      <c r="A8800" s="76"/>
      <c r="C8800" s="76"/>
    </row>
    <row r="8801" spans="1:3" x14ac:dyDescent="0.2">
      <c r="A8801" s="76"/>
      <c r="C8801" s="76"/>
    </row>
    <row r="8802" spans="1:3" x14ac:dyDescent="0.2">
      <c r="A8802" s="76"/>
      <c r="C8802" s="76"/>
    </row>
    <row r="8803" spans="1:3" x14ac:dyDescent="0.2">
      <c r="A8803" s="76"/>
      <c r="C8803" s="76"/>
    </row>
    <row r="8804" spans="1:3" x14ac:dyDescent="0.2">
      <c r="A8804" s="76"/>
      <c r="C8804" s="76"/>
    </row>
    <row r="8805" spans="1:3" x14ac:dyDescent="0.2">
      <c r="A8805" s="76"/>
      <c r="C8805" s="76"/>
    </row>
    <row r="8806" spans="1:3" x14ac:dyDescent="0.2">
      <c r="A8806" s="76"/>
      <c r="C8806" s="76"/>
    </row>
    <row r="8807" spans="1:3" x14ac:dyDescent="0.2">
      <c r="A8807" s="76"/>
      <c r="C8807" s="76"/>
    </row>
    <row r="8808" spans="1:3" x14ac:dyDescent="0.2">
      <c r="A8808" s="76"/>
      <c r="C8808" s="76"/>
    </row>
    <row r="8809" spans="1:3" x14ac:dyDescent="0.2">
      <c r="A8809" s="76"/>
      <c r="C8809" s="76"/>
    </row>
    <row r="8810" spans="1:3" x14ac:dyDescent="0.2">
      <c r="A8810" s="76"/>
      <c r="C8810" s="76"/>
    </row>
    <row r="8811" spans="1:3" x14ac:dyDescent="0.2">
      <c r="A8811" s="76"/>
      <c r="C8811" s="76"/>
    </row>
    <row r="8812" spans="1:3" x14ac:dyDescent="0.2">
      <c r="A8812" s="76"/>
      <c r="C8812" s="76"/>
    </row>
    <row r="8813" spans="1:3" x14ac:dyDescent="0.2">
      <c r="A8813" s="76"/>
      <c r="C8813" s="76"/>
    </row>
    <row r="8814" spans="1:3" x14ac:dyDescent="0.2">
      <c r="A8814" s="76"/>
      <c r="C8814" s="76"/>
    </row>
    <row r="8815" spans="1:3" x14ac:dyDescent="0.2">
      <c r="A8815" s="76"/>
      <c r="C8815" s="76"/>
    </row>
    <row r="8816" spans="1:3" x14ac:dyDescent="0.2">
      <c r="A8816" s="76"/>
      <c r="C8816" s="76"/>
    </row>
    <row r="8817" spans="1:3" x14ac:dyDescent="0.2">
      <c r="A8817" s="76"/>
      <c r="C8817" s="76"/>
    </row>
    <row r="8818" spans="1:3" x14ac:dyDescent="0.2">
      <c r="A8818" s="76"/>
      <c r="C8818" s="76"/>
    </row>
    <row r="8819" spans="1:3" x14ac:dyDescent="0.2">
      <c r="A8819" s="76"/>
      <c r="C8819" s="76"/>
    </row>
    <row r="8820" spans="1:3" x14ac:dyDescent="0.2">
      <c r="A8820" s="76"/>
      <c r="C8820" s="76"/>
    </row>
    <row r="8821" spans="1:3" x14ac:dyDescent="0.2">
      <c r="A8821" s="76"/>
      <c r="C8821" s="76"/>
    </row>
    <row r="8822" spans="1:3" x14ac:dyDescent="0.2">
      <c r="A8822" s="76"/>
      <c r="C8822" s="76"/>
    </row>
    <row r="8823" spans="1:3" x14ac:dyDescent="0.2">
      <c r="A8823" s="76"/>
      <c r="C8823" s="76"/>
    </row>
    <row r="8824" spans="1:3" x14ac:dyDescent="0.2">
      <c r="A8824" s="76"/>
      <c r="C8824" s="76"/>
    </row>
    <row r="8825" spans="1:3" x14ac:dyDescent="0.2">
      <c r="A8825" s="76"/>
      <c r="C8825" s="76"/>
    </row>
    <row r="8826" spans="1:3" x14ac:dyDescent="0.2">
      <c r="A8826" s="76"/>
      <c r="C8826" s="76"/>
    </row>
    <row r="8827" spans="1:3" x14ac:dyDescent="0.2">
      <c r="A8827" s="76"/>
      <c r="C8827" s="76"/>
    </row>
    <row r="8828" spans="1:3" x14ac:dyDescent="0.2">
      <c r="A8828" s="76"/>
      <c r="C8828" s="76"/>
    </row>
    <row r="8829" spans="1:3" x14ac:dyDescent="0.2">
      <c r="A8829" s="76"/>
      <c r="C8829" s="76"/>
    </row>
    <row r="8830" spans="1:3" x14ac:dyDescent="0.2">
      <c r="A8830" s="76"/>
      <c r="C8830" s="76"/>
    </row>
    <row r="8831" spans="1:3" x14ac:dyDescent="0.2">
      <c r="A8831" s="76"/>
      <c r="C8831" s="76"/>
    </row>
    <row r="8832" spans="1:3" x14ac:dyDescent="0.2">
      <c r="A8832" s="76"/>
      <c r="C8832" s="76"/>
    </row>
    <row r="8833" spans="1:3" x14ac:dyDescent="0.2">
      <c r="A8833" s="76"/>
      <c r="C8833" s="76"/>
    </row>
    <row r="8834" spans="1:3" x14ac:dyDescent="0.2">
      <c r="A8834" s="76"/>
      <c r="C8834" s="76"/>
    </row>
    <row r="8835" spans="1:3" x14ac:dyDescent="0.2">
      <c r="A8835" s="76"/>
      <c r="C8835" s="76"/>
    </row>
    <row r="8836" spans="1:3" x14ac:dyDescent="0.2">
      <c r="A8836" s="76"/>
      <c r="C8836" s="76"/>
    </row>
    <row r="8837" spans="1:3" x14ac:dyDescent="0.2">
      <c r="A8837" s="76"/>
      <c r="C8837" s="76"/>
    </row>
    <row r="8838" spans="1:3" x14ac:dyDescent="0.2">
      <c r="A8838" s="76"/>
      <c r="C8838" s="76"/>
    </row>
    <row r="8839" spans="1:3" x14ac:dyDescent="0.2">
      <c r="A8839" s="76"/>
      <c r="C8839" s="76"/>
    </row>
    <row r="8840" spans="1:3" x14ac:dyDescent="0.2">
      <c r="A8840" s="76"/>
      <c r="C8840" s="76"/>
    </row>
    <row r="8841" spans="1:3" x14ac:dyDescent="0.2">
      <c r="A8841" s="76"/>
      <c r="C8841" s="76"/>
    </row>
    <row r="8842" spans="1:3" x14ac:dyDescent="0.2">
      <c r="A8842" s="76"/>
      <c r="C8842" s="76"/>
    </row>
    <row r="8843" spans="1:3" x14ac:dyDescent="0.2">
      <c r="A8843" s="76"/>
      <c r="C8843" s="76"/>
    </row>
    <row r="8844" spans="1:3" x14ac:dyDescent="0.2">
      <c r="A8844" s="76"/>
      <c r="C8844" s="76"/>
    </row>
    <row r="8845" spans="1:3" x14ac:dyDescent="0.2">
      <c r="A8845" s="76"/>
      <c r="C8845" s="76"/>
    </row>
    <row r="8846" spans="1:3" x14ac:dyDescent="0.2">
      <c r="A8846" s="76"/>
      <c r="C8846" s="76"/>
    </row>
    <row r="8847" spans="1:3" x14ac:dyDescent="0.2">
      <c r="A8847" s="76"/>
      <c r="C8847" s="76"/>
    </row>
    <row r="8848" spans="1:3" x14ac:dyDescent="0.2">
      <c r="A8848" s="76"/>
      <c r="C8848" s="76"/>
    </row>
    <row r="8849" spans="1:3" x14ac:dyDescent="0.2">
      <c r="A8849" s="76"/>
      <c r="C8849" s="76"/>
    </row>
    <row r="8850" spans="1:3" x14ac:dyDescent="0.2">
      <c r="A8850" s="76"/>
      <c r="C8850" s="76"/>
    </row>
    <row r="8851" spans="1:3" x14ac:dyDescent="0.2">
      <c r="A8851" s="76"/>
      <c r="C8851" s="76"/>
    </row>
    <row r="8852" spans="1:3" x14ac:dyDescent="0.2">
      <c r="A8852" s="76"/>
      <c r="C8852" s="76"/>
    </row>
    <row r="8853" spans="1:3" x14ac:dyDescent="0.2">
      <c r="A8853" s="76"/>
      <c r="C8853" s="76"/>
    </row>
    <row r="8854" spans="1:3" x14ac:dyDescent="0.2">
      <c r="A8854" s="76"/>
      <c r="C8854" s="76"/>
    </row>
    <row r="8855" spans="1:3" x14ac:dyDescent="0.2">
      <c r="A8855" s="76"/>
      <c r="C8855" s="76"/>
    </row>
    <row r="8856" spans="1:3" x14ac:dyDescent="0.2">
      <c r="A8856" s="76"/>
      <c r="C8856" s="76"/>
    </row>
    <row r="8857" spans="1:3" x14ac:dyDescent="0.2">
      <c r="A8857" s="76"/>
      <c r="C8857" s="76"/>
    </row>
    <row r="8858" spans="1:3" x14ac:dyDescent="0.2">
      <c r="A8858" s="76"/>
      <c r="C8858" s="76"/>
    </row>
    <row r="8859" spans="1:3" x14ac:dyDescent="0.2">
      <c r="A8859" s="76"/>
      <c r="C8859" s="76"/>
    </row>
    <row r="8860" spans="1:3" x14ac:dyDescent="0.2">
      <c r="A8860" s="76"/>
      <c r="C8860" s="76"/>
    </row>
    <row r="8861" spans="1:3" x14ac:dyDescent="0.2">
      <c r="A8861" s="76"/>
      <c r="C8861" s="76"/>
    </row>
    <row r="8862" spans="1:3" x14ac:dyDescent="0.2">
      <c r="A8862" s="76"/>
      <c r="C8862" s="76"/>
    </row>
    <row r="8863" spans="1:3" x14ac:dyDescent="0.2">
      <c r="A8863" s="76"/>
      <c r="C8863" s="76"/>
    </row>
    <row r="8864" spans="1:3" x14ac:dyDescent="0.2">
      <c r="A8864" s="76"/>
      <c r="C8864" s="76"/>
    </row>
    <row r="8865" spans="1:3" x14ac:dyDescent="0.2">
      <c r="A8865" s="76"/>
      <c r="C8865" s="76"/>
    </row>
    <row r="8866" spans="1:3" x14ac:dyDescent="0.2">
      <c r="A8866" s="76"/>
      <c r="C8866" s="76"/>
    </row>
    <row r="8867" spans="1:3" x14ac:dyDescent="0.2">
      <c r="A8867" s="76"/>
      <c r="C8867" s="76"/>
    </row>
    <row r="8868" spans="1:3" x14ac:dyDescent="0.2">
      <c r="A8868" s="76"/>
      <c r="C8868" s="76"/>
    </row>
    <row r="8869" spans="1:3" x14ac:dyDescent="0.2">
      <c r="A8869" s="76"/>
      <c r="C8869" s="76"/>
    </row>
    <row r="8870" spans="1:3" x14ac:dyDescent="0.2">
      <c r="A8870" s="76"/>
      <c r="C8870" s="76"/>
    </row>
    <row r="8871" spans="1:3" x14ac:dyDescent="0.2">
      <c r="A8871" s="76"/>
      <c r="C8871" s="76"/>
    </row>
    <row r="8872" spans="1:3" x14ac:dyDescent="0.2">
      <c r="A8872" s="76"/>
      <c r="C8872" s="76"/>
    </row>
    <row r="8873" spans="1:3" x14ac:dyDescent="0.2">
      <c r="A8873" s="76"/>
      <c r="C8873" s="76"/>
    </row>
    <row r="8874" spans="1:3" x14ac:dyDescent="0.2">
      <c r="A8874" s="76"/>
      <c r="C8874" s="76"/>
    </row>
    <row r="8875" spans="1:3" x14ac:dyDescent="0.2">
      <c r="A8875" s="76"/>
      <c r="C8875" s="76"/>
    </row>
    <row r="8876" spans="1:3" x14ac:dyDescent="0.2">
      <c r="A8876" s="76"/>
      <c r="C8876" s="76"/>
    </row>
    <row r="8877" spans="1:3" x14ac:dyDescent="0.2">
      <c r="A8877" s="76"/>
      <c r="C8877" s="76"/>
    </row>
    <row r="8878" spans="1:3" x14ac:dyDescent="0.2">
      <c r="A8878" s="76"/>
      <c r="C8878" s="76"/>
    </row>
    <row r="8879" spans="1:3" x14ac:dyDescent="0.2">
      <c r="A8879" s="76"/>
      <c r="C8879" s="76"/>
    </row>
    <row r="8880" spans="1:3" x14ac:dyDescent="0.2">
      <c r="A8880" s="76"/>
      <c r="C8880" s="76"/>
    </row>
    <row r="8881" spans="1:3" x14ac:dyDescent="0.2">
      <c r="A8881" s="76"/>
      <c r="C8881" s="76"/>
    </row>
    <row r="8882" spans="1:3" x14ac:dyDescent="0.2">
      <c r="A8882" s="76"/>
      <c r="C8882" s="76"/>
    </row>
    <row r="8883" spans="1:3" x14ac:dyDescent="0.2">
      <c r="A8883" s="76"/>
      <c r="C8883" s="76"/>
    </row>
    <row r="8884" spans="1:3" x14ac:dyDescent="0.2">
      <c r="A8884" s="76"/>
      <c r="C8884" s="76"/>
    </row>
    <row r="8885" spans="1:3" x14ac:dyDescent="0.2">
      <c r="A8885" s="76"/>
      <c r="C8885" s="76"/>
    </row>
    <row r="8886" spans="1:3" x14ac:dyDescent="0.2">
      <c r="A8886" s="76"/>
      <c r="C8886" s="76"/>
    </row>
    <row r="8887" spans="1:3" x14ac:dyDescent="0.2">
      <c r="A8887" s="76"/>
      <c r="C8887" s="76"/>
    </row>
    <row r="8888" spans="1:3" x14ac:dyDescent="0.2">
      <c r="A8888" s="76"/>
      <c r="C8888" s="76"/>
    </row>
    <row r="8889" spans="1:3" x14ac:dyDescent="0.2">
      <c r="A8889" s="76"/>
      <c r="C8889" s="76"/>
    </row>
    <row r="8890" spans="1:3" x14ac:dyDescent="0.2">
      <c r="A8890" s="76"/>
      <c r="C8890" s="76"/>
    </row>
    <row r="8891" spans="1:3" x14ac:dyDescent="0.2">
      <c r="A8891" s="76"/>
      <c r="C8891" s="76"/>
    </row>
    <row r="8892" spans="1:3" x14ac:dyDescent="0.2">
      <c r="A8892" s="76"/>
      <c r="C8892" s="76"/>
    </row>
    <row r="8893" spans="1:3" x14ac:dyDescent="0.2">
      <c r="A8893" s="76"/>
      <c r="C8893" s="76"/>
    </row>
    <row r="8894" spans="1:3" x14ac:dyDescent="0.2">
      <c r="A8894" s="76"/>
      <c r="C8894" s="76"/>
    </row>
    <row r="8895" spans="1:3" x14ac:dyDescent="0.2">
      <c r="A8895" s="76"/>
      <c r="C8895" s="76"/>
    </row>
    <row r="8896" spans="1:3" x14ac:dyDescent="0.2">
      <c r="A8896" s="76"/>
      <c r="C8896" s="76"/>
    </row>
    <row r="8897" spans="1:3" x14ac:dyDescent="0.2">
      <c r="A8897" s="76"/>
      <c r="C8897" s="76"/>
    </row>
    <row r="8898" spans="1:3" x14ac:dyDescent="0.2">
      <c r="A8898" s="76"/>
      <c r="C8898" s="76"/>
    </row>
    <row r="8899" spans="1:3" x14ac:dyDescent="0.2">
      <c r="A8899" s="76"/>
      <c r="C8899" s="76"/>
    </row>
    <row r="8900" spans="1:3" x14ac:dyDescent="0.2">
      <c r="A8900" s="76"/>
      <c r="C8900" s="76"/>
    </row>
    <row r="8901" spans="1:3" x14ac:dyDescent="0.2">
      <c r="A8901" s="76"/>
      <c r="C8901" s="76"/>
    </row>
    <row r="8902" spans="1:3" x14ac:dyDescent="0.2">
      <c r="A8902" s="76"/>
      <c r="C8902" s="76"/>
    </row>
    <row r="8903" spans="1:3" x14ac:dyDescent="0.2">
      <c r="A8903" s="76"/>
      <c r="C8903" s="76"/>
    </row>
    <row r="8904" spans="1:3" x14ac:dyDescent="0.2">
      <c r="A8904" s="76"/>
      <c r="C8904" s="76"/>
    </row>
    <row r="8905" spans="1:3" x14ac:dyDescent="0.2">
      <c r="A8905" s="76"/>
      <c r="C8905" s="76"/>
    </row>
    <row r="8906" spans="1:3" x14ac:dyDescent="0.2">
      <c r="A8906" s="76"/>
      <c r="C8906" s="76"/>
    </row>
    <row r="8907" spans="1:3" x14ac:dyDescent="0.2">
      <c r="A8907" s="76"/>
      <c r="C8907" s="76"/>
    </row>
    <row r="8908" spans="1:3" x14ac:dyDescent="0.2">
      <c r="A8908" s="76"/>
      <c r="C8908" s="76"/>
    </row>
    <row r="8909" spans="1:3" x14ac:dyDescent="0.2">
      <c r="A8909" s="76"/>
      <c r="C8909" s="76"/>
    </row>
    <row r="8910" spans="1:3" x14ac:dyDescent="0.2">
      <c r="A8910" s="76"/>
      <c r="C8910" s="76"/>
    </row>
    <row r="8911" spans="1:3" x14ac:dyDescent="0.2">
      <c r="A8911" s="76"/>
      <c r="C8911" s="76"/>
    </row>
    <row r="8912" spans="1:3" x14ac:dyDescent="0.2">
      <c r="A8912" s="76"/>
      <c r="C8912" s="76"/>
    </row>
    <row r="8913" spans="1:3" x14ac:dyDescent="0.2">
      <c r="A8913" s="76"/>
      <c r="C8913" s="76"/>
    </row>
    <row r="8914" spans="1:3" x14ac:dyDescent="0.2">
      <c r="A8914" s="76"/>
      <c r="C8914" s="76"/>
    </row>
    <row r="8915" spans="1:3" x14ac:dyDescent="0.2">
      <c r="A8915" s="76"/>
      <c r="C8915" s="76"/>
    </row>
    <row r="8916" spans="1:3" x14ac:dyDescent="0.2">
      <c r="A8916" s="76"/>
      <c r="C8916" s="76"/>
    </row>
    <row r="8917" spans="1:3" x14ac:dyDescent="0.2">
      <c r="A8917" s="76"/>
      <c r="C8917" s="76"/>
    </row>
    <row r="8918" spans="1:3" x14ac:dyDescent="0.2">
      <c r="A8918" s="76"/>
      <c r="C8918" s="76"/>
    </row>
    <row r="8919" spans="1:3" x14ac:dyDescent="0.2">
      <c r="A8919" s="76"/>
      <c r="C8919" s="76"/>
    </row>
    <row r="8920" spans="1:3" x14ac:dyDescent="0.2">
      <c r="A8920" s="76"/>
      <c r="C8920" s="76"/>
    </row>
    <row r="8921" spans="1:3" x14ac:dyDescent="0.2">
      <c r="A8921" s="76"/>
      <c r="C8921" s="76"/>
    </row>
    <row r="8922" spans="1:3" x14ac:dyDescent="0.2">
      <c r="A8922" s="76"/>
      <c r="C8922" s="76"/>
    </row>
    <row r="8923" spans="1:3" x14ac:dyDescent="0.2">
      <c r="A8923" s="76"/>
      <c r="C8923" s="76"/>
    </row>
    <row r="8924" spans="1:3" x14ac:dyDescent="0.2">
      <c r="A8924" s="76"/>
      <c r="C8924" s="76"/>
    </row>
    <row r="8925" spans="1:3" x14ac:dyDescent="0.2">
      <c r="A8925" s="76"/>
      <c r="C8925" s="76"/>
    </row>
    <row r="8926" spans="1:3" x14ac:dyDescent="0.2">
      <c r="A8926" s="76"/>
      <c r="C8926" s="76"/>
    </row>
    <row r="8927" spans="1:3" x14ac:dyDescent="0.2">
      <c r="A8927" s="76"/>
      <c r="C8927" s="76"/>
    </row>
    <row r="8928" spans="1:3" x14ac:dyDescent="0.2">
      <c r="A8928" s="76"/>
      <c r="C8928" s="76"/>
    </row>
    <row r="8929" spans="1:3" x14ac:dyDescent="0.2">
      <c r="A8929" s="76"/>
      <c r="C8929" s="76"/>
    </row>
    <row r="8930" spans="1:3" x14ac:dyDescent="0.2">
      <c r="A8930" s="76"/>
      <c r="C8930" s="76"/>
    </row>
    <row r="8931" spans="1:3" x14ac:dyDescent="0.2">
      <c r="A8931" s="76"/>
      <c r="C8931" s="76"/>
    </row>
    <row r="8932" spans="1:3" x14ac:dyDescent="0.2">
      <c r="A8932" s="76"/>
      <c r="C8932" s="76"/>
    </row>
    <row r="8933" spans="1:3" x14ac:dyDescent="0.2">
      <c r="A8933" s="76"/>
      <c r="C8933" s="76"/>
    </row>
    <row r="8934" spans="1:3" x14ac:dyDescent="0.2">
      <c r="A8934" s="76"/>
      <c r="C8934" s="76"/>
    </row>
    <row r="8935" spans="1:3" x14ac:dyDescent="0.2">
      <c r="A8935" s="76"/>
      <c r="C8935" s="76"/>
    </row>
    <row r="8936" spans="1:3" x14ac:dyDescent="0.2">
      <c r="A8936" s="76"/>
      <c r="C8936" s="76"/>
    </row>
    <row r="8937" spans="1:3" x14ac:dyDescent="0.2">
      <c r="A8937" s="76"/>
      <c r="C8937" s="76"/>
    </row>
    <row r="8938" spans="1:3" x14ac:dyDescent="0.2">
      <c r="A8938" s="76"/>
      <c r="C8938" s="76"/>
    </row>
    <row r="8939" spans="1:3" x14ac:dyDescent="0.2">
      <c r="A8939" s="76"/>
      <c r="C8939" s="76"/>
    </row>
    <row r="8940" spans="1:3" x14ac:dyDescent="0.2">
      <c r="A8940" s="76"/>
      <c r="C8940" s="76"/>
    </row>
    <row r="8941" spans="1:3" x14ac:dyDescent="0.2">
      <c r="A8941" s="76"/>
      <c r="C8941" s="76"/>
    </row>
    <row r="8942" spans="1:3" x14ac:dyDescent="0.2">
      <c r="A8942" s="76"/>
      <c r="C8942" s="76"/>
    </row>
    <row r="8943" spans="1:3" x14ac:dyDescent="0.2">
      <c r="A8943" s="76"/>
      <c r="C8943" s="76"/>
    </row>
    <row r="8944" spans="1:3" x14ac:dyDescent="0.2">
      <c r="A8944" s="76"/>
      <c r="C8944" s="76"/>
    </row>
    <row r="8945" spans="1:3" x14ac:dyDescent="0.2">
      <c r="A8945" s="76"/>
      <c r="C8945" s="76"/>
    </row>
    <row r="8946" spans="1:3" x14ac:dyDescent="0.2">
      <c r="A8946" s="76"/>
      <c r="C8946" s="76"/>
    </row>
    <row r="8947" spans="1:3" x14ac:dyDescent="0.2">
      <c r="A8947" s="76"/>
      <c r="C8947" s="76"/>
    </row>
    <row r="8948" spans="1:3" x14ac:dyDescent="0.2">
      <c r="A8948" s="76"/>
      <c r="C8948" s="76"/>
    </row>
    <row r="8949" spans="1:3" x14ac:dyDescent="0.2">
      <c r="A8949" s="76"/>
      <c r="C8949" s="76"/>
    </row>
    <row r="8950" spans="1:3" x14ac:dyDescent="0.2">
      <c r="A8950" s="76"/>
      <c r="C8950" s="76"/>
    </row>
    <row r="8951" spans="1:3" x14ac:dyDescent="0.2">
      <c r="A8951" s="76"/>
      <c r="C8951" s="76"/>
    </row>
    <row r="8952" spans="1:3" x14ac:dyDescent="0.2">
      <c r="A8952" s="76"/>
      <c r="C8952" s="76"/>
    </row>
    <row r="8953" spans="1:3" x14ac:dyDescent="0.2">
      <c r="A8953" s="76"/>
      <c r="C8953" s="76"/>
    </row>
    <row r="8954" spans="1:3" x14ac:dyDescent="0.2">
      <c r="A8954" s="76"/>
      <c r="C8954" s="76"/>
    </row>
    <row r="8955" spans="1:3" x14ac:dyDescent="0.2">
      <c r="A8955" s="76"/>
      <c r="C8955" s="76"/>
    </row>
    <row r="8956" spans="1:3" x14ac:dyDescent="0.2">
      <c r="A8956" s="76"/>
      <c r="C8956" s="76"/>
    </row>
    <row r="8957" spans="1:3" x14ac:dyDescent="0.2">
      <c r="A8957" s="76"/>
      <c r="C8957" s="76"/>
    </row>
    <row r="8958" spans="1:3" x14ac:dyDescent="0.2">
      <c r="A8958" s="76"/>
      <c r="C8958" s="76"/>
    </row>
    <row r="8959" spans="1:3" x14ac:dyDescent="0.2">
      <c r="A8959" s="76"/>
      <c r="C8959" s="76"/>
    </row>
    <row r="8960" spans="1:3" x14ac:dyDescent="0.2">
      <c r="A8960" s="76"/>
      <c r="C8960" s="76"/>
    </row>
    <row r="8961" spans="1:3" x14ac:dyDescent="0.2">
      <c r="A8961" s="76"/>
      <c r="C8961" s="76"/>
    </row>
    <row r="8962" spans="1:3" x14ac:dyDescent="0.2">
      <c r="A8962" s="76"/>
      <c r="C8962" s="76"/>
    </row>
    <row r="8963" spans="1:3" x14ac:dyDescent="0.2">
      <c r="A8963" s="76"/>
      <c r="C8963" s="76"/>
    </row>
    <row r="8964" spans="1:3" x14ac:dyDescent="0.2">
      <c r="A8964" s="76"/>
      <c r="C8964" s="76"/>
    </row>
    <row r="8965" spans="1:3" x14ac:dyDescent="0.2">
      <c r="A8965" s="76"/>
      <c r="C8965" s="76"/>
    </row>
    <row r="8966" spans="1:3" x14ac:dyDescent="0.2">
      <c r="A8966" s="76"/>
      <c r="C8966" s="76"/>
    </row>
    <row r="8967" spans="1:3" x14ac:dyDescent="0.2">
      <c r="A8967" s="76"/>
      <c r="C8967" s="76"/>
    </row>
    <row r="8968" spans="1:3" x14ac:dyDescent="0.2">
      <c r="A8968" s="76"/>
      <c r="C8968" s="76"/>
    </row>
    <row r="8969" spans="1:3" x14ac:dyDescent="0.2">
      <c r="A8969" s="76"/>
      <c r="C8969" s="76"/>
    </row>
    <row r="8970" spans="1:3" x14ac:dyDescent="0.2">
      <c r="A8970" s="76"/>
      <c r="C8970" s="76"/>
    </row>
    <row r="8971" spans="1:3" x14ac:dyDescent="0.2">
      <c r="A8971" s="76"/>
      <c r="C8971" s="76"/>
    </row>
    <row r="8972" spans="1:3" x14ac:dyDescent="0.2">
      <c r="A8972" s="76"/>
      <c r="C8972" s="76"/>
    </row>
    <row r="8973" spans="1:3" x14ac:dyDescent="0.2">
      <c r="A8973" s="76"/>
      <c r="C8973" s="76"/>
    </row>
    <row r="8974" spans="1:3" x14ac:dyDescent="0.2">
      <c r="A8974" s="76"/>
      <c r="C8974" s="76"/>
    </row>
    <row r="8975" spans="1:3" x14ac:dyDescent="0.2">
      <c r="A8975" s="76"/>
      <c r="C8975" s="76"/>
    </row>
    <row r="8976" spans="1:3" x14ac:dyDescent="0.2">
      <c r="A8976" s="76"/>
      <c r="C8976" s="76"/>
    </row>
    <row r="8977" spans="1:3" x14ac:dyDescent="0.2">
      <c r="A8977" s="76"/>
      <c r="C8977" s="76"/>
    </row>
    <row r="8978" spans="1:3" x14ac:dyDescent="0.2">
      <c r="A8978" s="76"/>
      <c r="C8978" s="76"/>
    </row>
    <row r="8979" spans="1:3" x14ac:dyDescent="0.2">
      <c r="A8979" s="76"/>
      <c r="C8979" s="76"/>
    </row>
    <row r="8980" spans="1:3" x14ac:dyDescent="0.2">
      <c r="A8980" s="76"/>
      <c r="C8980" s="76"/>
    </row>
    <row r="8981" spans="1:3" x14ac:dyDescent="0.2">
      <c r="A8981" s="76"/>
      <c r="C8981" s="76"/>
    </row>
    <row r="8982" spans="1:3" x14ac:dyDescent="0.2">
      <c r="A8982" s="76"/>
      <c r="C8982" s="76"/>
    </row>
    <row r="8983" spans="1:3" x14ac:dyDescent="0.2">
      <c r="A8983" s="76"/>
      <c r="C8983" s="76"/>
    </row>
    <row r="8984" spans="1:3" x14ac:dyDescent="0.2">
      <c r="A8984" s="76"/>
      <c r="C8984" s="76"/>
    </row>
    <row r="8985" spans="1:3" x14ac:dyDescent="0.2">
      <c r="A8985" s="76"/>
      <c r="C8985" s="76"/>
    </row>
    <row r="8986" spans="1:3" x14ac:dyDescent="0.2">
      <c r="A8986" s="76"/>
      <c r="C8986" s="76"/>
    </row>
    <row r="8987" spans="1:3" x14ac:dyDescent="0.2">
      <c r="A8987" s="76"/>
      <c r="C8987" s="76"/>
    </row>
    <row r="8988" spans="1:3" x14ac:dyDescent="0.2">
      <c r="A8988" s="76"/>
      <c r="C8988" s="76"/>
    </row>
    <row r="8989" spans="1:3" x14ac:dyDescent="0.2">
      <c r="A8989" s="76"/>
      <c r="C8989" s="76"/>
    </row>
    <row r="8990" spans="1:3" x14ac:dyDescent="0.2">
      <c r="A8990" s="76"/>
      <c r="C8990" s="76"/>
    </row>
    <row r="8991" spans="1:3" x14ac:dyDescent="0.2">
      <c r="A8991" s="76"/>
      <c r="C8991" s="76"/>
    </row>
    <row r="8992" spans="1:3" x14ac:dyDescent="0.2">
      <c r="A8992" s="76"/>
      <c r="C8992" s="76"/>
    </row>
    <row r="8993" spans="1:3" x14ac:dyDescent="0.2">
      <c r="A8993" s="76"/>
      <c r="C8993" s="76"/>
    </row>
    <row r="8994" spans="1:3" x14ac:dyDescent="0.2">
      <c r="A8994" s="76"/>
      <c r="C8994" s="76"/>
    </row>
    <row r="8995" spans="1:3" x14ac:dyDescent="0.2">
      <c r="A8995" s="76"/>
      <c r="C8995" s="76"/>
    </row>
    <row r="8996" spans="1:3" x14ac:dyDescent="0.2">
      <c r="A8996" s="76"/>
      <c r="C8996" s="76"/>
    </row>
    <row r="8997" spans="1:3" x14ac:dyDescent="0.2">
      <c r="A8997" s="76"/>
      <c r="C8997" s="76"/>
    </row>
    <row r="8998" spans="1:3" x14ac:dyDescent="0.2">
      <c r="A8998" s="76"/>
      <c r="C8998" s="76"/>
    </row>
    <row r="8999" spans="1:3" x14ac:dyDescent="0.2">
      <c r="A8999" s="76"/>
      <c r="C8999" s="76"/>
    </row>
    <row r="9000" spans="1:3" x14ac:dyDescent="0.2">
      <c r="A9000" s="76"/>
      <c r="C9000" s="76"/>
    </row>
    <row r="9001" spans="1:3" x14ac:dyDescent="0.2">
      <c r="A9001" s="76"/>
      <c r="C9001" s="76"/>
    </row>
    <row r="9002" spans="1:3" x14ac:dyDescent="0.2">
      <c r="A9002" s="76"/>
      <c r="C9002" s="76"/>
    </row>
    <row r="9003" spans="1:3" x14ac:dyDescent="0.2">
      <c r="A9003" s="76"/>
      <c r="C9003" s="76"/>
    </row>
    <row r="9004" spans="1:3" x14ac:dyDescent="0.2">
      <c r="A9004" s="76"/>
      <c r="C9004" s="76"/>
    </row>
    <row r="9005" spans="1:3" x14ac:dyDescent="0.2">
      <c r="A9005" s="76"/>
      <c r="C9005" s="76"/>
    </row>
    <row r="9006" spans="1:3" x14ac:dyDescent="0.2">
      <c r="A9006" s="76"/>
      <c r="C9006" s="76"/>
    </row>
    <row r="9007" spans="1:3" x14ac:dyDescent="0.2">
      <c r="A9007" s="76"/>
      <c r="C9007" s="76"/>
    </row>
    <row r="9008" spans="1:3" x14ac:dyDescent="0.2">
      <c r="A9008" s="76"/>
      <c r="C9008" s="76"/>
    </row>
    <row r="9009" spans="1:3" x14ac:dyDescent="0.2">
      <c r="A9009" s="76"/>
      <c r="C9009" s="76"/>
    </row>
    <row r="9010" spans="1:3" x14ac:dyDescent="0.2">
      <c r="A9010" s="76"/>
      <c r="C9010" s="76"/>
    </row>
    <row r="9011" spans="1:3" x14ac:dyDescent="0.2">
      <c r="A9011" s="76"/>
      <c r="C9011" s="76"/>
    </row>
    <row r="9012" spans="1:3" x14ac:dyDescent="0.2">
      <c r="A9012" s="76"/>
      <c r="C9012" s="76"/>
    </row>
    <row r="9013" spans="1:3" x14ac:dyDescent="0.2">
      <c r="A9013" s="76"/>
      <c r="C9013" s="76"/>
    </row>
    <row r="9014" spans="1:3" x14ac:dyDescent="0.2">
      <c r="A9014" s="76"/>
      <c r="C9014" s="76"/>
    </row>
    <row r="9015" spans="1:3" x14ac:dyDescent="0.2">
      <c r="A9015" s="76"/>
      <c r="C9015" s="76"/>
    </row>
    <row r="9016" spans="1:3" x14ac:dyDescent="0.2">
      <c r="A9016" s="76"/>
      <c r="C9016" s="76"/>
    </row>
    <row r="9017" spans="1:3" x14ac:dyDescent="0.2">
      <c r="A9017" s="76"/>
      <c r="C9017" s="76"/>
    </row>
    <row r="9018" spans="1:3" x14ac:dyDescent="0.2">
      <c r="A9018" s="76"/>
      <c r="C9018" s="76"/>
    </row>
    <row r="9019" spans="1:3" x14ac:dyDescent="0.2">
      <c r="A9019" s="76"/>
      <c r="C9019" s="76"/>
    </row>
    <row r="9020" spans="1:3" x14ac:dyDescent="0.2">
      <c r="A9020" s="76"/>
      <c r="C9020" s="76"/>
    </row>
    <row r="9021" spans="1:3" x14ac:dyDescent="0.2">
      <c r="A9021" s="76"/>
      <c r="C9021" s="76"/>
    </row>
    <row r="9022" spans="1:3" x14ac:dyDescent="0.2">
      <c r="A9022" s="76"/>
      <c r="C9022" s="76"/>
    </row>
    <row r="9023" spans="1:3" x14ac:dyDescent="0.2">
      <c r="A9023" s="76"/>
      <c r="C9023" s="76"/>
    </row>
    <row r="9024" spans="1:3" x14ac:dyDescent="0.2">
      <c r="A9024" s="76"/>
      <c r="C9024" s="76"/>
    </row>
    <row r="9025" spans="1:3" x14ac:dyDescent="0.2">
      <c r="A9025" s="76"/>
      <c r="C9025" s="76"/>
    </row>
    <row r="9026" spans="1:3" x14ac:dyDescent="0.2">
      <c r="A9026" s="76"/>
      <c r="C9026" s="76"/>
    </row>
    <row r="9027" spans="1:3" x14ac:dyDescent="0.2">
      <c r="A9027" s="76"/>
      <c r="C9027" s="76"/>
    </row>
    <row r="9028" spans="1:3" x14ac:dyDescent="0.2">
      <c r="A9028" s="76"/>
      <c r="C9028" s="76"/>
    </row>
    <row r="9029" spans="1:3" x14ac:dyDescent="0.2">
      <c r="A9029" s="76"/>
      <c r="C9029" s="76"/>
    </row>
    <row r="9030" spans="1:3" x14ac:dyDescent="0.2">
      <c r="A9030" s="76"/>
      <c r="C9030" s="76"/>
    </row>
    <row r="9031" spans="1:3" x14ac:dyDescent="0.2">
      <c r="A9031" s="76"/>
      <c r="C9031" s="76"/>
    </row>
    <row r="9032" spans="1:3" x14ac:dyDescent="0.2">
      <c r="A9032" s="76"/>
      <c r="C9032" s="76"/>
    </row>
    <row r="9033" spans="1:3" x14ac:dyDescent="0.2">
      <c r="A9033" s="76"/>
      <c r="C9033" s="76"/>
    </row>
    <row r="9034" spans="1:3" x14ac:dyDescent="0.2">
      <c r="A9034" s="76"/>
      <c r="C9034" s="76"/>
    </row>
    <row r="9035" spans="1:3" x14ac:dyDescent="0.2">
      <c r="A9035" s="76"/>
      <c r="C9035" s="76"/>
    </row>
    <row r="9036" spans="1:3" x14ac:dyDescent="0.2">
      <c r="A9036" s="76"/>
      <c r="C9036" s="76"/>
    </row>
    <row r="9037" spans="1:3" x14ac:dyDescent="0.2">
      <c r="A9037" s="76"/>
      <c r="C9037" s="76"/>
    </row>
    <row r="9038" spans="1:3" x14ac:dyDescent="0.2">
      <c r="A9038" s="76"/>
      <c r="C9038" s="76"/>
    </row>
    <row r="9039" spans="1:3" x14ac:dyDescent="0.2">
      <c r="A9039" s="76"/>
      <c r="C9039" s="76"/>
    </row>
    <row r="9040" spans="1:3" x14ac:dyDescent="0.2">
      <c r="A9040" s="76"/>
      <c r="C9040" s="76"/>
    </row>
    <row r="9041" spans="1:3" x14ac:dyDescent="0.2">
      <c r="A9041" s="76"/>
      <c r="C9041" s="76"/>
    </row>
    <row r="9042" spans="1:3" x14ac:dyDescent="0.2">
      <c r="A9042" s="76"/>
      <c r="C9042" s="76"/>
    </row>
    <row r="9043" spans="1:3" x14ac:dyDescent="0.2">
      <c r="A9043" s="76"/>
      <c r="C9043" s="76"/>
    </row>
    <row r="9044" spans="1:3" x14ac:dyDescent="0.2">
      <c r="A9044" s="76"/>
      <c r="C9044" s="76"/>
    </row>
    <row r="9045" spans="1:3" x14ac:dyDescent="0.2">
      <c r="A9045" s="76"/>
      <c r="C9045" s="76"/>
    </row>
    <row r="9046" spans="1:3" x14ac:dyDescent="0.2">
      <c r="A9046" s="76"/>
      <c r="C9046" s="76"/>
    </row>
    <row r="9047" spans="1:3" x14ac:dyDescent="0.2">
      <c r="A9047" s="76"/>
      <c r="C9047" s="76"/>
    </row>
    <row r="9048" spans="1:3" x14ac:dyDescent="0.2">
      <c r="A9048" s="76"/>
      <c r="C9048" s="76"/>
    </row>
    <row r="9049" spans="1:3" x14ac:dyDescent="0.2">
      <c r="A9049" s="76"/>
      <c r="C9049" s="76"/>
    </row>
    <row r="9050" spans="1:3" x14ac:dyDescent="0.2">
      <c r="A9050" s="76"/>
      <c r="C9050" s="76"/>
    </row>
    <row r="9051" spans="1:3" x14ac:dyDescent="0.2">
      <c r="A9051" s="76"/>
      <c r="C9051" s="76"/>
    </row>
    <row r="9052" spans="1:3" x14ac:dyDescent="0.2">
      <c r="A9052" s="76"/>
      <c r="C9052" s="76"/>
    </row>
    <row r="9053" spans="1:3" x14ac:dyDescent="0.2">
      <c r="A9053" s="76"/>
      <c r="C9053" s="76"/>
    </row>
    <row r="9054" spans="1:3" x14ac:dyDescent="0.2">
      <c r="A9054" s="76"/>
      <c r="C9054" s="76"/>
    </row>
    <row r="9055" spans="1:3" x14ac:dyDescent="0.2">
      <c r="A9055" s="76"/>
      <c r="C9055" s="76"/>
    </row>
    <row r="9056" spans="1:3" x14ac:dyDescent="0.2">
      <c r="A9056" s="76"/>
      <c r="C9056" s="76"/>
    </row>
    <row r="9057" spans="1:3" x14ac:dyDescent="0.2">
      <c r="A9057" s="76"/>
      <c r="C9057" s="76"/>
    </row>
    <row r="9058" spans="1:3" x14ac:dyDescent="0.2">
      <c r="A9058" s="76"/>
      <c r="C9058" s="76"/>
    </row>
    <row r="9059" spans="1:3" x14ac:dyDescent="0.2">
      <c r="A9059" s="76"/>
      <c r="C9059" s="76"/>
    </row>
    <row r="9060" spans="1:3" x14ac:dyDescent="0.2">
      <c r="A9060" s="76"/>
      <c r="C9060" s="76"/>
    </row>
    <row r="9061" spans="1:3" x14ac:dyDescent="0.2">
      <c r="A9061" s="76"/>
      <c r="C9061" s="76"/>
    </row>
    <row r="9062" spans="1:3" x14ac:dyDescent="0.2">
      <c r="A9062" s="76"/>
      <c r="C9062" s="76"/>
    </row>
    <row r="9063" spans="1:3" x14ac:dyDescent="0.2">
      <c r="A9063" s="76"/>
      <c r="C9063" s="76"/>
    </row>
    <row r="9064" spans="1:3" x14ac:dyDescent="0.2">
      <c r="A9064" s="76"/>
      <c r="C9064" s="76"/>
    </row>
    <row r="9065" spans="1:3" x14ac:dyDescent="0.2">
      <c r="A9065" s="76"/>
      <c r="C9065" s="76"/>
    </row>
    <row r="9066" spans="1:3" x14ac:dyDescent="0.2">
      <c r="A9066" s="76"/>
      <c r="C9066" s="76"/>
    </row>
    <row r="9067" spans="1:3" x14ac:dyDescent="0.2">
      <c r="A9067" s="76"/>
      <c r="C9067" s="76"/>
    </row>
    <row r="9068" spans="1:3" x14ac:dyDescent="0.2">
      <c r="A9068" s="76"/>
      <c r="C9068" s="76"/>
    </row>
    <row r="9069" spans="1:3" x14ac:dyDescent="0.2">
      <c r="A9069" s="76"/>
      <c r="C9069" s="76"/>
    </row>
    <row r="9070" spans="1:3" x14ac:dyDescent="0.2">
      <c r="A9070" s="76"/>
      <c r="C9070" s="76"/>
    </row>
    <row r="9071" spans="1:3" x14ac:dyDescent="0.2">
      <c r="A9071" s="76"/>
      <c r="C9071" s="76"/>
    </row>
    <row r="9072" spans="1:3" x14ac:dyDescent="0.2">
      <c r="A9072" s="76"/>
      <c r="C9072" s="76"/>
    </row>
    <row r="9073" spans="1:3" x14ac:dyDescent="0.2">
      <c r="A9073" s="76"/>
      <c r="C9073" s="76"/>
    </row>
    <row r="9074" spans="1:3" x14ac:dyDescent="0.2">
      <c r="A9074" s="76"/>
      <c r="C9074" s="76"/>
    </row>
    <row r="9075" spans="1:3" x14ac:dyDescent="0.2">
      <c r="A9075" s="76"/>
      <c r="C9075" s="76"/>
    </row>
    <row r="9076" spans="1:3" x14ac:dyDescent="0.2">
      <c r="A9076" s="76"/>
      <c r="C9076" s="76"/>
    </row>
    <row r="9077" spans="1:3" x14ac:dyDescent="0.2">
      <c r="A9077" s="76"/>
      <c r="C9077" s="76"/>
    </row>
    <row r="9078" spans="1:3" x14ac:dyDescent="0.2">
      <c r="A9078" s="76"/>
      <c r="C9078" s="76"/>
    </row>
    <row r="9079" spans="1:3" x14ac:dyDescent="0.2">
      <c r="A9079" s="76"/>
      <c r="C9079" s="76"/>
    </row>
    <row r="9080" spans="1:3" x14ac:dyDescent="0.2">
      <c r="A9080" s="76"/>
      <c r="C9080" s="76"/>
    </row>
    <row r="9081" spans="1:3" x14ac:dyDescent="0.2">
      <c r="A9081" s="76"/>
      <c r="C9081" s="76"/>
    </row>
    <row r="9082" spans="1:3" x14ac:dyDescent="0.2">
      <c r="A9082" s="76"/>
      <c r="C9082" s="76"/>
    </row>
    <row r="9083" spans="1:3" x14ac:dyDescent="0.2">
      <c r="A9083" s="76"/>
      <c r="C9083" s="76"/>
    </row>
    <row r="9084" spans="1:3" x14ac:dyDescent="0.2">
      <c r="A9084" s="76"/>
      <c r="C9084" s="76"/>
    </row>
    <row r="9085" spans="1:3" x14ac:dyDescent="0.2">
      <c r="A9085" s="76"/>
      <c r="C9085" s="76"/>
    </row>
    <row r="9086" spans="1:3" x14ac:dyDescent="0.2">
      <c r="A9086" s="76"/>
      <c r="C9086" s="76"/>
    </row>
    <row r="9087" spans="1:3" x14ac:dyDescent="0.2">
      <c r="A9087" s="76"/>
      <c r="C9087" s="76"/>
    </row>
    <row r="9088" spans="1:3" x14ac:dyDescent="0.2">
      <c r="A9088" s="76"/>
      <c r="C9088" s="76"/>
    </row>
    <row r="9089" spans="1:3" x14ac:dyDescent="0.2">
      <c r="A9089" s="76"/>
      <c r="C9089" s="76"/>
    </row>
    <row r="9090" spans="1:3" x14ac:dyDescent="0.2">
      <c r="A9090" s="76"/>
      <c r="C9090" s="76"/>
    </row>
    <row r="9091" spans="1:3" x14ac:dyDescent="0.2">
      <c r="A9091" s="76"/>
      <c r="C9091" s="76"/>
    </row>
    <row r="9092" spans="1:3" x14ac:dyDescent="0.2">
      <c r="A9092" s="76"/>
      <c r="C9092" s="76"/>
    </row>
    <row r="9093" spans="1:3" x14ac:dyDescent="0.2">
      <c r="A9093" s="76"/>
      <c r="C9093" s="76"/>
    </row>
    <row r="9094" spans="1:3" x14ac:dyDescent="0.2">
      <c r="A9094" s="76"/>
      <c r="C9094" s="76"/>
    </row>
    <row r="9095" spans="1:3" x14ac:dyDescent="0.2">
      <c r="A9095" s="76"/>
      <c r="C9095" s="76"/>
    </row>
    <row r="9096" spans="1:3" x14ac:dyDescent="0.2">
      <c r="A9096" s="76"/>
      <c r="C9096" s="76"/>
    </row>
    <row r="9097" spans="1:3" x14ac:dyDescent="0.2">
      <c r="A9097" s="76"/>
      <c r="C9097" s="76"/>
    </row>
    <row r="9098" spans="1:3" x14ac:dyDescent="0.2">
      <c r="A9098" s="76"/>
      <c r="C9098" s="76"/>
    </row>
    <row r="9099" spans="1:3" x14ac:dyDescent="0.2">
      <c r="A9099" s="76"/>
      <c r="C9099" s="76"/>
    </row>
    <row r="9100" spans="1:3" x14ac:dyDescent="0.2">
      <c r="A9100" s="76"/>
      <c r="C9100" s="76"/>
    </row>
    <row r="9101" spans="1:3" x14ac:dyDescent="0.2">
      <c r="A9101" s="76"/>
      <c r="C9101" s="76"/>
    </row>
    <row r="9102" spans="1:3" x14ac:dyDescent="0.2">
      <c r="A9102" s="76"/>
      <c r="C9102" s="76"/>
    </row>
    <row r="9103" spans="1:3" x14ac:dyDescent="0.2">
      <c r="A9103" s="76"/>
      <c r="C9103" s="76"/>
    </row>
    <row r="9104" spans="1:3" x14ac:dyDescent="0.2">
      <c r="A9104" s="76"/>
      <c r="C9104" s="76"/>
    </row>
    <row r="9105" spans="1:3" x14ac:dyDescent="0.2">
      <c r="A9105" s="76"/>
      <c r="C9105" s="76"/>
    </row>
    <row r="9106" spans="1:3" x14ac:dyDescent="0.2">
      <c r="A9106" s="76"/>
      <c r="C9106" s="76"/>
    </row>
    <row r="9107" spans="1:3" x14ac:dyDescent="0.2">
      <c r="A9107" s="76"/>
      <c r="C9107" s="76"/>
    </row>
    <row r="9108" spans="1:3" x14ac:dyDescent="0.2">
      <c r="A9108" s="76"/>
      <c r="C9108" s="76"/>
    </row>
    <row r="9109" spans="1:3" x14ac:dyDescent="0.2">
      <c r="A9109" s="76"/>
      <c r="C9109" s="76"/>
    </row>
    <row r="9110" spans="1:3" x14ac:dyDescent="0.2">
      <c r="A9110" s="76"/>
      <c r="C9110" s="76"/>
    </row>
    <row r="9111" spans="1:3" x14ac:dyDescent="0.2">
      <c r="A9111" s="76"/>
      <c r="C9111" s="76"/>
    </row>
    <row r="9112" spans="1:3" x14ac:dyDescent="0.2">
      <c r="A9112" s="76"/>
      <c r="C9112" s="76"/>
    </row>
    <row r="9113" spans="1:3" x14ac:dyDescent="0.2">
      <c r="A9113" s="76"/>
      <c r="C9113" s="76"/>
    </row>
    <row r="9114" spans="1:3" x14ac:dyDescent="0.2">
      <c r="A9114" s="76"/>
      <c r="C9114" s="76"/>
    </row>
    <row r="9115" spans="1:3" x14ac:dyDescent="0.2">
      <c r="A9115" s="76"/>
      <c r="C9115" s="76"/>
    </row>
    <row r="9116" spans="1:3" x14ac:dyDescent="0.2">
      <c r="A9116" s="76"/>
      <c r="C9116" s="76"/>
    </row>
    <row r="9117" spans="1:3" x14ac:dyDescent="0.2">
      <c r="A9117" s="76"/>
      <c r="C9117" s="76"/>
    </row>
    <row r="9118" spans="1:3" x14ac:dyDescent="0.2">
      <c r="A9118" s="76"/>
      <c r="C9118" s="76"/>
    </row>
    <row r="9119" spans="1:3" x14ac:dyDescent="0.2">
      <c r="A9119" s="76"/>
      <c r="C9119" s="76"/>
    </row>
    <row r="9120" spans="1:3" x14ac:dyDescent="0.2">
      <c r="A9120" s="76"/>
      <c r="C9120" s="76"/>
    </row>
    <row r="9121" spans="1:3" x14ac:dyDescent="0.2">
      <c r="A9121" s="76"/>
      <c r="C9121" s="76"/>
    </row>
    <row r="9122" spans="1:3" x14ac:dyDescent="0.2">
      <c r="A9122" s="76"/>
      <c r="C9122" s="76"/>
    </row>
    <row r="9123" spans="1:3" x14ac:dyDescent="0.2">
      <c r="A9123" s="76"/>
      <c r="C9123" s="76"/>
    </row>
    <row r="9124" spans="1:3" x14ac:dyDescent="0.2">
      <c r="A9124" s="76"/>
      <c r="C9124" s="76"/>
    </row>
    <row r="9125" spans="1:3" x14ac:dyDescent="0.2">
      <c r="A9125" s="76"/>
      <c r="C9125" s="76"/>
    </row>
    <row r="9126" spans="1:3" x14ac:dyDescent="0.2">
      <c r="A9126" s="76"/>
      <c r="C9126" s="76"/>
    </row>
    <row r="9127" spans="1:3" x14ac:dyDescent="0.2">
      <c r="A9127" s="76"/>
      <c r="C9127" s="76"/>
    </row>
    <row r="9128" spans="1:3" x14ac:dyDescent="0.2">
      <c r="A9128" s="76"/>
      <c r="C9128" s="76"/>
    </row>
    <row r="9129" spans="1:3" x14ac:dyDescent="0.2">
      <c r="A9129" s="76"/>
      <c r="C9129" s="76"/>
    </row>
    <row r="9130" spans="1:3" x14ac:dyDescent="0.2">
      <c r="A9130" s="76"/>
      <c r="C9130" s="76"/>
    </row>
    <row r="9131" spans="1:3" x14ac:dyDescent="0.2">
      <c r="A9131" s="76"/>
      <c r="C9131" s="76"/>
    </row>
    <row r="9132" spans="1:3" x14ac:dyDescent="0.2">
      <c r="A9132" s="76"/>
      <c r="C9132" s="76"/>
    </row>
    <row r="9133" spans="1:3" x14ac:dyDescent="0.2">
      <c r="A9133" s="76"/>
      <c r="C9133" s="76"/>
    </row>
    <row r="9134" spans="1:3" x14ac:dyDescent="0.2">
      <c r="A9134" s="76"/>
      <c r="C9134" s="76"/>
    </row>
    <row r="9135" spans="1:3" x14ac:dyDescent="0.2">
      <c r="A9135" s="76"/>
      <c r="C9135" s="76"/>
    </row>
    <row r="9136" spans="1:3" x14ac:dyDescent="0.2">
      <c r="A9136" s="76"/>
      <c r="C9136" s="76"/>
    </row>
    <row r="9137" spans="1:3" x14ac:dyDescent="0.2">
      <c r="A9137" s="76"/>
      <c r="C9137" s="76"/>
    </row>
    <row r="9138" spans="1:3" x14ac:dyDescent="0.2">
      <c r="A9138" s="76"/>
      <c r="C9138" s="76"/>
    </row>
    <row r="9139" spans="1:3" x14ac:dyDescent="0.2">
      <c r="A9139" s="76"/>
      <c r="C9139" s="76"/>
    </row>
    <row r="9140" spans="1:3" x14ac:dyDescent="0.2">
      <c r="A9140" s="76"/>
      <c r="C9140" s="76"/>
    </row>
    <row r="9141" spans="1:3" x14ac:dyDescent="0.2">
      <c r="A9141" s="76"/>
      <c r="C9141" s="76"/>
    </row>
    <row r="9142" spans="1:3" x14ac:dyDescent="0.2">
      <c r="A9142" s="76"/>
      <c r="C9142" s="76"/>
    </row>
    <row r="9143" spans="1:3" x14ac:dyDescent="0.2">
      <c r="A9143" s="76"/>
      <c r="C9143" s="76"/>
    </row>
    <row r="9144" spans="1:3" x14ac:dyDescent="0.2">
      <c r="A9144" s="76"/>
      <c r="C9144" s="76"/>
    </row>
    <row r="9145" spans="1:3" x14ac:dyDescent="0.2">
      <c r="A9145" s="76"/>
      <c r="C9145" s="76"/>
    </row>
    <row r="9146" spans="1:3" x14ac:dyDescent="0.2">
      <c r="A9146" s="76"/>
      <c r="C9146" s="76"/>
    </row>
    <row r="9147" spans="1:3" x14ac:dyDescent="0.2">
      <c r="A9147" s="76"/>
      <c r="C9147" s="76"/>
    </row>
    <row r="9148" spans="1:3" x14ac:dyDescent="0.2">
      <c r="A9148" s="76"/>
      <c r="C9148" s="76"/>
    </row>
    <row r="9149" spans="1:3" x14ac:dyDescent="0.2">
      <c r="A9149" s="76"/>
      <c r="C9149" s="76"/>
    </row>
    <row r="9150" spans="1:3" x14ac:dyDescent="0.2">
      <c r="A9150" s="76"/>
      <c r="C9150" s="76"/>
    </row>
    <row r="9151" spans="1:3" x14ac:dyDescent="0.2">
      <c r="A9151" s="76"/>
      <c r="C9151" s="76"/>
    </row>
    <row r="9152" spans="1:3" x14ac:dyDescent="0.2">
      <c r="A9152" s="76"/>
      <c r="C9152" s="76"/>
    </row>
    <row r="9153" spans="1:3" x14ac:dyDescent="0.2">
      <c r="A9153" s="76"/>
      <c r="C9153" s="76"/>
    </row>
    <row r="9154" spans="1:3" x14ac:dyDescent="0.2">
      <c r="A9154" s="76"/>
      <c r="C9154" s="76"/>
    </row>
    <row r="9155" spans="1:3" x14ac:dyDescent="0.2">
      <c r="A9155" s="76"/>
      <c r="C9155" s="76"/>
    </row>
    <row r="9156" spans="1:3" x14ac:dyDescent="0.2">
      <c r="A9156" s="76"/>
      <c r="C9156" s="76"/>
    </row>
    <row r="9157" spans="1:3" x14ac:dyDescent="0.2">
      <c r="A9157" s="76"/>
      <c r="C9157" s="76"/>
    </row>
    <row r="9158" spans="1:3" x14ac:dyDescent="0.2">
      <c r="A9158" s="76"/>
      <c r="C9158" s="76"/>
    </row>
    <row r="9159" spans="1:3" x14ac:dyDescent="0.2">
      <c r="A9159" s="76"/>
      <c r="C9159" s="76"/>
    </row>
    <row r="9160" spans="1:3" x14ac:dyDescent="0.2">
      <c r="A9160" s="76"/>
      <c r="C9160" s="76"/>
    </row>
    <row r="9161" spans="1:3" x14ac:dyDescent="0.2">
      <c r="A9161" s="76"/>
      <c r="C9161" s="76"/>
    </row>
    <row r="9162" spans="1:3" x14ac:dyDescent="0.2">
      <c r="A9162" s="76"/>
      <c r="C9162" s="76"/>
    </row>
    <row r="9163" spans="1:3" x14ac:dyDescent="0.2">
      <c r="A9163" s="76"/>
      <c r="C9163" s="76"/>
    </row>
    <row r="9164" spans="1:3" x14ac:dyDescent="0.2">
      <c r="A9164" s="76"/>
      <c r="C9164" s="76"/>
    </row>
    <row r="9165" spans="1:3" x14ac:dyDescent="0.2">
      <c r="A9165" s="76"/>
      <c r="C9165" s="76"/>
    </row>
    <row r="9166" spans="1:3" x14ac:dyDescent="0.2">
      <c r="A9166" s="76"/>
      <c r="C9166" s="76"/>
    </row>
    <row r="9167" spans="1:3" x14ac:dyDescent="0.2">
      <c r="A9167" s="76"/>
      <c r="C9167" s="76"/>
    </row>
    <row r="9168" spans="1:3" x14ac:dyDescent="0.2">
      <c r="A9168" s="76"/>
      <c r="C9168" s="76"/>
    </row>
    <row r="9169" spans="1:3" x14ac:dyDescent="0.2">
      <c r="A9169" s="76"/>
      <c r="C9169" s="76"/>
    </row>
    <row r="9170" spans="1:3" x14ac:dyDescent="0.2">
      <c r="A9170" s="76"/>
      <c r="C9170" s="76"/>
    </row>
    <row r="9171" spans="1:3" x14ac:dyDescent="0.2">
      <c r="A9171" s="76"/>
      <c r="C9171" s="76"/>
    </row>
    <row r="9172" spans="1:3" x14ac:dyDescent="0.2">
      <c r="A9172" s="76"/>
      <c r="C9172" s="76"/>
    </row>
    <row r="9173" spans="1:3" x14ac:dyDescent="0.2">
      <c r="A9173" s="76"/>
      <c r="C9173" s="76"/>
    </row>
    <row r="9174" spans="1:3" x14ac:dyDescent="0.2">
      <c r="A9174" s="76"/>
      <c r="C9174" s="76"/>
    </row>
    <row r="9175" spans="1:3" x14ac:dyDescent="0.2">
      <c r="A9175" s="76"/>
      <c r="C9175" s="76"/>
    </row>
    <row r="9176" spans="1:3" x14ac:dyDescent="0.2">
      <c r="A9176" s="76"/>
      <c r="C9176" s="76"/>
    </row>
    <row r="9177" spans="1:3" x14ac:dyDescent="0.2">
      <c r="A9177" s="76"/>
      <c r="C9177" s="76"/>
    </row>
    <row r="9178" spans="1:3" x14ac:dyDescent="0.2">
      <c r="A9178" s="76"/>
      <c r="C9178" s="76"/>
    </row>
    <row r="9179" spans="1:3" x14ac:dyDescent="0.2">
      <c r="A9179" s="76"/>
      <c r="C9179" s="76"/>
    </row>
    <row r="9180" spans="1:3" x14ac:dyDescent="0.2">
      <c r="A9180" s="76"/>
      <c r="C9180" s="76"/>
    </row>
    <row r="9181" spans="1:3" x14ac:dyDescent="0.2">
      <c r="A9181" s="76"/>
      <c r="C9181" s="76"/>
    </row>
    <row r="9182" spans="1:3" x14ac:dyDescent="0.2">
      <c r="A9182" s="76"/>
      <c r="C9182" s="76"/>
    </row>
    <row r="9183" spans="1:3" x14ac:dyDescent="0.2">
      <c r="A9183" s="76"/>
      <c r="C9183" s="76"/>
    </row>
    <row r="9184" spans="1:3" x14ac:dyDescent="0.2">
      <c r="A9184" s="76"/>
      <c r="C9184" s="76"/>
    </row>
    <row r="9185" spans="1:3" x14ac:dyDescent="0.2">
      <c r="A9185" s="76"/>
      <c r="C9185" s="76"/>
    </row>
    <row r="9186" spans="1:3" x14ac:dyDescent="0.2">
      <c r="A9186" s="76"/>
      <c r="C9186" s="76"/>
    </row>
    <row r="9187" spans="1:3" x14ac:dyDescent="0.2">
      <c r="A9187" s="76"/>
      <c r="C9187" s="76"/>
    </row>
    <row r="9188" spans="1:3" x14ac:dyDescent="0.2">
      <c r="A9188" s="76"/>
      <c r="C9188" s="76"/>
    </row>
    <row r="9189" spans="1:3" x14ac:dyDescent="0.2">
      <c r="A9189" s="76"/>
      <c r="C9189" s="76"/>
    </row>
    <row r="9190" spans="1:3" x14ac:dyDescent="0.2">
      <c r="A9190" s="76"/>
      <c r="C9190" s="76"/>
    </row>
    <row r="9191" spans="1:3" x14ac:dyDescent="0.2">
      <c r="A9191" s="76"/>
      <c r="C9191" s="76"/>
    </row>
    <row r="9192" spans="1:3" x14ac:dyDescent="0.2">
      <c r="A9192" s="76"/>
      <c r="C9192" s="76"/>
    </row>
    <row r="9193" spans="1:3" x14ac:dyDescent="0.2">
      <c r="A9193" s="76"/>
      <c r="C9193" s="76"/>
    </row>
    <row r="9194" spans="1:3" x14ac:dyDescent="0.2">
      <c r="A9194" s="76"/>
      <c r="C9194" s="76"/>
    </row>
    <row r="9195" spans="1:3" x14ac:dyDescent="0.2">
      <c r="A9195" s="76"/>
      <c r="C9195" s="76"/>
    </row>
    <row r="9196" spans="1:3" x14ac:dyDescent="0.2">
      <c r="A9196" s="76"/>
      <c r="C9196" s="76"/>
    </row>
    <row r="9197" spans="1:3" x14ac:dyDescent="0.2">
      <c r="A9197" s="76"/>
      <c r="C9197" s="76"/>
    </row>
    <row r="9198" spans="1:3" x14ac:dyDescent="0.2">
      <c r="A9198" s="76"/>
      <c r="C9198" s="76"/>
    </row>
    <row r="9199" spans="1:3" x14ac:dyDescent="0.2">
      <c r="A9199" s="76"/>
      <c r="C9199" s="76"/>
    </row>
    <row r="9200" spans="1:3" x14ac:dyDescent="0.2">
      <c r="A9200" s="76"/>
      <c r="C9200" s="76"/>
    </row>
    <row r="9201" spans="1:3" x14ac:dyDescent="0.2">
      <c r="A9201" s="76"/>
      <c r="C9201" s="76"/>
    </row>
    <row r="9202" spans="1:3" x14ac:dyDescent="0.2">
      <c r="A9202" s="76"/>
      <c r="C9202" s="76"/>
    </row>
    <row r="9203" spans="1:3" x14ac:dyDescent="0.2">
      <c r="A9203" s="76"/>
      <c r="C9203" s="76"/>
    </row>
    <row r="9204" spans="1:3" x14ac:dyDescent="0.2">
      <c r="A9204" s="76"/>
      <c r="C9204" s="76"/>
    </row>
    <row r="9205" spans="1:3" x14ac:dyDescent="0.2">
      <c r="A9205" s="76"/>
      <c r="C9205" s="76"/>
    </row>
    <row r="9206" spans="1:3" x14ac:dyDescent="0.2">
      <c r="A9206" s="76"/>
      <c r="C9206" s="76"/>
    </row>
    <row r="9207" spans="1:3" x14ac:dyDescent="0.2">
      <c r="A9207" s="76"/>
      <c r="C9207" s="76"/>
    </row>
    <row r="9208" spans="1:3" x14ac:dyDescent="0.2">
      <c r="A9208" s="76"/>
      <c r="C9208" s="76"/>
    </row>
    <row r="9209" spans="1:3" x14ac:dyDescent="0.2">
      <c r="A9209" s="76"/>
      <c r="C9209" s="76"/>
    </row>
    <row r="9210" spans="1:3" x14ac:dyDescent="0.2">
      <c r="A9210" s="76"/>
      <c r="C9210" s="76"/>
    </row>
    <row r="9211" spans="1:3" x14ac:dyDescent="0.2">
      <c r="A9211" s="76"/>
      <c r="C9211" s="76"/>
    </row>
    <row r="9212" spans="1:3" x14ac:dyDescent="0.2">
      <c r="A9212" s="76"/>
      <c r="C9212" s="76"/>
    </row>
    <row r="9213" spans="1:3" x14ac:dyDescent="0.2">
      <c r="A9213" s="76"/>
      <c r="C9213" s="76"/>
    </row>
    <row r="9214" spans="1:3" x14ac:dyDescent="0.2">
      <c r="A9214" s="76"/>
      <c r="C9214" s="76"/>
    </row>
    <row r="9215" spans="1:3" x14ac:dyDescent="0.2">
      <c r="A9215" s="76"/>
      <c r="C9215" s="76"/>
    </row>
    <row r="9216" spans="1:3" x14ac:dyDescent="0.2">
      <c r="A9216" s="76"/>
      <c r="C9216" s="76"/>
    </row>
    <row r="9217" spans="1:3" x14ac:dyDescent="0.2">
      <c r="A9217" s="76"/>
      <c r="C9217" s="76"/>
    </row>
    <row r="9218" spans="1:3" x14ac:dyDescent="0.2">
      <c r="A9218" s="76"/>
      <c r="C9218" s="76"/>
    </row>
    <row r="9219" spans="1:3" x14ac:dyDescent="0.2">
      <c r="A9219" s="76"/>
      <c r="C9219" s="76"/>
    </row>
    <row r="9220" spans="1:3" x14ac:dyDescent="0.2">
      <c r="A9220" s="76"/>
      <c r="C9220" s="76"/>
    </row>
    <row r="9221" spans="1:3" x14ac:dyDescent="0.2">
      <c r="A9221" s="76"/>
      <c r="C9221" s="76"/>
    </row>
    <row r="9222" spans="1:3" x14ac:dyDescent="0.2">
      <c r="A9222" s="76"/>
      <c r="C9222" s="76"/>
    </row>
    <row r="9223" spans="1:3" x14ac:dyDescent="0.2">
      <c r="A9223" s="76"/>
      <c r="C9223" s="76"/>
    </row>
    <row r="9224" spans="1:3" x14ac:dyDescent="0.2">
      <c r="A9224" s="76"/>
      <c r="C9224" s="76"/>
    </row>
    <row r="9225" spans="1:3" x14ac:dyDescent="0.2">
      <c r="A9225" s="76"/>
      <c r="C9225" s="76"/>
    </row>
    <row r="9226" spans="1:3" x14ac:dyDescent="0.2">
      <c r="A9226" s="76"/>
      <c r="C9226" s="76"/>
    </row>
    <row r="9227" spans="1:3" x14ac:dyDescent="0.2">
      <c r="A9227" s="76"/>
      <c r="C9227" s="76"/>
    </row>
    <row r="9228" spans="1:3" x14ac:dyDescent="0.2">
      <c r="A9228" s="76"/>
      <c r="C9228" s="76"/>
    </row>
    <row r="9229" spans="1:3" x14ac:dyDescent="0.2">
      <c r="A9229" s="76"/>
      <c r="C9229" s="76"/>
    </row>
    <row r="9230" spans="1:3" x14ac:dyDescent="0.2">
      <c r="A9230" s="76"/>
      <c r="C9230" s="76"/>
    </row>
    <row r="9231" spans="1:3" x14ac:dyDescent="0.2">
      <c r="A9231" s="76"/>
      <c r="C9231" s="76"/>
    </row>
    <row r="9232" spans="1:3" x14ac:dyDescent="0.2">
      <c r="A9232" s="76"/>
      <c r="C9232" s="76"/>
    </row>
    <row r="9233" spans="1:3" x14ac:dyDescent="0.2">
      <c r="A9233" s="76"/>
      <c r="C9233" s="76"/>
    </row>
    <row r="9234" spans="1:3" x14ac:dyDescent="0.2">
      <c r="A9234" s="76"/>
      <c r="C9234" s="76"/>
    </row>
    <row r="9235" spans="1:3" x14ac:dyDescent="0.2">
      <c r="A9235" s="76"/>
      <c r="C9235" s="76"/>
    </row>
    <row r="9236" spans="1:3" x14ac:dyDescent="0.2">
      <c r="A9236" s="76"/>
      <c r="C9236" s="76"/>
    </row>
    <row r="9237" spans="1:3" x14ac:dyDescent="0.2">
      <c r="A9237" s="76"/>
      <c r="C9237" s="76"/>
    </row>
    <row r="9238" spans="1:3" x14ac:dyDescent="0.2">
      <c r="A9238" s="76"/>
      <c r="C9238" s="76"/>
    </row>
    <row r="9239" spans="1:3" x14ac:dyDescent="0.2">
      <c r="A9239" s="76"/>
      <c r="C9239" s="76"/>
    </row>
    <row r="9240" spans="1:3" x14ac:dyDescent="0.2">
      <c r="A9240" s="76"/>
      <c r="C9240" s="76"/>
    </row>
    <row r="9241" spans="1:3" x14ac:dyDescent="0.2">
      <c r="A9241" s="76"/>
      <c r="C9241" s="76"/>
    </row>
    <row r="9242" spans="1:3" x14ac:dyDescent="0.2">
      <c r="A9242" s="76"/>
      <c r="C9242" s="76"/>
    </row>
    <row r="9243" spans="1:3" x14ac:dyDescent="0.2">
      <c r="A9243" s="76"/>
      <c r="C9243" s="76"/>
    </row>
    <row r="9244" spans="1:3" x14ac:dyDescent="0.2">
      <c r="A9244" s="76"/>
      <c r="C9244" s="76"/>
    </row>
    <row r="9245" spans="1:3" x14ac:dyDescent="0.2">
      <c r="A9245" s="76"/>
      <c r="C9245" s="76"/>
    </row>
    <row r="9246" spans="1:3" x14ac:dyDescent="0.2">
      <c r="A9246" s="76"/>
      <c r="C9246" s="76"/>
    </row>
    <row r="9247" spans="1:3" x14ac:dyDescent="0.2">
      <c r="A9247" s="76"/>
      <c r="C9247" s="76"/>
    </row>
    <row r="9248" spans="1:3" x14ac:dyDescent="0.2">
      <c r="A9248" s="76"/>
      <c r="C9248" s="76"/>
    </row>
    <row r="9249" spans="1:3" x14ac:dyDescent="0.2">
      <c r="A9249" s="76"/>
      <c r="C9249" s="76"/>
    </row>
    <row r="9250" spans="1:3" x14ac:dyDescent="0.2">
      <c r="A9250" s="76"/>
      <c r="C9250" s="76"/>
    </row>
    <row r="9251" spans="1:3" x14ac:dyDescent="0.2">
      <c r="A9251" s="76"/>
      <c r="C9251" s="76"/>
    </row>
    <row r="9252" spans="1:3" x14ac:dyDescent="0.2">
      <c r="A9252" s="76"/>
      <c r="C9252" s="76"/>
    </row>
    <row r="9253" spans="1:3" x14ac:dyDescent="0.2">
      <c r="A9253" s="76"/>
      <c r="C9253" s="76"/>
    </row>
    <row r="9254" spans="1:3" x14ac:dyDescent="0.2">
      <c r="A9254" s="76"/>
      <c r="C9254" s="76"/>
    </row>
    <row r="9255" spans="1:3" x14ac:dyDescent="0.2">
      <c r="A9255" s="76"/>
      <c r="C9255" s="76"/>
    </row>
    <row r="9256" spans="1:3" x14ac:dyDescent="0.2">
      <c r="A9256" s="76"/>
      <c r="C9256" s="76"/>
    </row>
    <row r="9257" spans="1:3" x14ac:dyDescent="0.2">
      <c r="A9257" s="76"/>
      <c r="C9257" s="76"/>
    </row>
    <row r="9258" spans="1:3" x14ac:dyDescent="0.2">
      <c r="A9258" s="76"/>
      <c r="C9258" s="76"/>
    </row>
    <row r="9259" spans="1:3" x14ac:dyDescent="0.2">
      <c r="A9259" s="76"/>
      <c r="C9259" s="76"/>
    </row>
    <row r="9260" spans="1:3" x14ac:dyDescent="0.2">
      <c r="A9260" s="76"/>
      <c r="C9260" s="76"/>
    </row>
    <row r="9261" spans="1:3" x14ac:dyDescent="0.2">
      <c r="A9261" s="76"/>
      <c r="C9261" s="76"/>
    </row>
    <row r="9262" spans="1:3" x14ac:dyDescent="0.2">
      <c r="A9262" s="76"/>
      <c r="C9262" s="76"/>
    </row>
    <row r="9263" spans="1:3" x14ac:dyDescent="0.2">
      <c r="A9263" s="76"/>
      <c r="C9263" s="76"/>
    </row>
    <row r="9264" spans="1:3" x14ac:dyDescent="0.2">
      <c r="A9264" s="76"/>
      <c r="C9264" s="76"/>
    </row>
    <row r="9265" spans="1:3" x14ac:dyDescent="0.2">
      <c r="A9265" s="76"/>
      <c r="C9265" s="76"/>
    </row>
    <row r="9266" spans="1:3" x14ac:dyDescent="0.2">
      <c r="A9266" s="76"/>
      <c r="C9266" s="76"/>
    </row>
    <row r="9267" spans="1:3" x14ac:dyDescent="0.2">
      <c r="A9267" s="76"/>
      <c r="C9267" s="76"/>
    </row>
    <row r="9268" spans="1:3" x14ac:dyDescent="0.2">
      <c r="A9268" s="76"/>
      <c r="C9268" s="76"/>
    </row>
    <row r="9269" spans="1:3" x14ac:dyDescent="0.2">
      <c r="A9269" s="76"/>
      <c r="C9269" s="76"/>
    </row>
    <row r="9270" spans="1:3" x14ac:dyDescent="0.2">
      <c r="A9270" s="76"/>
      <c r="C9270" s="76"/>
    </row>
    <row r="9271" spans="1:3" x14ac:dyDescent="0.2">
      <c r="A9271" s="76"/>
      <c r="C9271" s="76"/>
    </row>
    <row r="9272" spans="1:3" x14ac:dyDescent="0.2">
      <c r="A9272" s="76"/>
      <c r="C9272" s="76"/>
    </row>
    <row r="9273" spans="1:3" x14ac:dyDescent="0.2">
      <c r="A9273" s="76"/>
      <c r="C9273" s="76"/>
    </row>
    <row r="9274" spans="1:3" x14ac:dyDescent="0.2">
      <c r="A9274" s="76"/>
      <c r="C9274" s="76"/>
    </row>
    <row r="9275" spans="1:3" x14ac:dyDescent="0.2">
      <c r="A9275" s="76"/>
      <c r="C9275" s="76"/>
    </row>
    <row r="9276" spans="1:3" x14ac:dyDescent="0.2">
      <c r="A9276" s="76"/>
      <c r="C9276" s="76"/>
    </row>
    <row r="9277" spans="1:3" x14ac:dyDescent="0.2">
      <c r="A9277" s="76"/>
      <c r="C9277" s="76"/>
    </row>
    <row r="9278" spans="1:3" x14ac:dyDescent="0.2">
      <c r="A9278" s="76"/>
      <c r="C9278" s="76"/>
    </row>
    <row r="9279" spans="1:3" x14ac:dyDescent="0.2">
      <c r="A9279" s="76"/>
      <c r="C9279" s="76"/>
    </row>
    <row r="9280" spans="1:3" x14ac:dyDescent="0.2">
      <c r="A9280" s="76"/>
      <c r="C9280" s="76"/>
    </row>
    <row r="9281" spans="1:3" x14ac:dyDescent="0.2">
      <c r="A9281" s="76"/>
      <c r="C9281" s="76"/>
    </row>
    <row r="9282" spans="1:3" x14ac:dyDescent="0.2">
      <c r="A9282" s="76"/>
      <c r="C9282" s="76"/>
    </row>
    <row r="9283" spans="1:3" x14ac:dyDescent="0.2">
      <c r="A9283" s="76"/>
      <c r="C9283" s="76"/>
    </row>
    <row r="9284" spans="1:3" x14ac:dyDescent="0.2">
      <c r="A9284" s="76"/>
      <c r="C9284" s="76"/>
    </row>
    <row r="9285" spans="1:3" x14ac:dyDescent="0.2">
      <c r="A9285" s="76"/>
      <c r="C9285" s="76"/>
    </row>
    <row r="9286" spans="1:3" x14ac:dyDescent="0.2">
      <c r="A9286" s="76"/>
      <c r="C9286" s="76"/>
    </row>
    <row r="9287" spans="1:3" x14ac:dyDescent="0.2">
      <c r="A9287" s="76"/>
      <c r="C9287" s="76"/>
    </row>
    <row r="9288" spans="1:3" x14ac:dyDescent="0.2">
      <c r="A9288" s="76"/>
      <c r="C9288" s="76"/>
    </row>
    <row r="9289" spans="1:3" x14ac:dyDescent="0.2">
      <c r="A9289" s="76"/>
      <c r="C9289" s="76"/>
    </row>
    <row r="9290" spans="1:3" x14ac:dyDescent="0.2">
      <c r="A9290" s="76"/>
      <c r="C9290" s="76"/>
    </row>
    <row r="9291" spans="1:3" x14ac:dyDescent="0.2">
      <c r="A9291" s="76"/>
      <c r="C9291" s="76"/>
    </row>
    <row r="9292" spans="1:3" x14ac:dyDescent="0.2">
      <c r="A9292" s="76"/>
      <c r="C9292" s="76"/>
    </row>
    <row r="9293" spans="1:3" x14ac:dyDescent="0.2">
      <c r="A9293" s="76"/>
      <c r="C9293" s="76"/>
    </row>
    <row r="9294" spans="1:3" x14ac:dyDescent="0.2">
      <c r="A9294" s="76"/>
      <c r="C9294" s="76"/>
    </row>
    <row r="9295" spans="1:3" x14ac:dyDescent="0.2">
      <c r="A9295" s="76"/>
      <c r="C9295" s="76"/>
    </row>
    <row r="9296" spans="1:3" x14ac:dyDescent="0.2">
      <c r="A9296" s="76"/>
      <c r="C9296" s="76"/>
    </row>
    <row r="9297" spans="1:3" x14ac:dyDescent="0.2">
      <c r="A9297" s="76"/>
      <c r="C9297" s="76"/>
    </row>
    <row r="9298" spans="1:3" x14ac:dyDescent="0.2">
      <c r="A9298" s="76"/>
      <c r="C9298" s="76"/>
    </row>
    <row r="9299" spans="1:3" x14ac:dyDescent="0.2">
      <c r="A9299" s="76"/>
      <c r="C9299" s="76"/>
    </row>
    <row r="9300" spans="1:3" x14ac:dyDescent="0.2">
      <c r="A9300" s="76"/>
      <c r="C9300" s="76"/>
    </row>
    <row r="9301" spans="1:3" x14ac:dyDescent="0.2">
      <c r="A9301" s="76"/>
      <c r="C9301" s="76"/>
    </row>
    <row r="9302" spans="1:3" x14ac:dyDescent="0.2">
      <c r="A9302" s="76"/>
      <c r="C9302" s="76"/>
    </row>
    <row r="9303" spans="1:3" x14ac:dyDescent="0.2">
      <c r="A9303" s="76"/>
      <c r="C9303" s="76"/>
    </row>
    <row r="9304" spans="1:3" x14ac:dyDescent="0.2">
      <c r="A9304" s="76"/>
      <c r="C9304" s="76"/>
    </row>
    <row r="9305" spans="1:3" x14ac:dyDescent="0.2">
      <c r="A9305" s="76"/>
      <c r="C9305" s="76"/>
    </row>
    <row r="9306" spans="1:3" x14ac:dyDescent="0.2">
      <c r="A9306" s="76"/>
      <c r="C9306" s="76"/>
    </row>
    <row r="9307" spans="1:3" x14ac:dyDescent="0.2">
      <c r="A9307" s="76"/>
      <c r="C9307" s="76"/>
    </row>
    <row r="9308" spans="1:3" x14ac:dyDescent="0.2">
      <c r="A9308" s="76"/>
      <c r="C9308" s="76"/>
    </row>
    <row r="9309" spans="1:3" x14ac:dyDescent="0.2">
      <c r="A9309" s="76"/>
      <c r="C9309" s="76"/>
    </row>
    <row r="9310" spans="1:3" x14ac:dyDescent="0.2">
      <c r="A9310" s="76"/>
      <c r="C9310" s="76"/>
    </row>
    <row r="9311" spans="1:3" x14ac:dyDescent="0.2">
      <c r="A9311" s="76"/>
      <c r="C9311" s="76"/>
    </row>
    <row r="9312" spans="1:3" x14ac:dyDescent="0.2">
      <c r="A9312" s="76"/>
      <c r="C9312" s="76"/>
    </row>
    <row r="9313" spans="1:3" x14ac:dyDescent="0.2">
      <c r="A9313" s="76"/>
      <c r="C9313" s="76"/>
    </row>
    <row r="9314" spans="1:3" x14ac:dyDescent="0.2">
      <c r="A9314" s="76"/>
      <c r="C9314" s="76"/>
    </row>
    <row r="9315" spans="1:3" x14ac:dyDescent="0.2">
      <c r="A9315" s="76"/>
      <c r="C9315" s="76"/>
    </row>
    <row r="9316" spans="1:3" x14ac:dyDescent="0.2">
      <c r="A9316" s="76"/>
      <c r="C9316" s="76"/>
    </row>
    <row r="9317" spans="1:3" x14ac:dyDescent="0.2">
      <c r="A9317" s="76"/>
      <c r="C9317" s="76"/>
    </row>
    <row r="9318" spans="1:3" x14ac:dyDescent="0.2">
      <c r="A9318" s="76"/>
      <c r="C9318" s="76"/>
    </row>
    <row r="9319" spans="1:3" x14ac:dyDescent="0.2">
      <c r="A9319" s="76"/>
      <c r="C9319" s="76"/>
    </row>
    <row r="9320" spans="1:3" x14ac:dyDescent="0.2">
      <c r="A9320" s="76"/>
      <c r="C9320" s="76"/>
    </row>
    <row r="9321" spans="1:3" x14ac:dyDescent="0.2">
      <c r="A9321" s="76"/>
      <c r="C9321" s="76"/>
    </row>
    <row r="9322" spans="1:3" x14ac:dyDescent="0.2">
      <c r="A9322" s="76"/>
      <c r="C9322" s="76"/>
    </row>
    <row r="9323" spans="1:3" x14ac:dyDescent="0.2">
      <c r="A9323" s="76"/>
      <c r="C9323" s="76"/>
    </row>
    <row r="9324" spans="1:3" x14ac:dyDescent="0.2">
      <c r="A9324" s="76"/>
      <c r="C9324" s="76"/>
    </row>
    <row r="9325" spans="1:3" x14ac:dyDescent="0.2">
      <c r="A9325" s="76"/>
      <c r="C9325" s="76"/>
    </row>
    <row r="9326" spans="1:3" x14ac:dyDescent="0.2">
      <c r="A9326" s="76"/>
      <c r="C9326" s="76"/>
    </row>
    <row r="9327" spans="1:3" x14ac:dyDescent="0.2">
      <c r="A9327" s="76"/>
      <c r="C9327" s="76"/>
    </row>
    <row r="9328" spans="1:3" x14ac:dyDescent="0.2">
      <c r="A9328" s="76"/>
      <c r="C9328" s="76"/>
    </row>
    <row r="9329" spans="1:3" x14ac:dyDescent="0.2">
      <c r="A9329" s="76"/>
      <c r="C9329" s="76"/>
    </row>
    <row r="9330" spans="1:3" x14ac:dyDescent="0.2">
      <c r="A9330" s="76"/>
      <c r="C9330" s="76"/>
    </row>
    <row r="9331" spans="1:3" x14ac:dyDescent="0.2">
      <c r="A9331" s="76"/>
      <c r="C9331" s="76"/>
    </row>
    <row r="9332" spans="1:3" x14ac:dyDescent="0.2">
      <c r="A9332" s="76"/>
      <c r="C9332" s="76"/>
    </row>
    <row r="9333" spans="1:3" x14ac:dyDescent="0.2">
      <c r="A9333" s="76"/>
      <c r="C9333" s="76"/>
    </row>
    <row r="9334" spans="1:3" x14ac:dyDescent="0.2">
      <c r="A9334" s="76"/>
      <c r="C9334" s="76"/>
    </row>
    <row r="9335" spans="1:3" x14ac:dyDescent="0.2">
      <c r="A9335" s="76"/>
      <c r="C9335" s="76"/>
    </row>
    <row r="9336" spans="1:3" x14ac:dyDescent="0.2">
      <c r="A9336" s="76"/>
      <c r="C9336" s="76"/>
    </row>
    <row r="9337" spans="1:3" x14ac:dyDescent="0.2">
      <c r="A9337" s="76"/>
      <c r="C9337" s="76"/>
    </row>
    <row r="9338" spans="1:3" x14ac:dyDescent="0.2">
      <c r="A9338" s="76"/>
      <c r="C9338" s="76"/>
    </row>
    <row r="9339" spans="1:3" x14ac:dyDescent="0.2">
      <c r="A9339" s="76"/>
      <c r="C9339" s="76"/>
    </row>
    <row r="9340" spans="1:3" x14ac:dyDescent="0.2">
      <c r="A9340" s="76"/>
      <c r="C9340" s="76"/>
    </row>
    <row r="9341" spans="1:3" x14ac:dyDescent="0.2">
      <c r="A9341" s="76"/>
      <c r="C9341" s="76"/>
    </row>
    <row r="9342" spans="1:3" x14ac:dyDescent="0.2">
      <c r="A9342" s="76"/>
      <c r="C9342" s="76"/>
    </row>
    <row r="9343" spans="1:3" x14ac:dyDescent="0.2">
      <c r="A9343" s="76"/>
      <c r="C9343" s="76"/>
    </row>
    <row r="9344" spans="1:3" x14ac:dyDescent="0.2">
      <c r="A9344" s="76"/>
      <c r="C9344" s="76"/>
    </row>
    <row r="9345" spans="1:3" x14ac:dyDescent="0.2">
      <c r="A9345" s="76"/>
      <c r="C9345" s="76"/>
    </row>
    <row r="9346" spans="1:3" x14ac:dyDescent="0.2">
      <c r="A9346" s="76"/>
      <c r="C9346" s="76"/>
    </row>
    <row r="9347" spans="1:3" x14ac:dyDescent="0.2">
      <c r="A9347" s="76"/>
      <c r="C9347" s="76"/>
    </row>
    <row r="9348" spans="1:3" x14ac:dyDescent="0.2">
      <c r="A9348" s="76"/>
      <c r="C9348" s="76"/>
    </row>
    <row r="9349" spans="1:3" x14ac:dyDescent="0.2">
      <c r="A9349" s="76"/>
      <c r="C9349" s="76"/>
    </row>
    <row r="9350" spans="1:3" x14ac:dyDescent="0.2">
      <c r="A9350" s="76"/>
      <c r="C9350" s="76"/>
    </row>
    <row r="9351" spans="1:3" x14ac:dyDescent="0.2">
      <c r="A9351" s="76"/>
      <c r="C9351" s="76"/>
    </row>
    <row r="9352" spans="1:3" x14ac:dyDescent="0.2">
      <c r="A9352" s="76"/>
      <c r="C9352" s="76"/>
    </row>
    <row r="9353" spans="1:3" x14ac:dyDescent="0.2">
      <c r="A9353" s="76"/>
      <c r="C9353" s="76"/>
    </row>
    <row r="9354" spans="1:3" x14ac:dyDescent="0.2">
      <c r="A9354" s="76"/>
      <c r="C9354" s="76"/>
    </row>
    <row r="9355" spans="1:3" x14ac:dyDescent="0.2">
      <c r="A9355" s="76"/>
      <c r="C9355" s="76"/>
    </row>
    <row r="9356" spans="1:3" x14ac:dyDescent="0.2">
      <c r="A9356" s="76"/>
      <c r="C9356" s="76"/>
    </row>
    <row r="9357" spans="1:3" x14ac:dyDescent="0.2">
      <c r="A9357" s="76"/>
      <c r="C9357" s="76"/>
    </row>
    <row r="9358" spans="1:3" x14ac:dyDescent="0.2">
      <c r="A9358" s="76"/>
      <c r="C9358" s="76"/>
    </row>
    <row r="9359" spans="1:3" x14ac:dyDescent="0.2">
      <c r="A9359" s="76"/>
      <c r="C9359" s="76"/>
    </row>
    <row r="9360" spans="1:3" x14ac:dyDescent="0.2">
      <c r="A9360" s="76"/>
      <c r="C9360" s="76"/>
    </row>
    <row r="9361" spans="1:3" x14ac:dyDescent="0.2">
      <c r="A9361" s="76"/>
      <c r="C9361" s="76"/>
    </row>
    <row r="9362" spans="1:3" x14ac:dyDescent="0.2">
      <c r="A9362" s="76"/>
      <c r="C9362" s="76"/>
    </row>
    <row r="9363" spans="1:3" x14ac:dyDescent="0.2">
      <c r="A9363" s="76"/>
      <c r="C9363" s="76"/>
    </row>
    <row r="9364" spans="1:3" x14ac:dyDescent="0.2">
      <c r="A9364" s="76"/>
      <c r="C9364" s="76"/>
    </row>
    <row r="9365" spans="1:3" x14ac:dyDescent="0.2">
      <c r="A9365" s="76"/>
      <c r="C9365" s="76"/>
    </row>
    <row r="9366" spans="1:3" x14ac:dyDescent="0.2">
      <c r="A9366" s="76"/>
      <c r="C9366" s="76"/>
    </row>
    <row r="9367" spans="1:3" x14ac:dyDescent="0.2">
      <c r="A9367" s="76"/>
      <c r="C9367" s="76"/>
    </row>
    <row r="9368" spans="1:3" x14ac:dyDescent="0.2">
      <c r="A9368" s="76"/>
      <c r="C9368" s="76"/>
    </row>
    <row r="9369" spans="1:3" x14ac:dyDescent="0.2">
      <c r="A9369" s="76"/>
      <c r="C9369" s="76"/>
    </row>
    <row r="9370" spans="1:3" x14ac:dyDescent="0.2">
      <c r="A9370" s="76"/>
      <c r="C9370" s="76"/>
    </row>
    <row r="9371" spans="1:3" x14ac:dyDescent="0.2">
      <c r="A9371" s="76"/>
      <c r="C9371" s="76"/>
    </row>
    <row r="9372" spans="1:3" x14ac:dyDescent="0.2">
      <c r="A9372" s="76"/>
      <c r="C9372" s="76"/>
    </row>
    <row r="9373" spans="1:3" x14ac:dyDescent="0.2">
      <c r="A9373" s="76"/>
      <c r="C9373" s="76"/>
    </row>
    <row r="9374" spans="1:3" x14ac:dyDescent="0.2">
      <c r="A9374" s="76"/>
      <c r="C9374" s="76"/>
    </row>
    <row r="9375" spans="1:3" x14ac:dyDescent="0.2">
      <c r="A9375" s="76"/>
      <c r="C9375" s="76"/>
    </row>
    <row r="9376" spans="1:3" x14ac:dyDescent="0.2">
      <c r="A9376" s="76"/>
      <c r="C9376" s="76"/>
    </row>
    <row r="9377" spans="1:3" x14ac:dyDescent="0.2">
      <c r="A9377" s="76"/>
      <c r="C9377" s="76"/>
    </row>
    <row r="9378" spans="1:3" x14ac:dyDescent="0.2">
      <c r="A9378" s="76"/>
      <c r="C9378" s="76"/>
    </row>
    <row r="9379" spans="1:3" x14ac:dyDescent="0.2">
      <c r="A9379" s="76"/>
      <c r="C9379" s="76"/>
    </row>
    <row r="9380" spans="1:3" x14ac:dyDescent="0.2">
      <c r="A9380" s="76"/>
      <c r="C9380" s="76"/>
    </row>
    <row r="9381" spans="1:3" x14ac:dyDescent="0.2">
      <c r="A9381" s="76"/>
      <c r="C9381" s="76"/>
    </row>
    <row r="9382" spans="1:3" x14ac:dyDescent="0.2">
      <c r="A9382" s="76"/>
      <c r="C9382" s="76"/>
    </row>
    <row r="9383" spans="1:3" x14ac:dyDescent="0.2">
      <c r="A9383" s="76"/>
      <c r="C9383" s="76"/>
    </row>
    <row r="9384" spans="1:3" x14ac:dyDescent="0.2">
      <c r="A9384" s="76"/>
      <c r="C9384" s="76"/>
    </row>
    <row r="9385" spans="1:3" x14ac:dyDescent="0.2">
      <c r="A9385" s="76"/>
      <c r="C9385" s="76"/>
    </row>
    <row r="9386" spans="1:3" x14ac:dyDescent="0.2">
      <c r="A9386" s="76"/>
      <c r="C9386" s="76"/>
    </row>
    <row r="9387" spans="1:3" x14ac:dyDescent="0.2">
      <c r="A9387" s="76"/>
      <c r="C9387" s="76"/>
    </row>
    <row r="9388" spans="1:3" x14ac:dyDescent="0.2">
      <c r="A9388" s="76"/>
      <c r="C9388" s="76"/>
    </row>
    <row r="9389" spans="1:3" x14ac:dyDescent="0.2">
      <c r="A9389" s="76"/>
      <c r="C9389" s="76"/>
    </row>
    <row r="9390" spans="1:3" x14ac:dyDescent="0.2">
      <c r="A9390" s="76"/>
      <c r="C9390" s="76"/>
    </row>
    <row r="9391" spans="1:3" x14ac:dyDescent="0.2">
      <c r="A9391" s="76"/>
      <c r="C9391" s="76"/>
    </row>
    <row r="9392" spans="1:3" x14ac:dyDescent="0.2">
      <c r="A9392" s="76"/>
      <c r="C9392" s="76"/>
    </row>
    <row r="9393" spans="1:3" x14ac:dyDescent="0.2">
      <c r="A9393" s="76"/>
      <c r="C9393" s="76"/>
    </row>
    <row r="9394" spans="1:3" x14ac:dyDescent="0.2">
      <c r="A9394" s="76"/>
      <c r="C9394" s="76"/>
    </row>
    <row r="9395" spans="1:3" x14ac:dyDescent="0.2">
      <c r="A9395" s="76"/>
      <c r="C9395" s="76"/>
    </row>
    <row r="9396" spans="1:3" x14ac:dyDescent="0.2">
      <c r="A9396" s="76"/>
      <c r="C9396" s="76"/>
    </row>
    <row r="9397" spans="1:3" x14ac:dyDescent="0.2">
      <c r="A9397" s="76"/>
      <c r="C9397" s="76"/>
    </row>
    <row r="9398" spans="1:3" x14ac:dyDescent="0.2">
      <c r="A9398" s="76"/>
      <c r="C9398" s="76"/>
    </row>
    <row r="9399" spans="1:3" x14ac:dyDescent="0.2">
      <c r="A9399" s="76"/>
      <c r="C9399" s="76"/>
    </row>
    <row r="9400" spans="1:3" x14ac:dyDescent="0.2">
      <c r="A9400" s="76"/>
      <c r="C9400" s="76"/>
    </row>
    <row r="9401" spans="1:3" x14ac:dyDescent="0.2">
      <c r="A9401" s="76"/>
      <c r="C9401" s="76"/>
    </row>
    <row r="9402" spans="1:3" x14ac:dyDescent="0.2">
      <c r="A9402" s="76"/>
      <c r="C9402" s="76"/>
    </row>
    <row r="9403" spans="1:3" x14ac:dyDescent="0.2">
      <c r="A9403" s="76"/>
      <c r="C9403" s="76"/>
    </row>
    <row r="9404" spans="1:3" x14ac:dyDescent="0.2">
      <c r="A9404" s="76"/>
      <c r="C9404" s="76"/>
    </row>
    <row r="9405" spans="1:3" x14ac:dyDescent="0.2">
      <c r="A9405" s="76"/>
      <c r="C9405" s="76"/>
    </row>
    <row r="9406" spans="1:3" x14ac:dyDescent="0.2">
      <c r="A9406" s="76"/>
      <c r="C9406" s="76"/>
    </row>
    <row r="9407" spans="1:3" x14ac:dyDescent="0.2">
      <c r="A9407" s="76"/>
      <c r="C9407" s="76"/>
    </row>
    <row r="9408" spans="1:3" x14ac:dyDescent="0.2">
      <c r="A9408" s="76"/>
      <c r="C9408" s="76"/>
    </row>
    <row r="9409" spans="1:3" x14ac:dyDescent="0.2">
      <c r="A9409" s="76"/>
      <c r="C9409" s="76"/>
    </row>
    <row r="9410" spans="1:3" x14ac:dyDescent="0.2">
      <c r="A9410" s="76"/>
      <c r="C9410" s="76"/>
    </row>
    <row r="9411" spans="1:3" x14ac:dyDescent="0.2">
      <c r="A9411" s="76"/>
      <c r="C9411" s="76"/>
    </row>
    <row r="9412" spans="1:3" x14ac:dyDescent="0.2">
      <c r="A9412" s="76"/>
      <c r="C9412" s="76"/>
    </row>
    <row r="9413" spans="1:3" x14ac:dyDescent="0.2">
      <c r="A9413" s="76"/>
      <c r="C9413" s="76"/>
    </row>
    <row r="9414" spans="1:3" x14ac:dyDescent="0.2">
      <c r="A9414" s="76"/>
      <c r="C9414" s="76"/>
    </row>
    <row r="9415" spans="1:3" x14ac:dyDescent="0.2">
      <c r="A9415" s="76"/>
      <c r="C9415" s="76"/>
    </row>
    <row r="9416" spans="1:3" x14ac:dyDescent="0.2">
      <c r="A9416" s="76"/>
      <c r="C9416" s="76"/>
    </row>
    <row r="9417" spans="1:3" x14ac:dyDescent="0.2">
      <c r="A9417" s="76"/>
      <c r="C9417" s="76"/>
    </row>
    <row r="9418" spans="1:3" x14ac:dyDescent="0.2">
      <c r="A9418" s="76"/>
      <c r="C9418" s="76"/>
    </row>
    <row r="9419" spans="1:3" x14ac:dyDescent="0.2">
      <c r="A9419" s="76"/>
      <c r="C9419" s="76"/>
    </row>
    <row r="9420" spans="1:3" x14ac:dyDescent="0.2">
      <c r="A9420" s="76"/>
      <c r="C9420" s="76"/>
    </row>
    <row r="9421" spans="1:3" x14ac:dyDescent="0.2">
      <c r="A9421" s="76"/>
      <c r="C9421" s="76"/>
    </row>
    <row r="9422" spans="1:3" x14ac:dyDescent="0.2">
      <c r="A9422" s="76"/>
      <c r="C9422" s="76"/>
    </row>
    <row r="9423" spans="1:3" x14ac:dyDescent="0.2">
      <c r="A9423" s="76"/>
      <c r="C9423" s="76"/>
    </row>
    <row r="9424" spans="1:3" x14ac:dyDescent="0.2">
      <c r="A9424" s="76"/>
      <c r="C9424" s="76"/>
    </row>
    <row r="9425" spans="1:3" x14ac:dyDescent="0.2">
      <c r="A9425" s="76"/>
      <c r="C9425" s="76"/>
    </row>
    <row r="9426" spans="1:3" x14ac:dyDescent="0.2">
      <c r="A9426" s="76"/>
      <c r="C9426" s="76"/>
    </row>
    <row r="9427" spans="1:3" x14ac:dyDescent="0.2">
      <c r="A9427" s="76"/>
      <c r="C9427" s="76"/>
    </row>
    <row r="9428" spans="1:3" x14ac:dyDescent="0.2">
      <c r="A9428" s="76"/>
      <c r="C9428" s="76"/>
    </row>
    <row r="9429" spans="1:3" x14ac:dyDescent="0.2">
      <c r="A9429" s="76"/>
      <c r="C9429" s="76"/>
    </row>
    <row r="9430" spans="1:3" x14ac:dyDescent="0.2">
      <c r="A9430" s="76"/>
      <c r="C9430" s="76"/>
    </row>
    <row r="9431" spans="1:3" x14ac:dyDescent="0.2">
      <c r="A9431" s="76"/>
      <c r="C9431" s="76"/>
    </row>
    <row r="9432" spans="1:3" x14ac:dyDescent="0.2">
      <c r="A9432" s="76"/>
      <c r="C9432" s="76"/>
    </row>
    <row r="9433" spans="1:3" x14ac:dyDescent="0.2">
      <c r="A9433" s="76"/>
      <c r="C9433" s="76"/>
    </row>
    <row r="9434" spans="1:3" x14ac:dyDescent="0.2">
      <c r="A9434" s="76"/>
      <c r="C9434" s="76"/>
    </row>
    <row r="9435" spans="1:3" x14ac:dyDescent="0.2">
      <c r="A9435" s="76"/>
      <c r="C9435" s="76"/>
    </row>
    <row r="9436" spans="1:3" x14ac:dyDescent="0.2">
      <c r="A9436" s="76"/>
      <c r="C9436" s="76"/>
    </row>
    <row r="9437" spans="1:3" x14ac:dyDescent="0.2">
      <c r="A9437" s="76"/>
      <c r="C9437" s="76"/>
    </row>
    <row r="9438" spans="1:3" x14ac:dyDescent="0.2">
      <c r="A9438" s="76"/>
      <c r="C9438" s="76"/>
    </row>
    <row r="9439" spans="1:3" x14ac:dyDescent="0.2">
      <c r="A9439" s="76"/>
      <c r="C9439" s="76"/>
    </row>
    <row r="9440" spans="1:3" x14ac:dyDescent="0.2">
      <c r="A9440" s="76"/>
      <c r="C9440" s="76"/>
    </row>
    <row r="9441" spans="1:3" x14ac:dyDescent="0.2">
      <c r="A9441" s="76"/>
      <c r="C9441" s="76"/>
    </row>
    <row r="9442" spans="1:3" x14ac:dyDescent="0.2">
      <c r="A9442" s="76"/>
      <c r="C9442" s="76"/>
    </row>
    <row r="9443" spans="1:3" x14ac:dyDescent="0.2">
      <c r="A9443" s="76"/>
      <c r="C9443" s="76"/>
    </row>
    <row r="9444" spans="1:3" x14ac:dyDescent="0.2">
      <c r="A9444" s="76"/>
      <c r="C9444" s="76"/>
    </row>
    <row r="9445" spans="1:3" x14ac:dyDescent="0.2">
      <c r="A9445" s="76"/>
      <c r="C9445" s="76"/>
    </row>
    <row r="9446" spans="1:3" x14ac:dyDescent="0.2">
      <c r="A9446" s="76"/>
      <c r="C9446" s="76"/>
    </row>
    <row r="9447" spans="1:3" x14ac:dyDescent="0.2">
      <c r="A9447" s="76"/>
      <c r="C9447" s="76"/>
    </row>
    <row r="9448" spans="1:3" x14ac:dyDescent="0.2">
      <c r="A9448" s="76"/>
      <c r="C9448" s="76"/>
    </row>
    <row r="9449" spans="1:3" x14ac:dyDescent="0.2">
      <c r="A9449" s="76"/>
      <c r="C9449" s="76"/>
    </row>
    <row r="9450" spans="1:3" x14ac:dyDescent="0.2">
      <c r="A9450" s="76"/>
      <c r="C9450" s="76"/>
    </row>
    <row r="9451" spans="1:3" x14ac:dyDescent="0.2">
      <c r="A9451" s="76"/>
      <c r="C9451" s="76"/>
    </row>
    <row r="9452" spans="1:3" x14ac:dyDescent="0.2">
      <c r="A9452" s="76"/>
      <c r="C9452" s="76"/>
    </row>
    <row r="9453" spans="1:3" x14ac:dyDescent="0.2">
      <c r="A9453" s="76"/>
      <c r="C9453" s="76"/>
    </row>
    <row r="9454" spans="1:3" x14ac:dyDescent="0.2">
      <c r="A9454" s="76"/>
      <c r="C9454" s="76"/>
    </row>
    <row r="9455" spans="1:3" x14ac:dyDescent="0.2">
      <c r="A9455" s="76"/>
      <c r="C9455" s="76"/>
    </row>
    <row r="9456" spans="1:3" x14ac:dyDescent="0.2">
      <c r="A9456" s="76"/>
      <c r="C9456" s="76"/>
    </row>
    <row r="9457" spans="1:3" x14ac:dyDescent="0.2">
      <c r="A9457" s="76"/>
      <c r="C9457" s="76"/>
    </row>
    <row r="9458" spans="1:3" x14ac:dyDescent="0.2">
      <c r="A9458" s="76"/>
      <c r="C9458" s="76"/>
    </row>
    <row r="9459" spans="1:3" x14ac:dyDescent="0.2">
      <c r="A9459" s="76"/>
      <c r="C9459" s="76"/>
    </row>
    <row r="9460" spans="1:3" x14ac:dyDescent="0.2">
      <c r="A9460" s="76"/>
      <c r="C9460" s="76"/>
    </row>
    <row r="9461" spans="1:3" x14ac:dyDescent="0.2">
      <c r="A9461" s="76"/>
      <c r="C9461" s="76"/>
    </row>
    <row r="9462" spans="1:3" x14ac:dyDescent="0.2">
      <c r="A9462" s="76"/>
      <c r="C9462" s="76"/>
    </row>
    <row r="9463" spans="1:3" x14ac:dyDescent="0.2">
      <c r="A9463" s="76"/>
      <c r="C9463" s="76"/>
    </row>
    <row r="9464" spans="1:3" x14ac:dyDescent="0.2">
      <c r="A9464" s="76"/>
      <c r="C9464" s="76"/>
    </row>
    <row r="9465" spans="1:3" x14ac:dyDescent="0.2">
      <c r="A9465" s="76"/>
      <c r="C9465" s="76"/>
    </row>
    <row r="9466" spans="1:3" x14ac:dyDescent="0.2">
      <c r="A9466" s="76"/>
      <c r="C9466" s="76"/>
    </row>
    <row r="9467" spans="1:3" x14ac:dyDescent="0.2">
      <c r="A9467" s="76"/>
      <c r="C9467" s="76"/>
    </row>
    <row r="9468" spans="1:3" x14ac:dyDescent="0.2">
      <c r="A9468" s="76"/>
      <c r="C9468" s="76"/>
    </row>
    <row r="9469" spans="1:3" x14ac:dyDescent="0.2">
      <c r="A9469" s="76"/>
      <c r="C9469" s="76"/>
    </row>
    <row r="9470" spans="1:3" x14ac:dyDescent="0.2">
      <c r="A9470" s="76"/>
      <c r="C9470" s="76"/>
    </row>
    <row r="9471" spans="1:3" x14ac:dyDescent="0.2">
      <c r="A9471" s="76"/>
      <c r="C9471" s="76"/>
    </row>
    <row r="9472" spans="1:3" x14ac:dyDescent="0.2">
      <c r="A9472" s="76"/>
      <c r="C9472" s="76"/>
    </row>
    <row r="9473" spans="1:3" x14ac:dyDescent="0.2">
      <c r="A9473" s="76"/>
      <c r="C9473" s="76"/>
    </row>
    <row r="9474" spans="1:3" x14ac:dyDescent="0.2">
      <c r="A9474" s="76"/>
      <c r="C9474" s="76"/>
    </row>
    <row r="9475" spans="1:3" x14ac:dyDescent="0.2">
      <c r="A9475" s="76"/>
      <c r="C9475" s="76"/>
    </row>
    <row r="9476" spans="1:3" x14ac:dyDescent="0.2">
      <c r="A9476" s="76"/>
      <c r="C9476" s="76"/>
    </row>
    <row r="9477" spans="1:3" x14ac:dyDescent="0.2">
      <c r="A9477" s="76"/>
      <c r="C9477" s="76"/>
    </row>
    <row r="9478" spans="1:3" x14ac:dyDescent="0.2">
      <c r="A9478" s="76"/>
      <c r="C9478" s="76"/>
    </row>
    <row r="9479" spans="1:3" x14ac:dyDescent="0.2">
      <c r="A9479" s="76"/>
      <c r="C9479" s="76"/>
    </row>
    <row r="9480" spans="1:3" x14ac:dyDescent="0.2">
      <c r="A9480" s="76"/>
      <c r="C9480" s="76"/>
    </row>
    <row r="9481" spans="1:3" x14ac:dyDescent="0.2">
      <c r="A9481" s="76"/>
      <c r="C9481" s="76"/>
    </row>
    <row r="9482" spans="1:3" x14ac:dyDescent="0.2">
      <c r="A9482" s="76"/>
      <c r="C9482" s="76"/>
    </row>
    <row r="9483" spans="1:3" x14ac:dyDescent="0.2">
      <c r="A9483" s="76"/>
      <c r="C9483" s="76"/>
    </row>
    <row r="9484" spans="1:3" x14ac:dyDescent="0.2">
      <c r="A9484" s="76"/>
      <c r="C9484" s="76"/>
    </row>
    <row r="9485" spans="1:3" x14ac:dyDescent="0.2">
      <c r="A9485" s="76"/>
      <c r="C9485" s="76"/>
    </row>
    <row r="9486" spans="1:3" x14ac:dyDescent="0.2">
      <c r="A9486" s="76"/>
      <c r="C9486" s="76"/>
    </row>
    <row r="9487" spans="1:3" x14ac:dyDescent="0.2">
      <c r="A9487" s="76"/>
      <c r="C9487" s="76"/>
    </row>
    <row r="9488" spans="1:3" x14ac:dyDescent="0.2">
      <c r="A9488" s="76"/>
      <c r="C9488" s="76"/>
    </row>
    <row r="9489" spans="1:3" x14ac:dyDescent="0.2">
      <c r="A9489" s="76"/>
      <c r="C9489" s="76"/>
    </row>
    <row r="9490" spans="1:3" x14ac:dyDescent="0.2">
      <c r="A9490" s="76"/>
      <c r="C9490" s="76"/>
    </row>
    <row r="9491" spans="1:3" x14ac:dyDescent="0.2">
      <c r="A9491" s="76"/>
      <c r="C9491" s="76"/>
    </row>
    <row r="9492" spans="1:3" x14ac:dyDescent="0.2">
      <c r="A9492" s="76"/>
      <c r="C9492" s="76"/>
    </row>
    <row r="9493" spans="1:3" x14ac:dyDescent="0.2">
      <c r="A9493" s="76"/>
      <c r="C9493" s="76"/>
    </row>
    <row r="9494" spans="1:3" x14ac:dyDescent="0.2">
      <c r="A9494" s="76"/>
      <c r="C9494" s="76"/>
    </row>
    <row r="9495" spans="1:3" x14ac:dyDescent="0.2">
      <c r="A9495" s="76"/>
      <c r="C9495" s="76"/>
    </row>
    <row r="9496" spans="1:3" x14ac:dyDescent="0.2">
      <c r="A9496" s="76"/>
      <c r="C9496" s="76"/>
    </row>
    <row r="9497" spans="1:3" x14ac:dyDescent="0.2">
      <c r="A9497" s="76"/>
      <c r="C9497" s="76"/>
    </row>
    <row r="9498" spans="1:3" x14ac:dyDescent="0.2">
      <c r="A9498" s="76"/>
      <c r="C9498" s="76"/>
    </row>
    <row r="9499" spans="1:3" x14ac:dyDescent="0.2">
      <c r="A9499" s="76"/>
      <c r="C9499" s="76"/>
    </row>
    <row r="9500" spans="1:3" x14ac:dyDescent="0.2">
      <c r="A9500" s="76"/>
      <c r="C9500" s="76"/>
    </row>
    <row r="9501" spans="1:3" x14ac:dyDescent="0.2">
      <c r="A9501" s="76"/>
      <c r="C9501" s="76"/>
    </row>
    <row r="9502" spans="1:3" x14ac:dyDescent="0.2">
      <c r="A9502" s="76"/>
      <c r="C9502" s="76"/>
    </row>
    <row r="9503" spans="1:3" x14ac:dyDescent="0.2">
      <c r="A9503" s="76"/>
      <c r="C9503" s="76"/>
    </row>
    <row r="9504" spans="1:3" x14ac:dyDescent="0.2">
      <c r="A9504" s="76"/>
      <c r="C9504" s="76"/>
    </row>
    <row r="9505" spans="1:3" x14ac:dyDescent="0.2">
      <c r="A9505" s="76"/>
      <c r="C9505" s="76"/>
    </row>
    <row r="9506" spans="1:3" x14ac:dyDescent="0.2">
      <c r="A9506" s="76"/>
      <c r="C9506" s="76"/>
    </row>
    <row r="9507" spans="1:3" x14ac:dyDescent="0.2">
      <c r="A9507" s="76"/>
      <c r="C9507" s="76"/>
    </row>
    <row r="9508" spans="1:3" x14ac:dyDescent="0.2">
      <c r="A9508" s="76"/>
      <c r="C9508" s="76"/>
    </row>
    <row r="9509" spans="1:3" x14ac:dyDescent="0.2">
      <c r="A9509" s="76"/>
      <c r="C9509" s="76"/>
    </row>
    <row r="9510" spans="1:3" x14ac:dyDescent="0.2">
      <c r="A9510" s="76"/>
      <c r="C9510" s="76"/>
    </row>
    <row r="9511" spans="1:3" x14ac:dyDescent="0.2">
      <c r="A9511" s="76"/>
      <c r="C9511" s="76"/>
    </row>
    <row r="9512" spans="1:3" x14ac:dyDescent="0.2">
      <c r="A9512" s="76"/>
      <c r="C9512" s="76"/>
    </row>
    <row r="9513" spans="1:3" x14ac:dyDescent="0.2">
      <c r="A9513" s="76"/>
      <c r="C9513" s="76"/>
    </row>
    <row r="9514" spans="1:3" x14ac:dyDescent="0.2">
      <c r="A9514" s="76"/>
      <c r="C9514" s="76"/>
    </row>
    <row r="9515" spans="1:3" x14ac:dyDescent="0.2">
      <c r="A9515" s="76"/>
      <c r="C9515" s="76"/>
    </row>
    <row r="9516" spans="1:3" x14ac:dyDescent="0.2">
      <c r="A9516" s="76"/>
      <c r="C9516" s="76"/>
    </row>
    <row r="9517" spans="1:3" x14ac:dyDescent="0.2">
      <c r="A9517" s="76"/>
      <c r="C9517" s="76"/>
    </row>
    <row r="9518" spans="1:3" x14ac:dyDescent="0.2">
      <c r="A9518" s="76"/>
      <c r="C9518" s="76"/>
    </row>
    <row r="9519" spans="1:3" x14ac:dyDescent="0.2">
      <c r="A9519" s="76"/>
      <c r="C9519" s="76"/>
    </row>
    <row r="9520" spans="1:3" x14ac:dyDescent="0.2">
      <c r="A9520" s="76"/>
      <c r="C9520" s="76"/>
    </row>
    <row r="9521" spans="1:3" x14ac:dyDescent="0.2">
      <c r="A9521" s="76"/>
      <c r="C9521" s="76"/>
    </row>
    <row r="9522" spans="1:3" x14ac:dyDescent="0.2">
      <c r="A9522" s="76"/>
      <c r="C9522" s="76"/>
    </row>
    <row r="9523" spans="1:3" x14ac:dyDescent="0.2">
      <c r="A9523" s="76"/>
      <c r="C9523" s="76"/>
    </row>
    <row r="9524" spans="1:3" x14ac:dyDescent="0.2">
      <c r="A9524" s="76"/>
      <c r="C9524" s="76"/>
    </row>
    <row r="9525" spans="1:3" x14ac:dyDescent="0.2">
      <c r="A9525" s="76"/>
      <c r="C9525" s="76"/>
    </row>
    <row r="9526" spans="1:3" x14ac:dyDescent="0.2">
      <c r="A9526" s="76"/>
      <c r="C9526" s="76"/>
    </row>
    <row r="9527" spans="1:3" x14ac:dyDescent="0.2">
      <c r="A9527" s="76"/>
      <c r="C9527" s="76"/>
    </row>
    <row r="9528" spans="1:3" x14ac:dyDescent="0.2">
      <c r="A9528" s="76"/>
      <c r="C9528" s="76"/>
    </row>
    <row r="9529" spans="1:3" x14ac:dyDescent="0.2">
      <c r="A9529" s="76"/>
      <c r="C9529" s="76"/>
    </row>
    <row r="9530" spans="1:3" x14ac:dyDescent="0.2">
      <c r="A9530" s="76"/>
      <c r="C9530" s="76"/>
    </row>
    <row r="9531" spans="1:3" x14ac:dyDescent="0.2">
      <c r="A9531" s="76"/>
      <c r="C9531" s="76"/>
    </row>
    <row r="9532" spans="1:3" x14ac:dyDescent="0.2">
      <c r="A9532" s="76"/>
      <c r="C9532" s="76"/>
    </row>
    <row r="9533" spans="1:3" x14ac:dyDescent="0.2">
      <c r="A9533" s="76"/>
      <c r="C9533" s="76"/>
    </row>
    <row r="9534" spans="1:3" x14ac:dyDescent="0.2">
      <c r="A9534" s="76"/>
      <c r="C9534" s="76"/>
    </row>
    <row r="9535" spans="1:3" x14ac:dyDescent="0.2">
      <c r="A9535" s="76"/>
      <c r="C9535" s="76"/>
    </row>
    <row r="9536" spans="1:3" x14ac:dyDescent="0.2">
      <c r="A9536" s="76"/>
      <c r="C9536" s="76"/>
    </row>
    <row r="9537" spans="1:3" x14ac:dyDescent="0.2">
      <c r="A9537" s="76"/>
      <c r="C9537" s="76"/>
    </row>
    <row r="9538" spans="1:3" x14ac:dyDescent="0.2">
      <c r="A9538" s="76"/>
      <c r="C9538" s="76"/>
    </row>
    <row r="9539" spans="1:3" x14ac:dyDescent="0.2">
      <c r="A9539" s="76"/>
      <c r="C9539" s="76"/>
    </row>
    <row r="9540" spans="1:3" x14ac:dyDescent="0.2">
      <c r="A9540" s="76"/>
      <c r="C9540" s="76"/>
    </row>
    <row r="9541" spans="1:3" x14ac:dyDescent="0.2">
      <c r="A9541" s="76"/>
      <c r="C9541" s="76"/>
    </row>
    <row r="9542" spans="1:3" x14ac:dyDescent="0.2">
      <c r="A9542" s="76"/>
      <c r="C9542" s="76"/>
    </row>
    <row r="9543" spans="1:3" x14ac:dyDescent="0.2">
      <c r="A9543" s="76"/>
      <c r="C9543" s="76"/>
    </row>
    <row r="9544" spans="1:3" x14ac:dyDescent="0.2">
      <c r="A9544" s="76"/>
      <c r="C9544" s="76"/>
    </row>
    <row r="9545" spans="1:3" x14ac:dyDescent="0.2">
      <c r="A9545" s="76"/>
      <c r="C9545" s="76"/>
    </row>
    <row r="9546" spans="1:3" x14ac:dyDescent="0.2">
      <c r="A9546" s="76"/>
      <c r="C9546" s="76"/>
    </row>
    <row r="9547" spans="1:3" x14ac:dyDescent="0.2">
      <c r="A9547" s="76"/>
      <c r="C9547" s="76"/>
    </row>
    <row r="9548" spans="1:3" x14ac:dyDescent="0.2">
      <c r="A9548" s="76"/>
      <c r="C9548" s="76"/>
    </row>
    <row r="9549" spans="1:3" x14ac:dyDescent="0.2">
      <c r="A9549" s="76"/>
      <c r="C9549" s="76"/>
    </row>
    <row r="9550" spans="1:3" x14ac:dyDescent="0.2">
      <c r="A9550" s="76"/>
      <c r="C9550" s="76"/>
    </row>
    <row r="9551" spans="1:3" x14ac:dyDescent="0.2">
      <c r="A9551" s="76"/>
      <c r="C9551" s="76"/>
    </row>
    <row r="9552" spans="1:3" x14ac:dyDescent="0.2">
      <c r="A9552" s="76"/>
      <c r="C9552" s="76"/>
    </row>
    <row r="9553" spans="1:3" x14ac:dyDescent="0.2">
      <c r="A9553" s="76"/>
      <c r="C9553" s="76"/>
    </row>
    <row r="9554" spans="1:3" x14ac:dyDescent="0.2">
      <c r="A9554" s="76"/>
      <c r="C9554" s="76"/>
    </row>
    <row r="9555" spans="1:3" x14ac:dyDescent="0.2">
      <c r="A9555" s="76"/>
      <c r="C9555" s="76"/>
    </row>
    <row r="9556" spans="1:3" x14ac:dyDescent="0.2">
      <c r="A9556" s="76"/>
      <c r="C9556" s="76"/>
    </row>
    <row r="9557" spans="1:3" x14ac:dyDescent="0.2">
      <c r="A9557" s="76"/>
      <c r="C9557" s="76"/>
    </row>
    <row r="9558" spans="1:3" x14ac:dyDescent="0.2">
      <c r="A9558" s="76"/>
      <c r="C9558" s="76"/>
    </row>
    <row r="9559" spans="1:3" x14ac:dyDescent="0.2">
      <c r="A9559" s="76"/>
      <c r="C9559" s="76"/>
    </row>
    <row r="9560" spans="1:3" x14ac:dyDescent="0.2">
      <c r="A9560" s="76"/>
      <c r="C9560" s="76"/>
    </row>
    <row r="9561" spans="1:3" x14ac:dyDescent="0.2">
      <c r="A9561" s="76"/>
      <c r="C9561" s="76"/>
    </row>
    <row r="9562" spans="1:3" x14ac:dyDescent="0.2">
      <c r="A9562" s="76"/>
      <c r="C9562" s="76"/>
    </row>
    <row r="9563" spans="1:3" x14ac:dyDescent="0.2">
      <c r="A9563" s="76"/>
      <c r="C9563" s="76"/>
    </row>
    <row r="9564" spans="1:3" x14ac:dyDescent="0.2">
      <c r="A9564" s="76"/>
      <c r="C9564" s="76"/>
    </row>
    <row r="9565" spans="1:3" x14ac:dyDescent="0.2">
      <c r="A9565" s="76"/>
      <c r="C9565" s="76"/>
    </row>
    <row r="9566" spans="1:3" x14ac:dyDescent="0.2">
      <c r="A9566" s="76"/>
      <c r="C9566" s="76"/>
    </row>
    <row r="9567" spans="1:3" x14ac:dyDescent="0.2">
      <c r="A9567" s="76"/>
      <c r="C9567" s="76"/>
    </row>
    <row r="9568" spans="1:3" x14ac:dyDescent="0.2">
      <c r="A9568" s="76"/>
      <c r="C9568" s="76"/>
    </row>
    <row r="9569" spans="1:3" x14ac:dyDescent="0.2">
      <c r="A9569" s="76"/>
      <c r="C9569" s="76"/>
    </row>
    <row r="9570" spans="1:3" x14ac:dyDescent="0.2">
      <c r="A9570" s="76"/>
      <c r="C9570" s="76"/>
    </row>
    <row r="9571" spans="1:3" x14ac:dyDescent="0.2">
      <c r="A9571" s="76"/>
      <c r="C9571" s="76"/>
    </row>
    <row r="9572" spans="1:3" x14ac:dyDescent="0.2">
      <c r="A9572" s="76"/>
      <c r="C9572" s="76"/>
    </row>
    <row r="9573" spans="1:3" x14ac:dyDescent="0.2">
      <c r="A9573" s="76"/>
      <c r="C9573" s="76"/>
    </row>
    <row r="9574" spans="1:3" x14ac:dyDescent="0.2">
      <c r="A9574" s="76"/>
      <c r="C9574" s="76"/>
    </row>
    <row r="9575" spans="1:3" x14ac:dyDescent="0.2">
      <c r="A9575" s="76"/>
      <c r="C9575" s="76"/>
    </row>
    <row r="9576" spans="1:3" x14ac:dyDescent="0.2">
      <c r="A9576" s="76"/>
      <c r="C9576" s="76"/>
    </row>
    <row r="9577" spans="1:3" x14ac:dyDescent="0.2">
      <c r="A9577" s="76"/>
      <c r="C9577" s="76"/>
    </row>
    <row r="9578" spans="1:3" x14ac:dyDescent="0.2">
      <c r="A9578" s="76"/>
      <c r="C9578" s="76"/>
    </row>
    <row r="9579" spans="1:3" x14ac:dyDescent="0.2">
      <c r="A9579" s="76"/>
      <c r="C9579" s="76"/>
    </row>
    <row r="9580" spans="1:3" x14ac:dyDescent="0.2">
      <c r="A9580" s="76"/>
      <c r="C9580" s="76"/>
    </row>
    <row r="9581" spans="1:3" x14ac:dyDescent="0.2">
      <c r="A9581" s="76"/>
      <c r="C9581" s="76"/>
    </row>
    <row r="9582" spans="1:3" x14ac:dyDescent="0.2">
      <c r="A9582" s="76"/>
      <c r="C9582" s="76"/>
    </row>
    <row r="9583" spans="1:3" x14ac:dyDescent="0.2">
      <c r="A9583" s="76"/>
      <c r="C9583" s="76"/>
    </row>
    <row r="9584" spans="1:3" x14ac:dyDescent="0.2">
      <c r="A9584" s="76"/>
      <c r="C9584" s="76"/>
    </row>
    <row r="9585" spans="1:3" x14ac:dyDescent="0.2">
      <c r="A9585" s="76"/>
      <c r="C9585" s="76"/>
    </row>
    <row r="9586" spans="1:3" x14ac:dyDescent="0.2">
      <c r="A9586" s="76"/>
      <c r="C9586" s="76"/>
    </row>
    <row r="9587" spans="1:3" x14ac:dyDescent="0.2">
      <c r="A9587" s="76"/>
      <c r="C9587" s="76"/>
    </row>
    <row r="9588" spans="1:3" x14ac:dyDescent="0.2">
      <c r="A9588" s="76"/>
      <c r="C9588" s="76"/>
    </row>
    <row r="9589" spans="1:3" x14ac:dyDescent="0.2">
      <c r="A9589" s="76"/>
      <c r="C9589" s="76"/>
    </row>
    <row r="9590" spans="1:3" x14ac:dyDescent="0.2">
      <c r="A9590" s="76"/>
      <c r="C9590" s="76"/>
    </row>
    <row r="9591" spans="1:3" x14ac:dyDescent="0.2">
      <c r="A9591" s="76"/>
      <c r="C9591" s="76"/>
    </row>
    <row r="9592" spans="1:3" x14ac:dyDescent="0.2">
      <c r="A9592" s="76"/>
      <c r="C9592" s="76"/>
    </row>
    <row r="9593" spans="1:3" x14ac:dyDescent="0.2">
      <c r="A9593" s="76"/>
      <c r="C9593" s="76"/>
    </row>
    <row r="9594" spans="1:3" x14ac:dyDescent="0.2">
      <c r="A9594" s="76"/>
      <c r="C9594" s="76"/>
    </row>
    <row r="9595" spans="1:3" x14ac:dyDescent="0.2">
      <c r="A9595" s="76"/>
      <c r="C9595" s="76"/>
    </row>
    <row r="9596" spans="1:3" x14ac:dyDescent="0.2">
      <c r="A9596" s="76"/>
      <c r="C9596" s="76"/>
    </row>
    <row r="9597" spans="1:3" x14ac:dyDescent="0.2">
      <c r="A9597" s="76"/>
      <c r="C9597" s="76"/>
    </row>
    <row r="9598" spans="1:3" x14ac:dyDescent="0.2">
      <c r="A9598" s="76"/>
      <c r="C9598" s="76"/>
    </row>
    <row r="9599" spans="1:3" x14ac:dyDescent="0.2">
      <c r="A9599" s="76"/>
      <c r="C9599" s="76"/>
    </row>
    <row r="9600" spans="1:3" x14ac:dyDescent="0.2">
      <c r="A9600" s="76"/>
      <c r="C9600" s="76"/>
    </row>
    <row r="9601" spans="1:3" x14ac:dyDescent="0.2">
      <c r="A9601" s="76"/>
      <c r="C9601" s="76"/>
    </row>
    <row r="9602" spans="1:3" x14ac:dyDescent="0.2">
      <c r="A9602" s="76"/>
      <c r="C9602" s="76"/>
    </row>
    <row r="9603" spans="1:3" x14ac:dyDescent="0.2">
      <c r="A9603" s="76"/>
      <c r="C9603" s="76"/>
    </row>
    <row r="9604" spans="1:3" x14ac:dyDescent="0.2">
      <c r="A9604" s="76"/>
      <c r="C9604" s="76"/>
    </row>
    <row r="9605" spans="1:3" x14ac:dyDescent="0.2">
      <c r="A9605" s="76"/>
      <c r="C9605" s="76"/>
    </row>
    <row r="9606" spans="1:3" x14ac:dyDescent="0.2">
      <c r="A9606" s="76"/>
      <c r="C9606" s="76"/>
    </row>
    <row r="9607" spans="1:3" x14ac:dyDescent="0.2">
      <c r="A9607" s="76"/>
      <c r="C9607" s="76"/>
    </row>
    <row r="9608" spans="1:3" x14ac:dyDescent="0.2">
      <c r="A9608" s="76"/>
      <c r="C9608" s="76"/>
    </row>
    <row r="9609" spans="1:3" x14ac:dyDescent="0.2">
      <c r="A9609" s="76"/>
      <c r="C9609" s="76"/>
    </row>
    <row r="9610" spans="1:3" x14ac:dyDescent="0.2">
      <c r="A9610" s="76"/>
      <c r="C9610" s="76"/>
    </row>
    <row r="9611" spans="1:3" x14ac:dyDescent="0.2">
      <c r="A9611" s="76"/>
      <c r="C9611" s="76"/>
    </row>
    <row r="9612" spans="1:3" x14ac:dyDescent="0.2">
      <c r="A9612" s="76"/>
      <c r="C9612" s="76"/>
    </row>
    <row r="9613" spans="1:3" x14ac:dyDescent="0.2">
      <c r="A9613" s="76"/>
      <c r="C9613" s="76"/>
    </row>
    <row r="9614" spans="1:3" x14ac:dyDescent="0.2">
      <c r="A9614" s="76"/>
      <c r="C9614" s="76"/>
    </row>
    <row r="9615" spans="1:3" x14ac:dyDescent="0.2">
      <c r="A9615" s="76"/>
      <c r="C9615" s="76"/>
    </row>
    <row r="9616" spans="1:3" x14ac:dyDescent="0.2">
      <c r="A9616" s="76"/>
      <c r="C9616" s="76"/>
    </row>
    <row r="9617" spans="1:3" x14ac:dyDescent="0.2">
      <c r="A9617" s="76"/>
      <c r="C9617" s="76"/>
    </row>
    <row r="9618" spans="1:3" x14ac:dyDescent="0.2">
      <c r="A9618" s="76"/>
      <c r="C9618" s="76"/>
    </row>
    <row r="9619" spans="1:3" x14ac:dyDescent="0.2">
      <c r="A9619" s="76"/>
      <c r="C9619" s="76"/>
    </row>
    <row r="9620" spans="1:3" x14ac:dyDescent="0.2">
      <c r="A9620" s="76"/>
      <c r="C9620" s="76"/>
    </row>
    <row r="9621" spans="1:3" x14ac:dyDescent="0.2">
      <c r="A9621" s="76"/>
      <c r="C9621" s="76"/>
    </row>
    <row r="9622" spans="1:3" x14ac:dyDescent="0.2">
      <c r="A9622" s="76"/>
      <c r="C9622" s="76"/>
    </row>
    <row r="9623" spans="1:3" x14ac:dyDescent="0.2">
      <c r="A9623" s="76"/>
      <c r="C9623" s="76"/>
    </row>
    <row r="9624" spans="1:3" x14ac:dyDescent="0.2">
      <c r="A9624" s="76"/>
      <c r="C9624" s="76"/>
    </row>
    <row r="9625" spans="1:3" x14ac:dyDescent="0.2">
      <c r="A9625" s="76"/>
      <c r="C9625" s="76"/>
    </row>
    <row r="9626" spans="1:3" x14ac:dyDescent="0.2">
      <c r="A9626" s="76"/>
      <c r="C9626" s="76"/>
    </row>
    <row r="9627" spans="1:3" x14ac:dyDescent="0.2">
      <c r="A9627" s="76"/>
      <c r="C9627" s="76"/>
    </row>
    <row r="9628" spans="1:3" x14ac:dyDescent="0.2">
      <c r="A9628" s="76"/>
      <c r="C9628" s="76"/>
    </row>
    <row r="9629" spans="1:3" x14ac:dyDescent="0.2">
      <c r="A9629" s="76"/>
      <c r="C9629" s="76"/>
    </row>
    <row r="9630" spans="1:3" x14ac:dyDescent="0.2">
      <c r="A9630" s="76"/>
      <c r="C9630" s="76"/>
    </row>
    <row r="9631" spans="1:3" x14ac:dyDescent="0.2">
      <c r="A9631" s="76"/>
      <c r="C9631" s="76"/>
    </row>
    <row r="9632" spans="1:3" x14ac:dyDescent="0.2">
      <c r="A9632" s="76"/>
      <c r="C9632" s="76"/>
    </row>
    <row r="9633" spans="1:3" x14ac:dyDescent="0.2">
      <c r="A9633" s="76"/>
      <c r="C9633" s="76"/>
    </row>
    <row r="9634" spans="1:3" x14ac:dyDescent="0.2">
      <c r="A9634" s="76"/>
      <c r="C9634" s="76"/>
    </row>
    <row r="9635" spans="1:3" x14ac:dyDescent="0.2">
      <c r="A9635" s="76"/>
      <c r="C9635" s="76"/>
    </row>
    <row r="9636" spans="1:3" x14ac:dyDescent="0.2">
      <c r="A9636" s="76"/>
      <c r="C9636" s="76"/>
    </row>
    <row r="9637" spans="1:3" x14ac:dyDescent="0.2">
      <c r="A9637" s="76"/>
      <c r="C9637" s="76"/>
    </row>
    <row r="9638" spans="1:3" x14ac:dyDescent="0.2">
      <c r="A9638" s="76"/>
      <c r="C9638" s="76"/>
    </row>
    <row r="9639" spans="1:3" x14ac:dyDescent="0.2">
      <c r="A9639" s="76"/>
      <c r="C9639" s="76"/>
    </row>
    <row r="9640" spans="1:3" x14ac:dyDescent="0.2">
      <c r="A9640" s="76"/>
      <c r="C9640" s="76"/>
    </row>
    <row r="9641" spans="1:3" x14ac:dyDescent="0.2">
      <c r="A9641" s="76"/>
      <c r="C9641" s="76"/>
    </row>
    <row r="9642" spans="1:3" x14ac:dyDescent="0.2">
      <c r="A9642" s="76"/>
      <c r="C9642" s="76"/>
    </row>
    <row r="9643" spans="1:3" x14ac:dyDescent="0.2">
      <c r="A9643" s="76"/>
      <c r="C9643" s="76"/>
    </row>
    <row r="9644" spans="1:3" x14ac:dyDescent="0.2">
      <c r="A9644" s="76"/>
      <c r="C9644" s="76"/>
    </row>
    <row r="9645" spans="1:3" x14ac:dyDescent="0.2">
      <c r="A9645" s="76"/>
      <c r="C9645" s="76"/>
    </row>
    <row r="9646" spans="1:3" x14ac:dyDescent="0.2">
      <c r="A9646" s="76"/>
      <c r="C9646" s="76"/>
    </row>
    <row r="9647" spans="1:3" x14ac:dyDescent="0.2">
      <c r="A9647" s="76"/>
      <c r="C9647" s="76"/>
    </row>
    <row r="9648" spans="1:3" x14ac:dyDescent="0.2">
      <c r="A9648" s="76"/>
      <c r="C9648" s="76"/>
    </row>
    <row r="9649" spans="1:3" x14ac:dyDescent="0.2">
      <c r="A9649" s="76"/>
      <c r="C9649" s="76"/>
    </row>
    <row r="9650" spans="1:3" x14ac:dyDescent="0.2">
      <c r="A9650" s="76"/>
      <c r="C9650" s="76"/>
    </row>
    <row r="9651" spans="1:3" x14ac:dyDescent="0.2">
      <c r="A9651" s="76"/>
      <c r="C9651" s="76"/>
    </row>
    <row r="9652" spans="1:3" x14ac:dyDescent="0.2">
      <c r="A9652" s="76"/>
      <c r="C9652" s="76"/>
    </row>
    <row r="9653" spans="1:3" x14ac:dyDescent="0.2">
      <c r="A9653" s="76"/>
      <c r="C9653" s="76"/>
    </row>
    <row r="9654" spans="1:3" x14ac:dyDescent="0.2">
      <c r="A9654" s="76"/>
      <c r="C9654" s="76"/>
    </row>
    <row r="9655" spans="1:3" x14ac:dyDescent="0.2">
      <c r="A9655" s="76"/>
      <c r="C9655" s="76"/>
    </row>
    <row r="9656" spans="1:3" x14ac:dyDescent="0.2">
      <c r="A9656" s="76"/>
      <c r="C9656" s="76"/>
    </row>
    <row r="9657" spans="1:3" x14ac:dyDescent="0.2">
      <c r="A9657" s="76"/>
      <c r="C9657" s="76"/>
    </row>
    <row r="9658" spans="1:3" x14ac:dyDescent="0.2">
      <c r="A9658" s="76"/>
      <c r="C9658" s="76"/>
    </row>
    <row r="9659" spans="1:3" x14ac:dyDescent="0.2">
      <c r="A9659" s="76"/>
      <c r="C9659" s="76"/>
    </row>
    <row r="9660" spans="1:3" x14ac:dyDescent="0.2">
      <c r="A9660" s="76"/>
      <c r="C9660" s="76"/>
    </row>
    <row r="9661" spans="1:3" x14ac:dyDescent="0.2">
      <c r="A9661" s="76"/>
      <c r="C9661" s="76"/>
    </row>
    <row r="9662" spans="1:3" x14ac:dyDescent="0.2">
      <c r="A9662" s="76"/>
      <c r="C9662" s="76"/>
    </row>
    <row r="9663" spans="1:3" x14ac:dyDescent="0.2">
      <c r="A9663" s="76"/>
      <c r="C9663" s="76"/>
    </row>
    <row r="9664" spans="1:3" x14ac:dyDescent="0.2">
      <c r="A9664" s="76"/>
      <c r="C9664" s="76"/>
    </row>
    <row r="9665" spans="1:3" x14ac:dyDescent="0.2">
      <c r="A9665" s="76"/>
      <c r="C9665" s="76"/>
    </row>
    <row r="9666" spans="1:3" x14ac:dyDescent="0.2">
      <c r="A9666" s="76"/>
      <c r="C9666" s="76"/>
    </row>
    <row r="9667" spans="1:3" x14ac:dyDescent="0.2">
      <c r="A9667" s="76"/>
      <c r="C9667" s="76"/>
    </row>
    <row r="9668" spans="1:3" x14ac:dyDescent="0.2">
      <c r="A9668" s="76"/>
      <c r="C9668" s="76"/>
    </row>
    <row r="9669" spans="1:3" x14ac:dyDescent="0.2">
      <c r="A9669" s="76"/>
      <c r="C9669" s="76"/>
    </row>
    <row r="9670" spans="1:3" x14ac:dyDescent="0.2">
      <c r="A9670" s="76"/>
      <c r="C9670" s="76"/>
    </row>
    <row r="9671" spans="1:3" x14ac:dyDescent="0.2">
      <c r="A9671" s="76"/>
      <c r="C9671" s="76"/>
    </row>
    <row r="9672" spans="1:3" x14ac:dyDescent="0.2">
      <c r="A9672" s="76"/>
      <c r="C9672" s="76"/>
    </row>
    <row r="9673" spans="1:3" x14ac:dyDescent="0.2">
      <c r="A9673" s="76"/>
      <c r="C9673" s="76"/>
    </row>
    <row r="9674" spans="1:3" x14ac:dyDescent="0.2">
      <c r="A9674" s="76"/>
      <c r="C9674" s="76"/>
    </row>
    <row r="9675" spans="1:3" x14ac:dyDescent="0.2">
      <c r="A9675" s="76"/>
      <c r="C9675" s="76"/>
    </row>
    <row r="9676" spans="1:3" x14ac:dyDescent="0.2">
      <c r="A9676" s="76"/>
      <c r="C9676" s="76"/>
    </row>
    <row r="9677" spans="1:3" x14ac:dyDescent="0.2">
      <c r="A9677" s="76"/>
      <c r="C9677" s="76"/>
    </row>
    <row r="9678" spans="1:3" x14ac:dyDescent="0.2">
      <c r="A9678" s="76"/>
      <c r="C9678" s="76"/>
    </row>
    <row r="9679" spans="1:3" x14ac:dyDescent="0.2">
      <c r="A9679" s="76"/>
      <c r="C9679" s="76"/>
    </row>
    <row r="9680" spans="1:3" x14ac:dyDescent="0.2">
      <c r="A9680" s="76"/>
      <c r="C9680" s="76"/>
    </row>
    <row r="9681" spans="1:3" x14ac:dyDescent="0.2">
      <c r="A9681" s="76"/>
      <c r="C9681" s="76"/>
    </row>
    <row r="9682" spans="1:3" x14ac:dyDescent="0.2">
      <c r="A9682" s="76"/>
      <c r="C9682" s="76"/>
    </row>
    <row r="9683" spans="1:3" x14ac:dyDescent="0.2">
      <c r="A9683" s="76"/>
      <c r="C9683" s="76"/>
    </row>
    <row r="9684" spans="1:3" x14ac:dyDescent="0.2">
      <c r="A9684" s="76"/>
      <c r="C9684" s="76"/>
    </row>
    <row r="9685" spans="1:3" x14ac:dyDescent="0.2">
      <c r="A9685" s="76"/>
      <c r="C9685" s="76"/>
    </row>
    <row r="9686" spans="1:3" x14ac:dyDescent="0.2">
      <c r="A9686" s="76"/>
      <c r="C9686" s="76"/>
    </row>
    <row r="9687" spans="1:3" x14ac:dyDescent="0.2">
      <c r="A9687" s="76"/>
      <c r="C9687" s="76"/>
    </row>
    <row r="9688" spans="1:3" x14ac:dyDescent="0.2">
      <c r="A9688" s="76"/>
      <c r="C9688" s="76"/>
    </row>
    <row r="9689" spans="1:3" x14ac:dyDescent="0.2">
      <c r="A9689" s="76"/>
      <c r="C9689" s="76"/>
    </row>
    <row r="9690" spans="1:3" x14ac:dyDescent="0.2">
      <c r="A9690" s="76"/>
      <c r="C9690" s="76"/>
    </row>
    <row r="9691" spans="1:3" x14ac:dyDescent="0.2">
      <c r="A9691" s="76"/>
      <c r="C9691" s="76"/>
    </row>
    <row r="9692" spans="1:3" x14ac:dyDescent="0.2">
      <c r="A9692" s="76"/>
      <c r="C9692" s="76"/>
    </row>
    <row r="9693" spans="1:3" x14ac:dyDescent="0.2">
      <c r="A9693" s="76"/>
      <c r="C9693" s="76"/>
    </row>
    <row r="9694" spans="1:3" x14ac:dyDescent="0.2">
      <c r="A9694" s="76"/>
      <c r="C9694" s="76"/>
    </row>
    <row r="9695" spans="1:3" x14ac:dyDescent="0.2">
      <c r="A9695" s="76"/>
      <c r="C9695" s="76"/>
    </row>
    <row r="9696" spans="1:3" x14ac:dyDescent="0.2">
      <c r="A9696" s="76"/>
      <c r="C9696" s="76"/>
    </row>
    <row r="9697" spans="1:3" x14ac:dyDescent="0.2">
      <c r="A9697" s="76"/>
      <c r="C9697" s="76"/>
    </row>
    <row r="9698" spans="1:3" x14ac:dyDescent="0.2">
      <c r="A9698" s="76"/>
      <c r="C9698" s="76"/>
    </row>
    <row r="9699" spans="1:3" x14ac:dyDescent="0.2">
      <c r="A9699" s="76"/>
      <c r="C9699" s="76"/>
    </row>
    <row r="9700" spans="1:3" x14ac:dyDescent="0.2">
      <c r="A9700" s="76"/>
      <c r="C9700" s="76"/>
    </row>
    <row r="9701" spans="1:3" x14ac:dyDescent="0.2">
      <c r="A9701" s="76"/>
      <c r="C9701" s="76"/>
    </row>
    <row r="9702" spans="1:3" x14ac:dyDescent="0.2">
      <c r="A9702" s="76"/>
      <c r="C9702" s="76"/>
    </row>
    <row r="9703" spans="1:3" x14ac:dyDescent="0.2">
      <c r="A9703" s="76"/>
      <c r="C9703" s="76"/>
    </row>
    <row r="9704" spans="1:3" x14ac:dyDescent="0.2">
      <c r="A9704" s="76"/>
      <c r="C9704" s="76"/>
    </row>
    <row r="9705" spans="1:3" x14ac:dyDescent="0.2">
      <c r="A9705" s="76"/>
      <c r="C9705" s="76"/>
    </row>
    <row r="9706" spans="1:3" x14ac:dyDescent="0.2">
      <c r="A9706" s="76"/>
      <c r="C9706" s="76"/>
    </row>
    <row r="9707" spans="1:3" x14ac:dyDescent="0.2">
      <c r="A9707" s="76"/>
      <c r="C9707" s="76"/>
    </row>
    <row r="9708" spans="1:3" x14ac:dyDescent="0.2">
      <c r="A9708" s="76"/>
      <c r="C9708" s="76"/>
    </row>
    <row r="9709" spans="1:3" x14ac:dyDescent="0.2">
      <c r="A9709" s="76"/>
      <c r="C9709" s="76"/>
    </row>
    <row r="9710" spans="1:3" x14ac:dyDescent="0.2">
      <c r="A9710" s="76"/>
      <c r="C9710" s="76"/>
    </row>
    <row r="9711" spans="1:3" x14ac:dyDescent="0.2">
      <c r="A9711" s="76"/>
      <c r="C9711" s="76"/>
    </row>
    <row r="9712" spans="1:3" x14ac:dyDescent="0.2">
      <c r="A9712" s="76"/>
      <c r="C9712" s="76"/>
    </row>
    <row r="9713" spans="1:3" x14ac:dyDescent="0.2">
      <c r="A9713" s="76"/>
      <c r="C9713" s="76"/>
    </row>
    <row r="9714" spans="1:3" x14ac:dyDescent="0.2">
      <c r="A9714" s="76"/>
      <c r="C9714" s="76"/>
    </row>
    <row r="9715" spans="1:3" x14ac:dyDescent="0.2">
      <c r="A9715" s="76"/>
      <c r="C9715" s="76"/>
    </row>
    <row r="9716" spans="1:3" x14ac:dyDescent="0.2">
      <c r="A9716" s="76"/>
      <c r="C9716" s="76"/>
    </row>
    <row r="9717" spans="1:3" x14ac:dyDescent="0.2">
      <c r="A9717" s="76"/>
      <c r="C9717" s="76"/>
    </row>
    <row r="9718" spans="1:3" x14ac:dyDescent="0.2">
      <c r="A9718" s="76"/>
      <c r="C9718" s="76"/>
    </row>
    <row r="9719" spans="1:3" x14ac:dyDescent="0.2">
      <c r="A9719" s="76"/>
      <c r="C9719" s="76"/>
    </row>
    <row r="9720" spans="1:3" x14ac:dyDescent="0.2">
      <c r="A9720" s="76"/>
      <c r="C9720" s="76"/>
    </row>
    <row r="9721" spans="1:3" x14ac:dyDescent="0.2">
      <c r="A9721" s="76"/>
      <c r="C9721" s="76"/>
    </row>
    <row r="9722" spans="1:3" x14ac:dyDescent="0.2">
      <c r="A9722" s="76"/>
      <c r="C9722" s="76"/>
    </row>
    <row r="9723" spans="1:3" x14ac:dyDescent="0.2">
      <c r="A9723" s="76"/>
      <c r="C9723" s="76"/>
    </row>
    <row r="9724" spans="1:3" x14ac:dyDescent="0.2">
      <c r="A9724" s="76"/>
      <c r="C9724" s="76"/>
    </row>
    <row r="9725" spans="1:3" x14ac:dyDescent="0.2">
      <c r="A9725" s="76"/>
      <c r="C9725" s="76"/>
    </row>
    <row r="9726" spans="1:3" x14ac:dyDescent="0.2">
      <c r="A9726" s="76"/>
      <c r="C9726" s="76"/>
    </row>
    <row r="9727" spans="1:3" x14ac:dyDescent="0.2">
      <c r="A9727" s="76"/>
      <c r="C9727" s="76"/>
    </row>
    <row r="9728" spans="1:3" x14ac:dyDescent="0.2">
      <c r="A9728" s="76"/>
      <c r="C9728" s="76"/>
    </row>
    <row r="9729" spans="1:3" x14ac:dyDescent="0.2">
      <c r="A9729" s="76"/>
      <c r="C9729" s="76"/>
    </row>
    <row r="9730" spans="1:3" x14ac:dyDescent="0.2">
      <c r="A9730" s="76"/>
      <c r="C9730" s="76"/>
    </row>
    <row r="9731" spans="1:3" x14ac:dyDescent="0.2">
      <c r="A9731" s="76"/>
      <c r="C9731" s="76"/>
    </row>
    <row r="9732" spans="1:3" x14ac:dyDescent="0.2">
      <c r="A9732" s="76"/>
      <c r="C9732" s="76"/>
    </row>
    <row r="9733" spans="1:3" x14ac:dyDescent="0.2">
      <c r="A9733" s="76"/>
      <c r="C9733" s="76"/>
    </row>
    <row r="9734" spans="1:3" x14ac:dyDescent="0.2">
      <c r="A9734" s="76"/>
      <c r="C9734" s="76"/>
    </row>
    <row r="9735" spans="1:3" x14ac:dyDescent="0.2">
      <c r="A9735" s="76"/>
      <c r="C9735" s="76"/>
    </row>
    <row r="9736" spans="1:3" x14ac:dyDescent="0.2">
      <c r="A9736" s="76"/>
      <c r="C9736" s="76"/>
    </row>
    <row r="9737" spans="1:3" x14ac:dyDescent="0.2">
      <c r="A9737" s="76"/>
      <c r="C9737" s="76"/>
    </row>
    <row r="9738" spans="1:3" x14ac:dyDescent="0.2">
      <c r="A9738" s="76"/>
      <c r="C9738" s="76"/>
    </row>
    <row r="9739" spans="1:3" x14ac:dyDescent="0.2">
      <c r="A9739" s="76"/>
      <c r="C9739" s="76"/>
    </row>
    <row r="9740" spans="1:3" x14ac:dyDescent="0.2">
      <c r="A9740" s="76"/>
      <c r="C9740" s="76"/>
    </row>
    <row r="9741" spans="1:3" x14ac:dyDescent="0.2">
      <c r="A9741" s="76"/>
      <c r="C9741" s="76"/>
    </row>
    <row r="9742" spans="1:3" x14ac:dyDescent="0.2">
      <c r="A9742" s="76"/>
      <c r="C9742" s="76"/>
    </row>
    <row r="9743" spans="1:3" x14ac:dyDescent="0.2">
      <c r="A9743" s="76"/>
      <c r="C9743" s="76"/>
    </row>
    <row r="9744" spans="1:3" x14ac:dyDescent="0.2">
      <c r="A9744" s="76"/>
      <c r="C9744" s="76"/>
    </row>
    <row r="9745" spans="1:3" x14ac:dyDescent="0.2">
      <c r="A9745" s="76"/>
      <c r="C9745" s="76"/>
    </row>
    <row r="9746" spans="1:3" x14ac:dyDescent="0.2">
      <c r="A9746" s="76"/>
      <c r="C9746" s="76"/>
    </row>
    <row r="9747" spans="1:3" x14ac:dyDescent="0.2">
      <c r="A9747" s="76"/>
      <c r="C9747" s="76"/>
    </row>
    <row r="9748" spans="1:3" x14ac:dyDescent="0.2">
      <c r="A9748" s="76"/>
      <c r="C9748" s="76"/>
    </row>
    <row r="9749" spans="1:3" x14ac:dyDescent="0.2">
      <c r="A9749" s="76"/>
      <c r="C9749" s="76"/>
    </row>
    <row r="9750" spans="1:3" x14ac:dyDescent="0.2">
      <c r="A9750" s="76"/>
      <c r="C9750" s="76"/>
    </row>
    <row r="9751" spans="1:3" x14ac:dyDescent="0.2">
      <c r="A9751" s="76"/>
      <c r="C9751" s="76"/>
    </row>
    <row r="9752" spans="1:3" x14ac:dyDescent="0.2">
      <c r="A9752" s="76"/>
      <c r="C9752" s="76"/>
    </row>
    <row r="9753" spans="1:3" x14ac:dyDescent="0.2">
      <c r="A9753" s="76"/>
      <c r="C9753" s="76"/>
    </row>
    <row r="9754" spans="1:3" x14ac:dyDescent="0.2">
      <c r="A9754" s="76"/>
      <c r="C9754" s="76"/>
    </row>
    <row r="9755" spans="1:3" x14ac:dyDescent="0.2">
      <c r="A9755" s="76"/>
      <c r="C9755" s="76"/>
    </row>
    <row r="9756" spans="1:3" x14ac:dyDescent="0.2">
      <c r="A9756" s="76"/>
      <c r="C9756" s="76"/>
    </row>
    <row r="9757" spans="1:3" x14ac:dyDescent="0.2">
      <c r="A9757" s="76"/>
      <c r="C9757" s="76"/>
    </row>
    <row r="9758" spans="1:3" x14ac:dyDescent="0.2">
      <c r="A9758" s="76"/>
      <c r="C9758" s="76"/>
    </row>
    <row r="9759" spans="1:3" x14ac:dyDescent="0.2">
      <c r="A9759" s="76"/>
      <c r="C9759" s="76"/>
    </row>
    <row r="9760" spans="1:3" x14ac:dyDescent="0.2">
      <c r="A9760" s="76"/>
      <c r="C9760" s="76"/>
    </row>
    <row r="9761" spans="1:3" x14ac:dyDescent="0.2">
      <c r="A9761" s="76"/>
      <c r="C9761" s="76"/>
    </row>
    <row r="9762" spans="1:3" x14ac:dyDescent="0.2">
      <c r="A9762" s="76"/>
      <c r="C9762" s="76"/>
    </row>
    <row r="9763" spans="1:3" x14ac:dyDescent="0.2">
      <c r="A9763" s="76"/>
      <c r="C9763" s="76"/>
    </row>
    <row r="9764" spans="1:3" x14ac:dyDescent="0.2">
      <c r="A9764" s="76"/>
      <c r="C9764" s="76"/>
    </row>
    <row r="9765" spans="1:3" x14ac:dyDescent="0.2">
      <c r="A9765" s="76"/>
      <c r="C9765" s="76"/>
    </row>
    <row r="9766" spans="1:3" x14ac:dyDescent="0.2">
      <c r="A9766" s="76"/>
      <c r="C9766" s="76"/>
    </row>
    <row r="9767" spans="1:3" x14ac:dyDescent="0.2">
      <c r="A9767" s="76"/>
      <c r="C9767" s="76"/>
    </row>
    <row r="9768" spans="1:3" x14ac:dyDescent="0.2">
      <c r="A9768" s="76"/>
      <c r="C9768" s="76"/>
    </row>
    <row r="9769" spans="1:3" x14ac:dyDescent="0.2">
      <c r="A9769" s="76"/>
      <c r="C9769" s="76"/>
    </row>
    <row r="9770" spans="1:3" x14ac:dyDescent="0.2">
      <c r="A9770" s="76"/>
      <c r="C9770" s="76"/>
    </row>
    <row r="9771" spans="1:3" x14ac:dyDescent="0.2">
      <c r="A9771" s="76"/>
      <c r="C9771" s="76"/>
    </row>
    <row r="9772" spans="1:3" x14ac:dyDescent="0.2">
      <c r="A9772" s="76"/>
      <c r="C9772" s="76"/>
    </row>
    <row r="9773" spans="1:3" x14ac:dyDescent="0.2">
      <c r="A9773" s="76"/>
      <c r="C9773" s="76"/>
    </row>
    <row r="9774" spans="1:3" x14ac:dyDescent="0.2">
      <c r="A9774" s="76"/>
      <c r="C9774" s="76"/>
    </row>
    <row r="9775" spans="1:3" x14ac:dyDescent="0.2">
      <c r="A9775" s="76"/>
      <c r="C9775" s="76"/>
    </row>
    <row r="9776" spans="1:3" x14ac:dyDescent="0.2">
      <c r="A9776" s="76"/>
      <c r="C9776" s="76"/>
    </row>
    <row r="9777" spans="1:3" x14ac:dyDescent="0.2">
      <c r="A9777" s="76"/>
      <c r="C9777" s="76"/>
    </row>
    <row r="9778" spans="1:3" x14ac:dyDescent="0.2">
      <c r="A9778" s="76"/>
      <c r="C9778" s="76"/>
    </row>
    <row r="9779" spans="1:3" x14ac:dyDescent="0.2">
      <c r="A9779" s="76"/>
      <c r="C9779" s="76"/>
    </row>
    <row r="9780" spans="1:3" x14ac:dyDescent="0.2">
      <c r="A9780" s="76"/>
      <c r="C9780" s="76"/>
    </row>
    <row r="9781" spans="1:3" x14ac:dyDescent="0.2">
      <c r="A9781" s="76"/>
      <c r="C9781" s="76"/>
    </row>
    <row r="9782" spans="1:3" x14ac:dyDescent="0.2">
      <c r="A9782" s="76"/>
      <c r="C9782" s="76"/>
    </row>
    <row r="9783" spans="1:3" x14ac:dyDescent="0.2">
      <c r="A9783" s="76"/>
      <c r="C9783" s="76"/>
    </row>
    <row r="9784" spans="1:3" x14ac:dyDescent="0.2">
      <c r="A9784" s="76"/>
      <c r="C9784" s="76"/>
    </row>
    <row r="9785" spans="1:3" x14ac:dyDescent="0.2">
      <c r="A9785" s="76"/>
      <c r="C9785" s="76"/>
    </row>
    <row r="9786" spans="1:3" x14ac:dyDescent="0.2">
      <c r="A9786" s="76"/>
      <c r="C9786" s="76"/>
    </row>
    <row r="9787" spans="1:3" x14ac:dyDescent="0.2">
      <c r="A9787" s="76"/>
      <c r="C9787" s="76"/>
    </row>
    <row r="9788" spans="1:3" x14ac:dyDescent="0.2">
      <c r="A9788" s="76"/>
      <c r="C9788" s="76"/>
    </row>
    <row r="9789" spans="1:3" x14ac:dyDescent="0.2">
      <c r="A9789" s="76"/>
      <c r="C9789" s="76"/>
    </row>
    <row r="9790" spans="1:3" x14ac:dyDescent="0.2">
      <c r="A9790" s="76"/>
      <c r="C9790" s="76"/>
    </row>
    <row r="9791" spans="1:3" x14ac:dyDescent="0.2">
      <c r="A9791" s="76"/>
      <c r="C9791" s="76"/>
    </row>
    <row r="9792" spans="1:3" x14ac:dyDescent="0.2">
      <c r="A9792" s="76"/>
      <c r="C9792" s="76"/>
    </row>
    <row r="9793" spans="1:3" x14ac:dyDescent="0.2">
      <c r="A9793" s="76"/>
      <c r="C9793" s="76"/>
    </row>
    <row r="9794" spans="1:3" x14ac:dyDescent="0.2">
      <c r="A9794" s="76"/>
      <c r="C9794" s="76"/>
    </row>
    <row r="9795" spans="1:3" x14ac:dyDescent="0.2">
      <c r="A9795" s="76"/>
      <c r="C9795" s="76"/>
    </row>
    <row r="9796" spans="1:3" x14ac:dyDescent="0.2">
      <c r="A9796" s="76"/>
      <c r="C9796" s="76"/>
    </row>
    <row r="9797" spans="1:3" x14ac:dyDescent="0.2">
      <c r="A9797" s="76"/>
      <c r="C9797" s="76"/>
    </row>
    <row r="9798" spans="1:3" x14ac:dyDescent="0.2">
      <c r="A9798" s="76"/>
      <c r="C9798" s="76"/>
    </row>
    <row r="9799" spans="1:3" x14ac:dyDescent="0.2">
      <c r="A9799" s="76"/>
      <c r="C9799" s="76"/>
    </row>
    <row r="9800" spans="1:3" x14ac:dyDescent="0.2">
      <c r="A9800" s="76"/>
      <c r="C9800" s="76"/>
    </row>
    <row r="9801" spans="1:3" x14ac:dyDescent="0.2">
      <c r="A9801" s="76"/>
      <c r="C9801" s="76"/>
    </row>
    <row r="9802" spans="1:3" x14ac:dyDescent="0.2">
      <c r="A9802" s="76"/>
      <c r="C9802" s="76"/>
    </row>
    <row r="9803" spans="1:3" x14ac:dyDescent="0.2">
      <c r="A9803" s="76"/>
      <c r="C9803" s="76"/>
    </row>
    <row r="9804" spans="1:3" x14ac:dyDescent="0.2">
      <c r="A9804" s="76"/>
      <c r="C9804" s="76"/>
    </row>
    <row r="9805" spans="1:3" x14ac:dyDescent="0.2">
      <c r="A9805" s="76"/>
      <c r="C9805" s="76"/>
    </row>
    <row r="9806" spans="1:3" x14ac:dyDescent="0.2">
      <c r="A9806" s="76"/>
      <c r="C9806" s="76"/>
    </row>
    <row r="9807" spans="1:3" x14ac:dyDescent="0.2">
      <c r="A9807" s="76"/>
      <c r="C9807" s="76"/>
    </row>
    <row r="9808" spans="1:3" x14ac:dyDescent="0.2">
      <c r="A9808" s="76"/>
      <c r="C9808" s="76"/>
    </row>
    <row r="9809" spans="1:3" x14ac:dyDescent="0.2">
      <c r="A9809" s="76"/>
      <c r="C9809" s="76"/>
    </row>
    <row r="9810" spans="1:3" x14ac:dyDescent="0.2">
      <c r="A9810" s="76"/>
      <c r="C9810" s="76"/>
    </row>
    <row r="9811" spans="1:3" x14ac:dyDescent="0.2">
      <c r="A9811" s="76"/>
      <c r="C9811" s="76"/>
    </row>
    <row r="9812" spans="1:3" x14ac:dyDescent="0.2">
      <c r="A9812" s="76"/>
      <c r="C9812" s="76"/>
    </row>
    <row r="9813" spans="1:3" x14ac:dyDescent="0.2">
      <c r="A9813" s="76"/>
      <c r="C9813" s="76"/>
    </row>
    <row r="9814" spans="1:3" x14ac:dyDescent="0.2">
      <c r="A9814" s="76"/>
      <c r="C9814" s="76"/>
    </row>
    <row r="9815" spans="1:3" x14ac:dyDescent="0.2">
      <c r="A9815" s="76"/>
      <c r="C9815" s="76"/>
    </row>
    <row r="9816" spans="1:3" x14ac:dyDescent="0.2">
      <c r="A9816" s="76"/>
      <c r="C9816" s="76"/>
    </row>
    <row r="9817" spans="1:3" x14ac:dyDescent="0.2">
      <c r="A9817" s="76"/>
      <c r="C9817" s="76"/>
    </row>
    <row r="9818" spans="1:3" x14ac:dyDescent="0.2">
      <c r="A9818" s="76"/>
      <c r="C9818" s="76"/>
    </row>
    <row r="9819" spans="1:3" x14ac:dyDescent="0.2">
      <c r="A9819" s="76"/>
      <c r="C9819" s="76"/>
    </row>
    <row r="9820" spans="1:3" x14ac:dyDescent="0.2">
      <c r="A9820" s="76"/>
      <c r="C9820" s="76"/>
    </row>
    <row r="9821" spans="1:3" x14ac:dyDescent="0.2">
      <c r="A9821" s="76"/>
      <c r="C9821" s="76"/>
    </row>
    <row r="9822" spans="1:3" x14ac:dyDescent="0.2">
      <c r="A9822" s="76"/>
      <c r="C9822" s="76"/>
    </row>
    <row r="9823" spans="1:3" x14ac:dyDescent="0.2">
      <c r="A9823" s="76"/>
      <c r="C9823" s="76"/>
    </row>
    <row r="9824" spans="1:3" x14ac:dyDescent="0.2">
      <c r="A9824" s="76"/>
      <c r="C9824" s="76"/>
    </row>
    <row r="9825" spans="1:3" x14ac:dyDescent="0.2">
      <c r="A9825" s="76"/>
      <c r="C9825" s="76"/>
    </row>
    <row r="9826" spans="1:3" x14ac:dyDescent="0.2">
      <c r="A9826" s="76"/>
      <c r="C9826" s="76"/>
    </row>
    <row r="9827" spans="1:3" x14ac:dyDescent="0.2">
      <c r="A9827" s="76"/>
      <c r="C9827" s="76"/>
    </row>
    <row r="9828" spans="1:3" x14ac:dyDescent="0.2">
      <c r="A9828" s="76"/>
      <c r="C9828" s="76"/>
    </row>
    <row r="9829" spans="1:3" x14ac:dyDescent="0.2">
      <c r="A9829" s="76"/>
      <c r="C9829" s="76"/>
    </row>
    <row r="9830" spans="1:3" x14ac:dyDescent="0.2">
      <c r="A9830" s="76"/>
      <c r="C9830" s="76"/>
    </row>
    <row r="9831" spans="1:3" x14ac:dyDescent="0.2">
      <c r="A9831" s="76"/>
      <c r="C9831" s="76"/>
    </row>
    <row r="9832" spans="1:3" x14ac:dyDescent="0.2">
      <c r="A9832" s="76"/>
      <c r="C9832" s="76"/>
    </row>
    <row r="9833" spans="1:3" x14ac:dyDescent="0.2">
      <c r="A9833" s="76"/>
      <c r="C9833" s="76"/>
    </row>
    <row r="9834" spans="1:3" x14ac:dyDescent="0.2">
      <c r="A9834" s="76"/>
      <c r="C9834" s="76"/>
    </row>
    <row r="9835" spans="1:3" x14ac:dyDescent="0.2">
      <c r="A9835" s="76"/>
      <c r="C9835" s="76"/>
    </row>
    <row r="9836" spans="1:3" x14ac:dyDescent="0.2">
      <c r="A9836" s="76"/>
      <c r="C9836" s="76"/>
    </row>
    <row r="9837" spans="1:3" x14ac:dyDescent="0.2">
      <c r="A9837" s="76"/>
      <c r="C9837" s="76"/>
    </row>
    <row r="9838" spans="1:3" x14ac:dyDescent="0.2">
      <c r="A9838" s="76"/>
      <c r="C9838" s="76"/>
    </row>
    <row r="9839" spans="1:3" x14ac:dyDescent="0.2">
      <c r="A9839" s="76"/>
      <c r="C9839" s="76"/>
    </row>
    <row r="9840" spans="1:3" x14ac:dyDescent="0.2">
      <c r="A9840" s="76"/>
      <c r="C9840" s="76"/>
    </row>
    <row r="9841" spans="1:3" x14ac:dyDescent="0.2">
      <c r="A9841" s="76"/>
      <c r="C9841" s="76"/>
    </row>
    <row r="9842" spans="1:3" x14ac:dyDescent="0.2">
      <c r="A9842" s="76"/>
      <c r="C9842" s="76"/>
    </row>
    <row r="9843" spans="1:3" x14ac:dyDescent="0.2">
      <c r="A9843" s="76"/>
      <c r="C9843" s="76"/>
    </row>
    <row r="9844" spans="1:3" x14ac:dyDescent="0.2">
      <c r="A9844" s="76"/>
      <c r="C9844" s="76"/>
    </row>
    <row r="9845" spans="1:3" x14ac:dyDescent="0.2">
      <c r="A9845" s="76"/>
      <c r="C9845" s="76"/>
    </row>
    <row r="9846" spans="1:3" x14ac:dyDescent="0.2">
      <c r="A9846" s="76"/>
      <c r="C9846" s="76"/>
    </row>
    <row r="9847" spans="1:3" x14ac:dyDescent="0.2">
      <c r="A9847" s="76"/>
      <c r="C9847" s="76"/>
    </row>
    <row r="9848" spans="1:3" x14ac:dyDescent="0.2">
      <c r="A9848" s="76"/>
      <c r="C9848" s="76"/>
    </row>
    <row r="9849" spans="1:3" x14ac:dyDescent="0.2">
      <c r="A9849" s="76"/>
      <c r="C9849" s="76"/>
    </row>
    <row r="9850" spans="1:3" x14ac:dyDescent="0.2">
      <c r="A9850" s="76"/>
      <c r="C9850" s="76"/>
    </row>
    <row r="9851" spans="1:3" x14ac:dyDescent="0.2">
      <c r="A9851" s="76"/>
      <c r="C9851" s="76"/>
    </row>
    <row r="9852" spans="1:3" x14ac:dyDescent="0.2">
      <c r="A9852" s="76"/>
      <c r="C9852" s="76"/>
    </row>
    <row r="9853" spans="1:3" x14ac:dyDescent="0.2">
      <c r="A9853" s="76"/>
      <c r="C9853" s="76"/>
    </row>
    <row r="9854" spans="1:3" x14ac:dyDescent="0.2">
      <c r="A9854" s="76"/>
      <c r="C9854" s="76"/>
    </row>
    <row r="9855" spans="1:3" x14ac:dyDescent="0.2">
      <c r="A9855" s="76"/>
      <c r="C9855" s="76"/>
    </row>
    <row r="9856" spans="1:3" x14ac:dyDescent="0.2">
      <c r="A9856" s="76"/>
      <c r="C9856" s="76"/>
    </row>
    <row r="9857" spans="1:3" x14ac:dyDescent="0.2">
      <c r="A9857" s="76"/>
      <c r="C9857" s="76"/>
    </row>
    <row r="9858" spans="1:3" x14ac:dyDescent="0.2">
      <c r="A9858" s="76"/>
      <c r="C9858" s="76"/>
    </row>
    <row r="9859" spans="1:3" x14ac:dyDescent="0.2">
      <c r="A9859" s="76"/>
      <c r="C9859" s="76"/>
    </row>
    <row r="9860" spans="1:3" x14ac:dyDescent="0.2">
      <c r="A9860" s="76"/>
      <c r="C9860" s="76"/>
    </row>
    <row r="9861" spans="1:3" x14ac:dyDescent="0.2">
      <c r="A9861" s="76"/>
      <c r="C9861" s="76"/>
    </row>
    <row r="9862" spans="1:3" x14ac:dyDescent="0.2">
      <c r="A9862" s="76"/>
      <c r="C9862" s="76"/>
    </row>
    <row r="9863" spans="1:3" x14ac:dyDescent="0.2">
      <c r="A9863" s="76"/>
      <c r="C9863" s="76"/>
    </row>
    <row r="9864" spans="1:3" x14ac:dyDescent="0.2">
      <c r="A9864" s="76"/>
      <c r="C9864" s="76"/>
    </row>
    <row r="9865" spans="1:3" x14ac:dyDescent="0.2">
      <c r="A9865" s="76"/>
      <c r="C9865" s="76"/>
    </row>
    <row r="9866" spans="1:3" x14ac:dyDescent="0.2">
      <c r="A9866" s="76"/>
      <c r="C9866" s="76"/>
    </row>
    <row r="9867" spans="1:3" x14ac:dyDescent="0.2">
      <c r="A9867" s="76"/>
      <c r="C9867" s="76"/>
    </row>
    <row r="9868" spans="1:3" x14ac:dyDescent="0.2">
      <c r="A9868" s="76"/>
      <c r="C9868" s="76"/>
    </row>
    <row r="9869" spans="1:3" x14ac:dyDescent="0.2">
      <c r="A9869" s="76"/>
      <c r="C9869" s="76"/>
    </row>
    <row r="9870" spans="1:3" x14ac:dyDescent="0.2">
      <c r="A9870" s="76"/>
      <c r="C9870" s="76"/>
    </row>
    <row r="9871" spans="1:3" x14ac:dyDescent="0.2">
      <c r="A9871" s="76"/>
      <c r="C9871" s="76"/>
    </row>
    <row r="9872" spans="1:3" x14ac:dyDescent="0.2">
      <c r="A9872" s="76"/>
      <c r="C9872" s="76"/>
    </row>
    <row r="9873" spans="1:3" x14ac:dyDescent="0.2">
      <c r="A9873" s="76"/>
      <c r="C9873" s="76"/>
    </row>
    <row r="9874" spans="1:3" x14ac:dyDescent="0.2">
      <c r="A9874" s="76"/>
      <c r="C9874" s="76"/>
    </row>
    <row r="9875" spans="1:3" x14ac:dyDescent="0.2">
      <c r="A9875" s="76"/>
      <c r="C9875" s="76"/>
    </row>
    <row r="9876" spans="1:3" x14ac:dyDescent="0.2">
      <c r="A9876" s="76"/>
      <c r="C9876" s="76"/>
    </row>
    <row r="9877" spans="1:3" x14ac:dyDescent="0.2">
      <c r="A9877" s="76"/>
      <c r="C9877" s="76"/>
    </row>
    <row r="9878" spans="1:3" x14ac:dyDescent="0.2">
      <c r="A9878" s="76"/>
      <c r="C9878" s="76"/>
    </row>
    <row r="9879" spans="1:3" x14ac:dyDescent="0.2">
      <c r="A9879" s="76"/>
      <c r="C9879" s="76"/>
    </row>
    <row r="9880" spans="1:3" x14ac:dyDescent="0.2">
      <c r="A9880" s="76"/>
      <c r="C9880" s="76"/>
    </row>
    <row r="9881" spans="1:3" x14ac:dyDescent="0.2">
      <c r="A9881" s="76"/>
      <c r="C9881" s="76"/>
    </row>
    <row r="9882" spans="1:3" x14ac:dyDescent="0.2">
      <c r="A9882" s="76"/>
      <c r="C9882" s="76"/>
    </row>
    <row r="9883" spans="1:3" x14ac:dyDescent="0.2">
      <c r="A9883" s="76"/>
      <c r="C9883" s="76"/>
    </row>
    <row r="9884" spans="1:3" x14ac:dyDescent="0.2">
      <c r="A9884" s="76"/>
      <c r="C9884" s="76"/>
    </row>
    <row r="9885" spans="1:3" x14ac:dyDescent="0.2">
      <c r="A9885" s="76"/>
      <c r="C9885" s="76"/>
    </row>
    <row r="9886" spans="1:3" x14ac:dyDescent="0.2">
      <c r="A9886" s="76"/>
      <c r="C9886" s="76"/>
    </row>
    <row r="9887" spans="1:3" x14ac:dyDescent="0.2">
      <c r="A9887" s="76"/>
      <c r="C9887" s="76"/>
    </row>
    <row r="9888" spans="1:3" x14ac:dyDescent="0.2">
      <c r="A9888" s="76"/>
      <c r="C9888" s="76"/>
    </row>
    <row r="9889" spans="1:3" x14ac:dyDescent="0.2">
      <c r="A9889" s="76"/>
      <c r="C9889" s="76"/>
    </row>
    <row r="9890" spans="1:3" x14ac:dyDescent="0.2">
      <c r="A9890" s="76"/>
      <c r="C9890" s="76"/>
    </row>
    <row r="9891" spans="1:3" x14ac:dyDescent="0.2">
      <c r="A9891" s="76"/>
      <c r="C9891" s="76"/>
    </row>
    <row r="9892" spans="1:3" x14ac:dyDescent="0.2">
      <c r="A9892" s="76"/>
      <c r="C9892" s="76"/>
    </row>
    <row r="9893" spans="1:3" x14ac:dyDescent="0.2">
      <c r="A9893" s="76"/>
      <c r="C9893" s="76"/>
    </row>
    <row r="9894" spans="1:3" x14ac:dyDescent="0.2">
      <c r="A9894" s="76"/>
      <c r="C9894" s="76"/>
    </row>
    <row r="9895" spans="1:3" x14ac:dyDescent="0.2">
      <c r="A9895" s="76"/>
      <c r="C9895" s="76"/>
    </row>
    <row r="9896" spans="1:3" x14ac:dyDescent="0.2">
      <c r="A9896" s="76"/>
      <c r="C9896" s="76"/>
    </row>
    <row r="9897" spans="1:3" x14ac:dyDescent="0.2">
      <c r="A9897" s="76"/>
      <c r="C9897" s="76"/>
    </row>
    <row r="9898" spans="1:3" x14ac:dyDescent="0.2">
      <c r="A9898" s="76"/>
      <c r="C9898" s="76"/>
    </row>
    <row r="9899" spans="1:3" x14ac:dyDescent="0.2">
      <c r="A9899" s="76"/>
      <c r="C9899" s="76"/>
    </row>
    <row r="9900" spans="1:3" x14ac:dyDescent="0.2">
      <c r="A9900" s="76"/>
      <c r="C9900" s="76"/>
    </row>
    <row r="9901" spans="1:3" x14ac:dyDescent="0.2">
      <c r="A9901" s="76"/>
      <c r="C9901" s="76"/>
    </row>
    <row r="9902" spans="1:3" x14ac:dyDescent="0.2">
      <c r="A9902" s="76"/>
      <c r="C9902" s="76"/>
    </row>
    <row r="9903" spans="1:3" x14ac:dyDescent="0.2">
      <c r="A9903" s="76"/>
      <c r="C9903" s="76"/>
    </row>
    <row r="9904" spans="1:3" x14ac:dyDescent="0.2">
      <c r="A9904" s="76"/>
      <c r="C9904" s="76"/>
    </row>
    <row r="9905" spans="1:3" x14ac:dyDescent="0.2">
      <c r="A9905" s="76"/>
      <c r="C9905" s="76"/>
    </row>
    <row r="9906" spans="1:3" x14ac:dyDescent="0.2">
      <c r="A9906" s="76"/>
      <c r="C9906" s="76"/>
    </row>
    <row r="9907" spans="1:3" x14ac:dyDescent="0.2">
      <c r="A9907" s="76"/>
      <c r="C9907" s="76"/>
    </row>
    <row r="9908" spans="1:3" x14ac:dyDescent="0.2">
      <c r="A9908" s="76"/>
      <c r="C9908" s="76"/>
    </row>
    <row r="9909" spans="1:3" x14ac:dyDescent="0.2">
      <c r="A9909" s="76"/>
      <c r="C9909" s="76"/>
    </row>
    <row r="9910" spans="1:3" x14ac:dyDescent="0.2">
      <c r="A9910" s="76"/>
      <c r="C9910" s="76"/>
    </row>
    <row r="9911" spans="1:3" x14ac:dyDescent="0.2">
      <c r="A9911" s="76"/>
      <c r="C9911" s="76"/>
    </row>
    <row r="9912" spans="1:3" x14ac:dyDescent="0.2">
      <c r="A9912" s="76"/>
      <c r="C9912" s="76"/>
    </row>
    <row r="9913" spans="1:3" x14ac:dyDescent="0.2">
      <c r="A9913" s="76"/>
      <c r="C9913" s="76"/>
    </row>
    <row r="9914" spans="1:3" x14ac:dyDescent="0.2">
      <c r="A9914" s="76"/>
      <c r="C9914" s="76"/>
    </row>
    <row r="9915" spans="1:3" x14ac:dyDescent="0.2">
      <c r="A9915" s="76"/>
      <c r="C9915" s="76"/>
    </row>
    <row r="9916" spans="1:3" x14ac:dyDescent="0.2">
      <c r="A9916" s="76"/>
      <c r="C9916" s="76"/>
    </row>
    <row r="9917" spans="1:3" x14ac:dyDescent="0.2">
      <c r="A9917" s="76"/>
      <c r="C9917" s="76"/>
    </row>
    <row r="9918" spans="1:3" x14ac:dyDescent="0.2">
      <c r="A9918" s="76"/>
      <c r="C9918" s="76"/>
    </row>
    <row r="9919" spans="1:3" x14ac:dyDescent="0.2">
      <c r="A9919" s="76"/>
      <c r="C9919" s="76"/>
    </row>
    <row r="9920" spans="1:3" x14ac:dyDescent="0.2">
      <c r="A9920" s="76"/>
      <c r="C9920" s="76"/>
    </row>
    <row r="9921" spans="1:3" x14ac:dyDescent="0.2">
      <c r="A9921" s="76"/>
      <c r="C9921" s="76"/>
    </row>
    <row r="9922" spans="1:3" x14ac:dyDescent="0.2">
      <c r="A9922" s="76"/>
      <c r="C9922" s="76"/>
    </row>
    <row r="9923" spans="1:3" x14ac:dyDescent="0.2">
      <c r="A9923" s="76"/>
      <c r="C9923" s="76"/>
    </row>
    <row r="9924" spans="1:3" x14ac:dyDescent="0.2">
      <c r="A9924" s="76"/>
      <c r="C9924" s="76"/>
    </row>
    <row r="9925" spans="1:3" x14ac:dyDescent="0.2">
      <c r="A9925" s="76"/>
      <c r="C9925" s="76"/>
    </row>
    <row r="9926" spans="1:3" x14ac:dyDescent="0.2">
      <c r="A9926" s="76"/>
      <c r="C9926" s="76"/>
    </row>
    <row r="9927" spans="1:3" x14ac:dyDescent="0.2">
      <c r="A9927" s="76"/>
      <c r="C9927" s="76"/>
    </row>
    <row r="9928" spans="1:3" x14ac:dyDescent="0.2">
      <c r="A9928" s="76"/>
      <c r="C9928" s="76"/>
    </row>
    <row r="9929" spans="1:3" x14ac:dyDescent="0.2">
      <c r="A9929" s="76"/>
      <c r="C9929" s="76"/>
    </row>
    <row r="9930" spans="1:3" x14ac:dyDescent="0.2">
      <c r="A9930" s="76"/>
      <c r="C9930" s="76"/>
    </row>
    <row r="9931" spans="1:3" x14ac:dyDescent="0.2">
      <c r="A9931" s="76"/>
      <c r="C9931" s="76"/>
    </row>
    <row r="9932" spans="1:3" x14ac:dyDescent="0.2">
      <c r="A9932" s="76"/>
      <c r="C9932" s="76"/>
    </row>
    <row r="9933" spans="1:3" x14ac:dyDescent="0.2">
      <c r="A9933" s="76"/>
      <c r="C9933" s="76"/>
    </row>
    <row r="9934" spans="1:3" x14ac:dyDescent="0.2">
      <c r="A9934" s="76"/>
      <c r="C9934" s="76"/>
    </row>
    <row r="9935" spans="1:3" x14ac:dyDescent="0.2">
      <c r="A9935" s="76"/>
      <c r="C9935" s="76"/>
    </row>
    <row r="9936" spans="1:3" x14ac:dyDescent="0.2">
      <c r="A9936" s="76"/>
      <c r="C9936" s="76"/>
    </row>
    <row r="9937" spans="1:3" x14ac:dyDescent="0.2">
      <c r="A9937" s="76"/>
      <c r="C9937" s="76"/>
    </row>
    <row r="9938" spans="1:3" x14ac:dyDescent="0.2">
      <c r="A9938" s="76"/>
      <c r="C9938" s="76"/>
    </row>
    <row r="9939" spans="1:3" x14ac:dyDescent="0.2">
      <c r="A9939" s="76"/>
      <c r="C9939" s="76"/>
    </row>
    <row r="9940" spans="1:3" x14ac:dyDescent="0.2">
      <c r="A9940" s="76"/>
      <c r="C9940" s="76"/>
    </row>
    <row r="9941" spans="1:3" x14ac:dyDescent="0.2">
      <c r="A9941" s="76"/>
      <c r="C9941" s="76"/>
    </row>
    <row r="9942" spans="1:3" x14ac:dyDescent="0.2">
      <c r="A9942" s="76"/>
      <c r="C9942" s="76"/>
    </row>
    <row r="9943" spans="1:3" x14ac:dyDescent="0.2">
      <c r="A9943" s="76"/>
      <c r="C9943" s="76"/>
    </row>
    <row r="9944" spans="1:3" x14ac:dyDescent="0.2">
      <c r="A9944" s="76"/>
      <c r="C9944" s="76"/>
    </row>
    <row r="9945" spans="1:3" x14ac:dyDescent="0.2">
      <c r="A9945" s="76"/>
      <c r="C9945" s="76"/>
    </row>
    <row r="9946" spans="1:3" x14ac:dyDescent="0.2">
      <c r="A9946" s="76"/>
      <c r="C9946" s="76"/>
    </row>
    <row r="9947" spans="1:3" x14ac:dyDescent="0.2">
      <c r="A9947" s="76"/>
      <c r="C9947" s="76"/>
    </row>
    <row r="9948" spans="1:3" x14ac:dyDescent="0.2">
      <c r="A9948" s="76"/>
      <c r="C9948" s="76"/>
    </row>
    <row r="9949" spans="1:3" x14ac:dyDescent="0.2">
      <c r="A9949" s="76"/>
      <c r="C9949" s="76"/>
    </row>
    <row r="9950" spans="1:3" x14ac:dyDescent="0.2">
      <c r="A9950" s="76"/>
      <c r="C9950" s="76"/>
    </row>
    <row r="9951" spans="1:3" x14ac:dyDescent="0.2">
      <c r="A9951" s="76"/>
      <c r="C9951" s="76"/>
    </row>
    <row r="9952" spans="1:3" x14ac:dyDescent="0.2">
      <c r="A9952" s="76"/>
      <c r="C9952" s="76"/>
    </row>
    <row r="9953" spans="1:3" x14ac:dyDescent="0.2">
      <c r="A9953" s="76"/>
      <c r="C9953" s="76"/>
    </row>
    <row r="9954" spans="1:3" x14ac:dyDescent="0.2">
      <c r="A9954" s="76"/>
      <c r="C9954" s="76"/>
    </row>
    <row r="9955" spans="1:3" x14ac:dyDescent="0.2">
      <c r="A9955" s="76"/>
      <c r="C9955" s="76"/>
    </row>
    <row r="9956" spans="1:3" x14ac:dyDescent="0.2">
      <c r="A9956" s="76"/>
      <c r="C9956" s="76"/>
    </row>
    <row r="9957" spans="1:3" x14ac:dyDescent="0.2">
      <c r="A9957" s="76"/>
      <c r="C9957" s="76"/>
    </row>
    <row r="9958" spans="1:3" x14ac:dyDescent="0.2">
      <c r="A9958" s="76"/>
      <c r="C9958" s="76"/>
    </row>
    <row r="9959" spans="1:3" x14ac:dyDescent="0.2">
      <c r="A9959" s="76"/>
      <c r="C9959" s="76"/>
    </row>
    <row r="9960" spans="1:3" x14ac:dyDescent="0.2">
      <c r="A9960" s="76"/>
      <c r="C9960" s="76"/>
    </row>
    <row r="9961" spans="1:3" x14ac:dyDescent="0.2">
      <c r="A9961" s="76"/>
      <c r="C9961" s="76"/>
    </row>
    <row r="9962" spans="1:3" x14ac:dyDescent="0.2">
      <c r="A9962" s="76"/>
      <c r="C9962" s="76"/>
    </row>
    <row r="9963" spans="1:3" x14ac:dyDescent="0.2">
      <c r="A9963" s="76"/>
      <c r="C9963" s="76"/>
    </row>
    <row r="9964" spans="1:3" x14ac:dyDescent="0.2">
      <c r="A9964" s="76"/>
      <c r="C9964" s="76"/>
    </row>
    <row r="9965" spans="1:3" x14ac:dyDescent="0.2">
      <c r="A9965" s="76"/>
      <c r="C9965" s="76"/>
    </row>
    <row r="9966" spans="1:3" x14ac:dyDescent="0.2">
      <c r="A9966" s="76"/>
      <c r="C9966" s="76"/>
    </row>
    <row r="9967" spans="1:3" x14ac:dyDescent="0.2">
      <c r="A9967" s="76"/>
      <c r="C9967" s="76"/>
    </row>
    <row r="9968" spans="1:3" x14ac:dyDescent="0.2">
      <c r="A9968" s="76"/>
      <c r="C9968" s="76"/>
    </row>
    <row r="9969" spans="1:3" x14ac:dyDescent="0.2">
      <c r="A9969" s="76"/>
      <c r="C9969" s="76"/>
    </row>
    <row r="9970" spans="1:3" x14ac:dyDescent="0.2">
      <c r="A9970" s="76"/>
      <c r="C9970" s="76"/>
    </row>
    <row r="9971" spans="1:3" x14ac:dyDescent="0.2">
      <c r="A9971" s="76"/>
      <c r="C9971" s="76"/>
    </row>
    <row r="9972" spans="1:3" x14ac:dyDescent="0.2">
      <c r="A9972" s="76"/>
      <c r="C9972" s="76"/>
    </row>
    <row r="9973" spans="1:3" x14ac:dyDescent="0.2">
      <c r="A9973" s="76"/>
      <c r="C9973" s="76"/>
    </row>
    <row r="9974" spans="1:3" x14ac:dyDescent="0.2">
      <c r="A9974" s="76"/>
      <c r="C9974" s="76"/>
    </row>
    <row r="9975" spans="1:3" x14ac:dyDescent="0.2">
      <c r="A9975" s="76"/>
      <c r="C9975" s="76"/>
    </row>
    <row r="9976" spans="1:3" x14ac:dyDescent="0.2">
      <c r="A9976" s="76"/>
      <c r="C9976" s="76"/>
    </row>
    <row r="9977" spans="1:3" x14ac:dyDescent="0.2">
      <c r="A9977" s="76"/>
      <c r="C9977" s="76"/>
    </row>
    <row r="9978" spans="1:3" x14ac:dyDescent="0.2">
      <c r="A9978" s="76"/>
      <c r="C9978" s="76"/>
    </row>
    <row r="9979" spans="1:3" x14ac:dyDescent="0.2">
      <c r="A9979" s="76"/>
      <c r="C9979" s="76"/>
    </row>
    <row r="9980" spans="1:3" x14ac:dyDescent="0.2">
      <c r="A9980" s="76"/>
      <c r="C9980" s="76"/>
    </row>
    <row r="9981" spans="1:3" x14ac:dyDescent="0.2">
      <c r="A9981" s="76"/>
      <c r="C9981" s="76"/>
    </row>
    <row r="9982" spans="1:3" x14ac:dyDescent="0.2">
      <c r="A9982" s="76"/>
      <c r="C9982" s="76"/>
    </row>
    <row r="9983" spans="1:3" x14ac:dyDescent="0.2">
      <c r="A9983" s="76"/>
      <c r="C9983" s="76"/>
    </row>
    <row r="9984" spans="1:3" x14ac:dyDescent="0.2">
      <c r="A9984" s="76"/>
      <c r="C9984" s="76"/>
    </row>
    <row r="9985" spans="1:3" x14ac:dyDescent="0.2">
      <c r="A9985" s="76"/>
      <c r="C9985" s="76"/>
    </row>
    <row r="9986" spans="1:3" x14ac:dyDescent="0.2">
      <c r="A9986" s="76"/>
      <c r="C9986" s="76"/>
    </row>
    <row r="9987" spans="1:3" x14ac:dyDescent="0.2">
      <c r="A9987" s="76"/>
      <c r="C9987" s="76"/>
    </row>
    <row r="9988" spans="1:3" x14ac:dyDescent="0.2">
      <c r="A9988" s="76"/>
      <c r="C9988" s="76"/>
    </row>
    <row r="9989" spans="1:3" x14ac:dyDescent="0.2">
      <c r="A9989" s="76"/>
      <c r="C9989" s="76"/>
    </row>
    <row r="9990" spans="1:3" x14ac:dyDescent="0.2">
      <c r="A9990" s="76"/>
      <c r="C9990" s="76"/>
    </row>
    <row r="9991" spans="1:3" x14ac:dyDescent="0.2">
      <c r="A9991" s="76"/>
      <c r="C9991" s="76"/>
    </row>
    <row r="9992" spans="1:3" x14ac:dyDescent="0.2">
      <c r="A9992" s="76"/>
      <c r="C9992" s="76"/>
    </row>
    <row r="9993" spans="1:3" x14ac:dyDescent="0.2">
      <c r="A9993" s="76"/>
      <c r="C9993" s="76"/>
    </row>
    <row r="9994" spans="1:3" x14ac:dyDescent="0.2">
      <c r="A9994" s="76"/>
      <c r="C9994" s="76"/>
    </row>
    <row r="9995" spans="1:3" x14ac:dyDescent="0.2">
      <c r="A9995" s="76"/>
      <c r="C9995" s="76"/>
    </row>
    <row r="9996" spans="1:3" x14ac:dyDescent="0.2">
      <c r="A9996" s="76"/>
      <c r="C9996" s="76"/>
    </row>
    <row r="9997" spans="1:3" x14ac:dyDescent="0.2">
      <c r="A9997" s="76"/>
      <c r="C9997" s="76"/>
    </row>
    <row r="9998" spans="1:3" x14ac:dyDescent="0.2">
      <c r="A9998" s="76"/>
      <c r="C9998" s="76"/>
    </row>
    <row r="9999" spans="1:3" x14ac:dyDescent="0.2">
      <c r="A9999" s="76"/>
      <c r="C9999" s="76"/>
    </row>
    <row r="10000" spans="1:3" x14ac:dyDescent="0.2">
      <c r="A10000" s="76"/>
      <c r="C10000" s="76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40"/>
  <sheetViews>
    <sheetView tabSelected="1" workbookViewId="0">
      <pane ySplit="6" topLeftCell="A277" activePane="bottomLeft" state="frozen"/>
      <selection pane="bottomLeft" activeCell="O6" sqref="O6"/>
    </sheetView>
  </sheetViews>
  <sheetFormatPr defaultRowHeight="11.25" x14ac:dyDescent="0.2"/>
  <cols>
    <col min="2" max="2" width="54.83203125" customWidth="1"/>
    <col min="4" max="4" width="54.83203125" customWidth="1"/>
    <col min="5" max="5" width="9.6640625" bestFit="1" customWidth="1"/>
    <col min="6" max="6" width="8.83203125" bestFit="1" customWidth="1"/>
    <col min="7" max="7" width="9.1640625" bestFit="1" customWidth="1"/>
    <col min="8" max="8" width="9.6640625" bestFit="1" customWidth="1"/>
    <col min="9" max="9" width="8.83203125" bestFit="1" customWidth="1"/>
    <col min="10" max="10" width="9.1640625" bestFit="1" customWidth="1"/>
    <col min="11" max="11" width="14.33203125" customWidth="1"/>
    <col min="12" max="12" width="9.83203125" customWidth="1"/>
    <col min="13" max="13" width="9.6640625" customWidth="1"/>
    <col min="14" max="14" width="5.1640625" bestFit="1" customWidth="1"/>
    <col min="15" max="16" width="15.1640625" customWidth="1"/>
  </cols>
  <sheetData>
    <row r="1" spans="1:16" ht="15.75" x14ac:dyDescent="0.25">
      <c r="A1" s="114" t="s">
        <v>480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6" ht="15.75" x14ac:dyDescent="0.25">
      <c r="A2" s="114" t="s">
        <v>481</v>
      </c>
      <c r="B2" s="115"/>
      <c r="C2" s="115"/>
      <c r="D2" s="115"/>
      <c r="E2" s="115"/>
      <c r="F2" s="115"/>
      <c r="G2" s="115"/>
      <c r="H2" s="115"/>
      <c r="I2" s="115"/>
      <c r="J2" s="115"/>
    </row>
    <row r="3" spans="1:16" ht="15.75" x14ac:dyDescent="0.25">
      <c r="A3" s="114" t="s">
        <v>28</v>
      </c>
      <c r="B3" s="115"/>
      <c r="C3" s="115"/>
      <c r="D3" s="115"/>
      <c r="E3" s="115"/>
      <c r="F3" s="115"/>
      <c r="G3" s="115"/>
      <c r="H3" s="115"/>
      <c r="I3" s="115"/>
      <c r="J3" s="115"/>
    </row>
    <row r="5" spans="1:16" ht="12" thickBot="1" x14ac:dyDescent="0.25">
      <c r="A5" s="116" t="s">
        <v>224</v>
      </c>
      <c r="B5" s="117"/>
      <c r="C5" s="116" t="s">
        <v>223</v>
      </c>
      <c r="D5" s="117"/>
      <c r="E5" s="116" t="s">
        <v>225</v>
      </c>
      <c r="F5" s="118"/>
      <c r="G5" s="117"/>
      <c r="H5" s="116" t="s">
        <v>226</v>
      </c>
      <c r="I5" s="118"/>
      <c r="J5" s="117"/>
    </row>
    <row r="6" spans="1:16" ht="34.5" thickTop="1" x14ac:dyDescent="0.2">
      <c r="A6" s="2" t="s">
        <v>146</v>
      </c>
      <c r="B6" s="3" t="s">
        <v>1</v>
      </c>
      <c r="C6" s="2" t="s">
        <v>0</v>
      </c>
      <c r="D6" s="3" t="s">
        <v>1</v>
      </c>
      <c r="E6" s="4" t="s">
        <v>147</v>
      </c>
      <c r="F6" s="4" t="s">
        <v>148</v>
      </c>
      <c r="G6" s="4" t="s">
        <v>149</v>
      </c>
      <c r="H6" s="4" t="s">
        <v>147</v>
      </c>
      <c r="I6" s="4" t="s">
        <v>148</v>
      </c>
      <c r="J6" s="5" t="s">
        <v>149</v>
      </c>
      <c r="K6" s="74" t="s">
        <v>795</v>
      </c>
      <c r="L6" s="96" t="s">
        <v>798</v>
      </c>
      <c r="M6" s="97" t="s">
        <v>799</v>
      </c>
      <c r="O6" s="96" t="s">
        <v>837</v>
      </c>
      <c r="P6" s="97" t="s">
        <v>838</v>
      </c>
    </row>
    <row r="7" spans="1:16" x14ac:dyDescent="0.2">
      <c r="L7" s="98"/>
      <c r="M7" s="99"/>
      <c r="O7" s="98"/>
      <c r="P7" s="99"/>
    </row>
    <row r="8" spans="1:16" x14ac:dyDescent="0.2">
      <c r="A8" s="10" t="s">
        <v>177</v>
      </c>
      <c r="B8" s="111" t="s">
        <v>100</v>
      </c>
      <c r="C8" s="8" t="s">
        <v>243</v>
      </c>
      <c r="D8" s="9" t="s">
        <v>244</v>
      </c>
      <c r="E8" s="1">
        <v>0</v>
      </c>
      <c r="F8" s="1">
        <v>0</v>
      </c>
      <c r="G8" s="1">
        <v>200</v>
      </c>
      <c r="H8" s="1"/>
      <c r="I8" s="1"/>
      <c r="J8" s="1"/>
      <c r="K8">
        <f>IF(ISNA(VLOOKUP($A8,'Unit EDL'!$A:$C,3,FALSE)),0,VLOOKUP($A8,'Unit EDL'!$A:$C,3,FALSE))</f>
        <v>7</v>
      </c>
      <c r="L8" s="98">
        <f t="shared" ref="L8:L71" si="0">K8*E8</f>
        <v>0</v>
      </c>
      <c r="M8" s="99">
        <f t="shared" ref="M8:M71" si="1">K8*F8</f>
        <v>0</v>
      </c>
      <c r="O8" s="98">
        <f>IF($K8=0,0,IF(E8=0,999,$G8/E8))</f>
        <v>999</v>
      </c>
      <c r="P8" s="99">
        <f>IF($K8=0,0,IF(F8=0,999,$G8/F8))</f>
        <v>999</v>
      </c>
    </row>
    <row r="9" spans="1:16" x14ac:dyDescent="0.2">
      <c r="A9" s="10" t="s">
        <v>177</v>
      </c>
      <c r="B9" s="113"/>
      <c r="C9" s="8" t="s">
        <v>245</v>
      </c>
      <c r="D9" s="9" t="s">
        <v>246</v>
      </c>
      <c r="E9" s="1">
        <v>0.91800000000000004</v>
      </c>
      <c r="F9" s="1">
        <v>0.77900000000000003</v>
      </c>
      <c r="G9" s="1">
        <v>600</v>
      </c>
      <c r="H9" s="1">
        <v>0</v>
      </c>
      <c r="I9" s="1">
        <v>0</v>
      </c>
      <c r="J9" s="1">
        <v>600</v>
      </c>
      <c r="K9">
        <f>IF(ISNA(VLOOKUP($A9,'Unit EDL'!$A:$C,3,FALSE)),0,VLOOKUP($A9,'Unit EDL'!$A:$C,3,FALSE))</f>
        <v>7</v>
      </c>
      <c r="L9" s="98">
        <f t="shared" si="0"/>
        <v>6.4260000000000002</v>
      </c>
      <c r="M9" s="99">
        <f t="shared" si="1"/>
        <v>5.4530000000000003</v>
      </c>
      <c r="O9" s="98">
        <f t="shared" ref="O9:O72" si="2">IF($K9=0,0,IF(E9=0,999,$G9/E9))</f>
        <v>653.59477124183002</v>
      </c>
      <c r="P9" s="99">
        <f t="shared" ref="P9:P72" si="3">IF($K9=0,0,IF(F9=0,999,$G9/F9))</f>
        <v>770.21822849807438</v>
      </c>
    </row>
    <row r="10" spans="1:16" x14ac:dyDescent="0.2">
      <c r="A10" s="10" t="s">
        <v>177</v>
      </c>
      <c r="B10" s="113"/>
      <c r="C10" s="8" t="s">
        <v>361</v>
      </c>
      <c r="D10" s="9" t="s">
        <v>362</v>
      </c>
      <c r="E10" s="1">
        <v>2.835</v>
      </c>
      <c r="F10" s="1">
        <v>2.835</v>
      </c>
      <c r="G10" s="1">
        <v>24</v>
      </c>
      <c r="H10" s="1">
        <v>0</v>
      </c>
      <c r="I10" s="1">
        <v>0</v>
      </c>
      <c r="J10" s="1">
        <v>24</v>
      </c>
      <c r="K10">
        <f>IF(ISNA(VLOOKUP($A10,'Unit EDL'!$A:$C,3,FALSE)),0,VLOOKUP($A10,'Unit EDL'!$A:$C,3,FALSE))</f>
        <v>7</v>
      </c>
      <c r="L10" s="98">
        <f t="shared" si="0"/>
        <v>19.844999999999999</v>
      </c>
      <c r="M10" s="99">
        <f t="shared" si="1"/>
        <v>19.844999999999999</v>
      </c>
      <c r="O10" s="98">
        <f t="shared" si="2"/>
        <v>8.4656084656084651</v>
      </c>
      <c r="P10" s="99">
        <f t="shared" si="3"/>
        <v>8.4656084656084651</v>
      </c>
    </row>
    <row r="11" spans="1:16" x14ac:dyDescent="0.2">
      <c r="A11" s="10" t="s">
        <v>177</v>
      </c>
      <c r="B11" s="113"/>
      <c r="C11" s="8" t="s">
        <v>57</v>
      </c>
      <c r="D11" s="9" t="s">
        <v>58</v>
      </c>
      <c r="E11" s="1">
        <v>0.88600000000000001</v>
      </c>
      <c r="F11" s="1">
        <v>0.80400000000000005</v>
      </c>
      <c r="G11" s="1">
        <v>2</v>
      </c>
      <c r="H11" s="1">
        <v>0</v>
      </c>
      <c r="I11" s="1">
        <v>0</v>
      </c>
      <c r="J11" s="1">
        <v>2</v>
      </c>
      <c r="K11">
        <f>IF(ISNA(VLOOKUP($A11,'Unit EDL'!$A:$C,3,FALSE)),0,VLOOKUP($A11,'Unit EDL'!$A:$C,3,FALSE))</f>
        <v>7</v>
      </c>
      <c r="L11" s="98">
        <f t="shared" si="0"/>
        <v>6.202</v>
      </c>
      <c r="M11" s="99">
        <f t="shared" si="1"/>
        <v>5.6280000000000001</v>
      </c>
      <c r="O11" s="98">
        <f t="shared" si="2"/>
        <v>2.2573363431151243</v>
      </c>
      <c r="P11" s="99">
        <f t="shared" si="3"/>
        <v>2.4875621890547261</v>
      </c>
    </row>
    <row r="12" spans="1:16" x14ac:dyDescent="0.2">
      <c r="A12" s="10" t="s">
        <v>177</v>
      </c>
      <c r="B12" s="112"/>
      <c r="C12" s="8" t="s">
        <v>65</v>
      </c>
      <c r="D12" s="9" t="s">
        <v>66</v>
      </c>
      <c r="E12" s="1">
        <v>0.88600000000000001</v>
      </c>
      <c r="F12" s="1">
        <v>0.80400000000000005</v>
      </c>
      <c r="G12" s="1">
        <v>2</v>
      </c>
      <c r="H12" s="1">
        <v>0</v>
      </c>
      <c r="I12" s="1">
        <v>0</v>
      </c>
      <c r="J12" s="1">
        <v>2</v>
      </c>
      <c r="K12">
        <f>IF(ISNA(VLOOKUP($A12,'Unit EDL'!$A:$C,3,FALSE)),0,VLOOKUP($A12,'Unit EDL'!$A:$C,3,FALSE))</f>
        <v>7</v>
      </c>
      <c r="L12" s="98">
        <f t="shared" si="0"/>
        <v>6.202</v>
      </c>
      <c r="M12" s="99">
        <f t="shared" si="1"/>
        <v>5.6280000000000001</v>
      </c>
      <c r="O12" s="98">
        <f t="shared" si="2"/>
        <v>2.2573363431151243</v>
      </c>
      <c r="P12" s="99">
        <f t="shared" si="3"/>
        <v>2.4875621890547261</v>
      </c>
    </row>
    <row r="13" spans="1:16" x14ac:dyDescent="0.2">
      <c r="A13" s="12"/>
      <c r="K13">
        <f>IF(ISNA(VLOOKUP($A13,'Unit EDL'!$A:$C,3,FALSE)),0,VLOOKUP($A13,'Unit EDL'!$A:$C,3,FALSE))</f>
        <v>0</v>
      </c>
      <c r="L13" s="98">
        <f t="shared" si="0"/>
        <v>0</v>
      </c>
      <c r="M13" s="99">
        <f t="shared" si="1"/>
        <v>0</v>
      </c>
      <c r="O13" s="98">
        <f t="shared" si="2"/>
        <v>0</v>
      </c>
      <c r="P13" s="99">
        <f t="shared" si="3"/>
        <v>0</v>
      </c>
    </row>
    <row r="14" spans="1:16" x14ac:dyDescent="0.2">
      <c r="A14" s="10" t="s">
        <v>199</v>
      </c>
      <c r="B14" s="111" t="s">
        <v>122</v>
      </c>
      <c r="C14" s="8" t="s">
        <v>343</v>
      </c>
      <c r="D14" s="9" t="s">
        <v>344</v>
      </c>
      <c r="E14" s="1">
        <v>0</v>
      </c>
      <c r="F14" s="1">
        <v>0</v>
      </c>
      <c r="G14" s="1">
        <v>6</v>
      </c>
      <c r="H14" s="1">
        <v>1.546</v>
      </c>
      <c r="I14" s="1">
        <v>0.317</v>
      </c>
      <c r="J14" s="1">
        <v>6</v>
      </c>
      <c r="K14">
        <f>IF(ISNA(VLOOKUP($A14,'Unit EDL'!$A:$C,3,FALSE)),0,VLOOKUP($A14,'Unit EDL'!$A:$C,3,FALSE))</f>
        <v>0</v>
      </c>
      <c r="L14" s="98">
        <f t="shared" si="0"/>
        <v>0</v>
      </c>
      <c r="M14" s="99">
        <f t="shared" si="1"/>
        <v>0</v>
      </c>
      <c r="O14" s="98">
        <f t="shared" si="2"/>
        <v>0</v>
      </c>
      <c r="P14" s="99">
        <f t="shared" si="3"/>
        <v>0</v>
      </c>
    </row>
    <row r="15" spans="1:16" x14ac:dyDescent="0.2">
      <c r="A15" s="10" t="s">
        <v>199</v>
      </c>
      <c r="B15" s="113"/>
      <c r="C15" s="8" t="s">
        <v>394</v>
      </c>
      <c r="D15" s="9" t="s">
        <v>395</v>
      </c>
      <c r="E15" s="1">
        <v>3.2989999999999999</v>
      </c>
      <c r="F15" s="1">
        <v>3.2989999999999999</v>
      </c>
      <c r="G15" s="1">
        <v>48</v>
      </c>
      <c r="H15" s="1">
        <v>19.007999999999999</v>
      </c>
      <c r="I15" s="1">
        <v>3.2989999999999999</v>
      </c>
      <c r="J15" s="1">
        <v>48</v>
      </c>
      <c r="K15">
        <f>IF(ISNA(VLOOKUP($A15,'Unit EDL'!$A:$C,3,FALSE)),0,VLOOKUP($A15,'Unit EDL'!$A:$C,3,FALSE))</f>
        <v>0</v>
      </c>
      <c r="L15" s="98">
        <f t="shared" si="0"/>
        <v>0</v>
      </c>
      <c r="M15" s="99">
        <f t="shared" si="1"/>
        <v>0</v>
      </c>
      <c r="O15" s="98">
        <f t="shared" si="2"/>
        <v>0</v>
      </c>
      <c r="P15" s="99">
        <f t="shared" si="3"/>
        <v>0</v>
      </c>
    </row>
    <row r="16" spans="1:16" x14ac:dyDescent="0.2">
      <c r="A16" s="10" t="s">
        <v>199</v>
      </c>
      <c r="B16" s="113"/>
      <c r="C16" s="8" t="s">
        <v>396</v>
      </c>
      <c r="D16" s="9" t="s">
        <v>397</v>
      </c>
      <c r="E16" s="1"/>
      <c r="F16" s="1"/>
      <c r="G16" s="1"/>
      <c r="H16" s="1">
        <v>1.649</v>
      </c>
      <c r="I16" s="1">
        <v>0.114</v>
      </c>
      <c r="J16" s="1">
        <v>0</v>
      </c>
      <c r="K16">
        <f>IF(ISNA(VLOOKUP($A16,'Unit EDL'!$A:$C,3,FALSE)),0,VLOOKUP($A16,'Unit EDL'!$A:$C,3,FALSE))</f>
        <v>0</v>
      </c>
      <c r="L16" s="98">
        <f t="shared" si="0"/>
        <v>0</v>
      </c>
      <c r="M16" s="99">
        <f t="shared" si="1"/>
        <v>0</v>
      </c>
      <c r="O16" s="98">
        <f t="shared" si="2"/>
        <v>0</v>
      </c>
      <c r="P16" s="99">
        <f t="shared" si="3"/>
        <v>0</v>
      </c>
    </row>
    <row r="17" spans="1:16" x14ac:dyDescent="0.2">
      <c r="A17" s="10" t="s">
        <v>199</v>
      </c>
      <c r="B17" s="113"/>
      <c r="C17" s="8" t="s">
        <v>398</v>
      </c>
      <c r="D17" s="9" t="s">
        <v>399</v>
      </c>
      <c r="E17" s="1">
        <v>9.8970000000000002</v>
      </c>
      <c r="F17" s="1">
        <v>9.8970000000000002</v>
      </c>
      <c r="G17" s="1">
        <v>50</v>
      </c>
      <c r="H17" s="1">
        <v>19.381</v>
      </c>
      <c r="I17" s="1">
        <v>9.8970000000000002</v>
      </c>
      <c r="J17" s="1">
        <v>100</v>
      </c>
      <c r="K17">
        <f>IF(ISNA(VLOOKUP($A17,'Unit EDL'!$A:$C,3,FALSE)),0,VLOOKUP($A17,'Unit EDL'!$A:$C,3,FALSE))</f>
        <v>0</v>
      </c>
      <c r="L17" s="98">
        <f t="shared" si="0"/>
        <v>0</v>
      </c>
      <c r="M17" s="99">
        <f t="shared" si="1"/>
        <v>0</v>
      </c>
      <c r="O17" s="98">
        <f t="shared" si="2"/>
        <v>0</v>
      </c>
      <c r="P17" s="99">
        <f t="shared" si="3"/>
        <v>0</v>
      </c>
    </row>
    <row r="18" spans="1:16" x14ac:dyDescent="0.2">
      <c r="A18" s="10" t="s">
        <v>199</v>
      </c>
      <c r="B18" s="113"/>
      <c r="C18" s="8" t="s">
        <v>400</v>
      </c>
      <c r="D18" s="9" t="s">
        <v>401</v>
      </c>
      <c r="E18" s="1">
        <v>23.097000000000001</v>
      </c>
      <c r="F18" s="1">
        <v>21.027999999999999</v>
      </c>
      <c r="G18" s="1">
        <v>100</v>
      </c>
      <c r="H18" s="1">
        <v>40.585000000000001</v>
      </c>
      <c r="I18" s="1">
        <v>18.978999999999999</v>
      </c>
      <c r="J18" s="1">
        <v>50</v>
      </c>
      <c r="K18">
        <f>IF(ISNA(VLOOKUP($A18,'Unit EDL'!$A:$C,3,FALSE)),0,VLOOKUP($A18,'Unit EDL'!$A:$C,3,FALSE))</f>
        <v>0</v>
      </c>
      <c r="L18" s="98">
        <f t="shared" si="0"/>
        <v>0</v>
      </c>
      <c r="M18" s="99">
        <f t="shared" si="1"/>
        <v>0</v>
      </c>
      <c r="O18" s="98">
        <f t="shared" si="2"/>
        <v>0</v>
      </c>
      <c r="P18" s="99">
        <f t="shared" si="3"/>
        <v>0</v>
      </c>
    </row>
    <row r="19" spans="1:16" x14ac:dyDescent="0.2">
      <c r="A19" s="10" t="s">
        <v>199</v>
      </c>
      <c r="B19" s="113"/>
      <c r="C19" s="8" t="s">
        <v>406</v>
      </c>
      <c r="D19" s="9" t="s">
        <v>407</v>
      </c>
      <c r="E19" s="1"/>
      <c r="F19" s="1"/>
      <c r="G19" s="1"/>
      <c r="H19" s="1">
        <v>1.649</v>
      </c>
      <c r="I19" s="1">
        <v>0.114</v>
      </c>
      <c r="J19" s="1">
        <v>0</v>
      </c>
      <c r="K19">
        <f>IF(ISNA(VLOOKUP($A19,'Unit EDL'!$A:$C,3,FALSE)),0,VLOOKUP($A19,'Unit EDL'!$A:$C,3,FALSE))</f>
        <v>0</v>
      </c>
      <c r="L19" s="98">
        <f t="shared" si="0"/>
        <v>0</v>
      </c>
      <c r="M19" s="99">
        <f t="shared" si="1"/>
        <v>0</v>
      </c>
      <c r="O19" s="98">
        <f t="shared" si="2"/>
        <v>0</v>
      </c>
      <c r="P19" s="99">
        <f t="shared" si="3"/>
        <v>0</v>
      </c>
    </row>
    <row r="20" spans="1:16" x14ac:dyDescent="0.2">
      <c r="A20" s="10" t="s">
        <v>199</v>
      </c>
      <c r="B20" s="113"/>
      <c r="C20" s="8" t="s">
        <v>408</v>
      </c>
      <c r="D20" s="9" t="s">
        <v>409</v>
      </c>
      <c r="E20" s="1">
        <v>68.731999999999999</v>
      </c>
      <c r="F20" s="1">
        <v>68.731999999999999</v>
      </c>
      <c r="G20" s="1">
        <v>3000</v>
      </c>
      <c r="H20" s="1">
        <v>319.81799999999998</v>
      </c>
      <c r="I20" s="1">
        <v>68.731999999999999</v>
      </c>
      <c r="J20" s="1">
        <v>1500</v>
      </c>
      <c r="K20">
        <f>IF(ISNA(VLOOKUP($A20,'Unit EDL'!$A:$C,3,FALSE)),0,VLOOKUP($A20,'Unit EDL'!$A:$C,3,FALSE))</f>
        <v>0</v>
      </c>
      <c r="L20" s="98">
        <f t="shared" si="0"/>
        <v>0</v>
      </c>
      <c r="M20" s="99">
        <f t="shared" si="1"/>
        <v>0</v>
      </c>
      <c r="O20" s="98">
        <f t="shared" si="2"/>
        <v>0</v>
      </c>
      <c r="P20" s="99">
        <f t="shared" si="3"/>
        <v>0</v>
      </c>
    </row>
    <row r="21" spans="1:16" x14ac:dyDescent="0.2">
      <c r="A21" s="10" t="s">
        <v>199</v>
      </c>
      <c r="B21" s="113"/>
      <c r="C21" s="8" t="s">
        <v>414</v>
      </c>
      <c r="D21" s="9" t="s">
        <v>415</v>
      </c>
      <c r="E21" s="1">
        <v>159.53800000000001</v>
      </c>
      <c r="F21" s="1">
        <v>118.152</v>
      </c>
      <c r="G21" s="1">
        <v>1000</v>
      </c>
      <c r="H21" s="1">
        <v>165.214</v>
      </c>
      <c r="I21" s="1">
        <v>77.186000000000007</v>
      </c>
      <c r="J21" s="1">
        <v>500</v>
      </c>
      <c r="K21">
        <f>IF(ISNA(VLOOKUP($A21,'Unit EDL'!$A:$C,3,FALSE)),0,VLOOKUP($A21,'Unit EDL'!$A:$C,3,FALSE))</f>
        <v>0</v>
      </c>
      <c r="L21" s="98">
        <f t="shared" si="0"/>
        <v>0</v>
      </c>
      <c r="M21" s="99">
        <f t="shared" si="1"/>
        <v>0</v>
      </c>
      <c r="O21" s="98">
        <f t="shared" si="2"/>
        <v>0</v>
      </c>
      <c r="P21" s="99">
        <f t="shared" si="3"/>
        <v>0</v>
      </c>
    </row>
    <row r="22" spans="1:16" x14ac:dyDescent="0.2">
      <c r="A22" s="10" t="s">
        <v>199</v>
      </c>
      <c r="B22" s="113"/>
      <c r="C22" s="8" t="s">
        <v>416</v>
      </c>
      <c r="D22" s="9" t="s">
        <v>417</v>
      </c>
      <c r="E22" s="1">
        <v>8.3510000000000009</v>
      </c>
      <c r="F22" s="1">
        <v>5.0599999999999996</v>
      </c>
      <c r="G22" s="1">
        <v>10</v>
      </c>
      <c r="H22" s="1">
        <v>7.8520000000000003</v>
      </c>
      <c r="I22" s="1">
        <v>1.339</v>
      </c>
      <c r="J22" s="1">
        <v>10</v>
      </c>
      <c r="K22">
        <f>IF(ISNA(VLOOKUP($A22,'Unit EDL'!$A:$C,3,FALSE)),0,VLOOKUP($A22,'Unit EDL'!$A:$C,3,FALSE))</f>
        <v>0</v>
      </c>
      <c r="L22" s="98">
        <f t="shared" si="0"/>
        <v>0</v>
      </c>
      <c r="M22" s="99">
        <f t="shared" si="1"/>
        <v>0</v>
      </c>
      <c r="O22" s="98">
        <f t="shared" si="2"/>
        <v>0</v>
      </c>
      <c r="P22" s="99">
        <f t="shared" si="3"/>
        <v>0</v>
      </c>
    </row>
    <row r="23" spans="1:16" x14ac:dyDescent="0.2">
      <c r="A23" s="10" t="s">
        <v>199</v>
      </c>
      <c r="B23" s="113"/>
      <c r="C23" s="8" t="s">
        <v>456</v>
      </c>
      <c r="D23" s="9" t="s">
        <v>457</v>
      </c>
      <c r="E23" s="1">
        <v>16.314</v>
      </c>
      <c r="F23" s="1">
        <v>13.682</v>
      </c>
      <c r="G23" s="1">
        <v>100</v>
      </c>
      <c r="H23" s="1">
        <v>35.052999999999997</v>
      </c>
      <c r="I23" s="1">
        <v>14.715</v>
      </c>
      <c r="J23" s="1">
        <v>100</v>
      </c>
      <c r="K23">
        <f>IF(ISNA(VLOOKUP($A23,'Unit EDL'!$A:$C,3,FALSE)),0,VLOOKUP($A23,'Unit EDL'!$A:$C,3,FALSE))</f>
        <v>0</v>
      </c>
      <c r="L23" s="98">
        <f t="shared" si="0"/>
        <v>0</v>
      </c>
      <c r="M23" s="99">
        <f t="shared" si="1"/>
        <v>0</v>
      </c>
      <c r="O23" s="98">
        <f t="shared" si="2"/>
        <v>0</v>
      </c>
      <c r="P23" s="99">
        <f t="shared" si="3"/>
        <v>0</v>
      </c>
    </row>
    <row r="24" spans="1:16" x14ac:dyDescent="0.2">
      <c r="A24" s="10" t="s">
        <v>199</v>
      </c>
      <c r="B24" s="113"/>
      <c r="C24" s="8" t="s">
        <v>59</v>
      </c>
      <c r="D24" s="9" t="s">
        <v>60</v>
      </c>
      <c r="E24" s="1">
        <v>1E-3</v>
      </c>
      <c r="F24" s="1">
        <v>1E-3</v>
      </c>
      <c r="G24" s="1">
        <v>1</v>
      </c>
      <c r="H24" s="1">
        <v>1E-3</v>
      </c>
      <c r="I24" s="1">
        <v>1E-3</v>
      </c>
      <c r="J24" s="1">
        <v>1</v>
      </c>
      <c r="K24">
        <f>IF(ISNA(VLOOKUP($A24,'Unit EDL'!$A:$C,3,FALSE)),0,VLOOKUP($A24,'Unit EDL'!$A:$C,3,FALSE))</f>
        <v>0</v>
      </c>
      <c r="L24" s="98">
        <f t="shared" si="0"/>
        <v>0</v>
      </c>
      <c r="M24" s="99">
        <f t="shared" si="1"/>
        <v>0</v>
      </c>
      <c r="O24" s="98">
        <f t="shared" si="2"/>
        <v>0</v>
      </c>
      <c r="P24" s="99">
        <f t="shared" si="3"/>
        <v>0</v>
      </c>
    </row>
    <row r="25" spans="1:16" x14ac:dyDescent="0.2">
      <c r="A25" s="10" t="s">
        <v>199</v>
      </c>
      <c r="B25" s="113"/>
      <c r="C25" s="8" t="s">
        <v>69</v>
      </c>
      <c r="D25" s="9" t="s">
        <v>70</v>
      </c>
      <c r="E25" s="1">
        <v>2.577</v>
      </c>
      <c r="F25" s="1">
        <v>2.577</v>
      </c>
      <c r="G25" s="1">
        <v>50</v>
      </c>
      <c r="H25" s="1">
        <v>2.577</v>
      </c>
      <c r="I25" s="1">
        <v>2.577</v>
      </c>
      <c r="J25" s="1">
        <v>50</v>
      </c>
      <c r="K25">
        <f>IF(ISNA(VLOOKUP($A25,'Unit EDL'!$A:$C,3,FALSE)),0,VLOOKUP($A25,'Unit EDL'!$A:$C,3,FALSE))</f>
        <v>0</v>
      </c>
      <c r="L25" s="98">
        <f t="shared" si="0"/>
        <v>0</v>
      </c>
      <c r="M25" s="99">
        <f t="shared" si="1"/>
        <v>0</v>
      </c>
      <c r="O25" s="98">
        <f t="shared" si="2"/>
        <v>0</v>
      </c>
      <c r="P25" s="99">
        <f t="shared" si="3"/>
        <v>0</v>
      </c>
    </row>
    <row r="26" spans="1:16" x14ac:dyDescent="0.2">
      <c r="A26" s="10" t="s">
        <v>199</v>
      </c>
      <c r="B26" s="112"/>
      <c r="C26" s="8" t="s">
        <v>460</v>
      </c>
      <c r="D26" s="9" t="s">
        <v>461</v>
      </c>
      <c r="E26" s="1">
        <v>1.8049999999999999</v>
      </c>
      <c r="F26" s="1">
        <v>1.482</v>
      </c>
      <c r="G26" s="1">
        <v>2</v>
      </c>
      <c r="H26" s="1"/>
      <c r="I26" s="1"/>
      <c r="J26" s="1"/>
      <c r="K26">
        <f>IF(ISNA(VLOOKUP($A26,'Unit EDL'!$A:$C,3,FALSE)),0,VLOOKUP($A26,'Unit EDL'!$A:$C,3,FALSE))</f>
        <v>0</v>
      </c>
      <c r="L26" s="98">
        <f t="shared" si="0"/>
        <v>0</v>
      </c>
      <c r="M26" s="99">
        <f t="shared" si="1"/>
        <v>0</v>
      </c>
      <c r="O26" s="98">
        <f t="shared" si="2"/>
        <v>0</v>
      </c>
      <c r="P26" s="99">
        <f t="shared" si="3"/>
        <v>0</v>
      </c>
    </row>
    <row r="27" spans="1:16" x14ac:dyDescent="0.2">
      <c r="A27" s="12"/>
      <c r="K27">
        <f>IF(ISNA(VLOOKUP($A27,'Unit EDL'!$A:$C,3,FALSE)),0,VLOOKUP($A27,'Unit EDL'!$A:$C,3,FALSE))</f>
        <v>0</v>
      </c>
      <c r="L27" s="98">
        <f t="shared" si="0"/>
        <v>0</v>
      </c>
      <c r="M27" s="99">
        <f t="shared" si="1"/>
        <v>0</v>
      </c>
      <c r="O27" s="98">
        <f t="shared" si="2"/>
        <v>0</v>
      </c>
      <c r="P27" s="99">
        <f t="shared" si="3"/>
        <v>0</v>
      </c>
    </row>
    <row r="28" spans="1:16" x14ac:dyDescent="0.2">
      <c r="A28" s="10" t="s">
        <v>209</v>
      </c>
      <c r="B28" s="111" t="s">
        <v>132</v>
      </c>
      <c r="C28" s="8" t="s">
        <v>394</v>
      </c>
      <c r="D28" s="9" t="s">
        <v>395</v>
      </c>
      <c r="E28" s="1">
        <v>3.2989999999999999</v>
      </c>
      <c r="F28" s="1">
        <v>3.2989999999999999</v>
      </c>
      <c r="G28" s="1">
        <v>5</v>
      </c>
      <c r="H28" s="1">
        <v>3.8140000000000001</v>
      </c>
      <c r="I28" s="1">
        <v>3.2989999999999999</v>
      </c>
      <c r="J28" s="1">
        <v>5</v>
      </c>
      <c r="K28">
        <f>IF(ISNA(VLOOKUP($A28,'Unit EDL'!$A:$C,3,FALSE)),0,VLOOKUP($A28,'Unit EDL'!$A:$C,3,FALSE))</f>
        <v>0</v>
      </c>
      <c r="L28" s="98">
        <f t="shared" si="0"/>
        <v>0</v>
      </c>
      <c r="M28" s="99">
        <f t="shared" si="1"/>
        <v>0</v>
      </c>
      <c r="O28" s="98">
        <f t="shared" si="2"/>
        <v>0</v>
      </c>
      <c r="P28" s="99">
        <f t="shared" si="3"/>
        <v>0</v>
      </c>
    </row>
    <row r="29" spans="1:16" x14ac:dyDescent="0.2">
      <c r="A29" s="10" t="s">
        <v>209</v>
      </c>
      <c r="B29" s="113"/>
      <c r="C29" s="8" t="s">
        <v>400</v>
      </c>
      <c r="D29" s="9" t="s">
        <v>401</v>
      </c>
      <c r="E29" s="1">
        <v>10</v>
      </c>
      <c r="F29" s="1">
        <v>10</v>
      </c>
      <c r="G29" s="1">
        <v>10</v>
      </c>
      <c r="H29" s="1">
        <v>10</v>
      </c>
      <c r="I29" s="1">
        <v>10</v>
      </c>
      <c r="J29" s="1">
        <v>10</v>
      </c>
      <c r="K29">
        <f>IF(ISNA(VLOOKUP($A29,'Unit EDL'!$A:$C,3,FALSE)),0,VLOOKUP($A29,'Unit EDL'!$A:$C,3,FALSE))</f>
        <v>0</v>
      </c>
      <c r="L29" s="98">
        <f t="shared" si="0"/>
        <v>0</v>
      </c>
      <c r="M29" s="99">
        <f t="shared" si="1"/>
        <v>0</v>
      </c>
      <c r="O29" s="98">
        <f t="shared" si="2"/>
        <v>0</v>
      </c>
      <c r="P29" s="99">
        <f t="shared" si="3"/>
        <v>0</v>
      </c>
    </row>
    <row r="30" spans="1:16" x14ac:dyDescent="0.2">
      <c r="A30" s="10" t="s">
        <v>209</v>
      </c>
      <c r="B30" s="113"/>
      <c r="C30" s="8" t="s">
        <v>408</v>
      </c>
      <c r="D30" s="9" t="s">
        <v>409</v>
      </c>
      <c r="E30" s="1">
        <v>68.731999999999999</v>
      </c>
      <c r="F30" s="1">
        <v>68.731999999999999</v>
      </c>
      <c r="G30" s="1">
        <v>100</v>
      </c>
      <c r="H30" s="1">
        <v>50</v>
      </c>
      <c r="I30" s="1">
        <v>50</v>
      </c>
      <c r="J30" s="1">
        <v>50</v>
      </c>
      <c r="K30">
        <f>IF(ISNA(VLOOKUP($A30,'Unit EDL'!$A:$C,3,FALSE)),0,VLOOKUP($A30,'Unit EDL'!$A:$C,3,FALSE))</f>
        <v>0</v>
      </c>
      <c r="L30" s="98">
        <f t="shared" si="0"/>
        <v>0</v>
      </c>
      <c r="M30" s="99">
        <f t="shared" si="1"/>
        <v>0</v>
      </c>
      <c r="O30" s="98">
        <f t="shared" si="2"/>
        <v>0</v>
      </c>
      <c r="P30" s="99">
        <f t="shared" si="3"/>
        <v>0</v>
      </c>
    </row>
    <row r="31" spans="1:16" x14ac:dyDescent="0.2">
      <c r="A31" s="10" t="s">
        <v>209</v>
      </c>
      <c r="B31" s="113"/>
      <c r="C31" s="8" t="s">
        <v>414</v>
      </c>
      <c r="D31" s="9" t="s">
        <v>415</v>
      </c>
      <c r="E31" s="1">
        <v>31.169</v>
      </c>
      <c r="F31" s="1">
        <v>27.495000000000001</v>
      </c>
      <c r="G31" s="1">
        <v>50</v>
      </c>
      <c r="H31" s="1">
        <v>50</v>
      </c>
      <c r="I31" s="1">
        <v>31.577000000000002</v>
      </c>
      <c r="J31" s="1">
        <v>50</v>
      </c>
      <c r="K31">
        <f>IF(ISNA(VLOOKUP($A31,'Unit EDL'!$A:$C,3,FALSE)),0,VLOOKUP($A31,'Unit EDL'!$A:$C,3,FALSE))</f>
        <v>0</v>
      </c>
      <c r="L31" s="98">
        <f t="shared" si="0"/>
        <v>0</v>
      </c>
      <c r="M31" s="99">
        <f t="shared" si="1"/>
        <v>0</v>
      </c>
      <c r="O31" s="98">
        <f t="shared" si="2"/>
        <v>0</v>
      </c>
      <c r="P31" s="99">
        <f t="shared" si="3"/>
        <v>0</v>
      </c>
    </row>
    <row r="32" spans="1:16" x14ac:dyDescent="0.2">
      <c r="A32" s="10" t="s">
        <v>209</v>
      </c>
      <c r="B32" s="113"/>
      <c r="C32" s="8" t="s">
        <v>416</v>
      </c>
      <c r="D32" s="9" t="s">
        <v>417</v>
      </c>
      <c r="E32" s="1">
        <v>0.247</v>
      </c>
      <c r="F32" s="1">
        <v>0.04</v>
      </c>
      <c r="G32" s="1">
        <v>2</v>
      </c>
      <c r="H32" s="1">
        <v>1.0469999999999999</v>
      </c>
      <c r="I32" s="1">
        <v>0.30499999999999999</v>
      </c>
      <c r="J32" s="1">
        <v>2</v>
      </c>
      <c r="K32">
        <f>IF(ISNA(VLOOKUP($A32,'Unit EDL'!$A:$C,3,FALSE)),0,VLOOKUP($A32,'Unit EDL'!$A:$C,3,FALSE))</f>
        <v>0</v>
      </c>
      <c r="L32" s="98">
        <f t="shared" si="0"/>
        <v>0</v>
      </c>
      <c r="M32" s="99">
        <f t="shared" si="1"/>
        <v>0</v>
      </c>
      <c r="O32" s="98">
        <f t="shared" si="2"/>
        <v>0</v>
      </c>
      <c r="P32" s="99">
        <f t="shared" si="3"/>
        <v>0</v>
      </c>
    </row>
    <row r="33" spans="1:16" x14ac:dyDescent="0.2">
      <c r="A33" s="10" t="s">
        <v>209</v>
      </c>
      <c r="B33" s="113"/>
      <c r="C33" s="8" t="s">
        <v>456</v>
      </c>
      <c r="D33" s="9" t="s">
        <v>457</v>
      </c>
      <c r="E33" s="1">
        <v>10.536</v>
      </c>
      <c r="F33" s="1">
        <v>10.353999999999999</v>
      </c>
      <c r="G33" s="1">
        <v>20</v>
      </c>
      <c r="H33" s="1">
        <v>20</v>
      </c>
      <c r="I33" s="1">
        <v>10.56</v>
      </c>
      <c r="J33" s="1">
        <v>20</v>
      </c>
      <c r="K33">
        <f>IF(ISNA(VLOOKUP($A33,'Unit EDL'!$A:$C,3,FALSE)),0,VLOOKUP($A33,'Unit EDL'!$A:$C,3,FALSE))</f>
        <v>0</v>
      </c>
      <c r="L33" s="98">
        <f t="shared" si="0"/>
        <v>0</v>
      </c>
      <c r="M33" s="99">
        <f t="shared" si="1"/>
        <v>0</v>
      </c>
      <c r="O33" s="98">
        <f t="shared" si="2"/>
        <v>0</v>
      </c>
      <c r="P33" s="99">
        <f t="shared" si="3"/>
        <v>0</v>
      </c>
    </row>
    <row r="34" spans="1:16" x14ac:dyDescent="0.2">
      <c r="A34" s="10" t="s">
        <v>209</v>
      </c>
      <c r="B34" s="113"/>
      <c r="C34" s="8" t="s">
        <v>59</v>
      </c>
      <c r="D34" s="9" t="s">
        <v>60</v>
      </c>
      <c r="E34" s="1">
        <v>1E-3</v>
      </c>
      <c r="F34" s="1">
        <v>1E-3</v>
      </c>
      <c r="G34" s="1">
        <v>1</v>
      </c>
      <c r="H34" s="1">
        <v>1E-3</v>
      </c>
      <c r="I34" s="1">
        <v>1E-3</v>
      </c>
      <c r="J34" s="1">
        <v>1</v>
      </c>
      <c r="K34">
        <f>IF(ISNA(VLOOKUP($A34,'Unit EDL'!$A:$C,3,FALSE)),0,VLOOKUP($A34,'Unit EDL'!$A:$C,3,FALSE))</f>
        <v>0</v>
      </c>
      <c r="L34" s="98">
        <f t="shared" si="0"/>
        <v>0</v>
      </c>
      <c r="M34" s="99">
        <f t="shared" si="1"/>
        <v>0</v>
      </c>
      <c r="O34" s="98">
        <f t="shared" si="2"/>
        <v>0</v>
      </c>
      <c r="P34" s="99">
        <f t="shared" si="3"/>
        <v>0</v>
      </c>
    </row>
    <row r="35" spans="1:16" x14ac:dyDescent="0.2">
      <c r="A35" s="10" t="s">
        <v>209</v>
      </c>
      <c r="B35" s="112"/>
      <c r="C35" s="8" t="s">
        <v>69</v>
      </c>
      <c r="D35" s="9" t="s">
        <v>70</v>
      </c>
      <c r="E35" s="1">
        <v>2.577</v>
      </c>
      <c r="F35" s="1">
        <v>2.577</v>
      </c>
      <c r="G35" s="1">
        <v>10</v>
      </c>
      <c r="H35" s="1">
        <v>2.577</v>
      </c>
      <c r="I35" s="1">
        <v>2.577</v>
      </c>
      <c r="J35" s="1">
        <v>10</v>
      </c>
      <c r="K35">
        <f>IF(ISNA(VLOOKUP($A35,'Unit EDL'!$A:$C,3,FALSE)),0,VLOOKUP($A35,'Unit EDL'!$A:$C,3,FALSE))</f>
        <v>0</v>
      </c>
      <c r="L35" s="98">
        <f t="shared" si="0"/>
        <v>0</v>
      </c>
      <c r="M35" s="99">
        <f t="shared" si="1"/>
        <v>0</v>
      </c>
      <c r="O35" s="98">
        <f t="shared" si="2"/>
        <v>0</v>
      </c>
      <c r="P35" s="99">
        <f t="shared" si="3"/>
        <v>0</v>
      </c>
    </row>
    <row r="36" spans="1:16" x14ac:dyDescent="0.2">
      <c r="A36" s="12"/>
      <c r="K36">
        <f>IF(ISNA(VLOOKUP($A36,'Unit EDL'!$A:$C,3,FALSE)),0,VLOOKUP($A36,'Unit EDL'!$A:$C,3,FALSE))</f>
        <v>0</v>
      </c>
      <c r="L36" s="98">
        <f t="shared" si="0"/>
        <v>0</v>
      </c>
      <c r="M36" s="99">
        <f t="shared" si="1"/>
        <v>0</v>
      </c>
      <c r="O36" s="98">
        <f t="shared" si="2"/>
        <v>0</v>
      </c>
      <c r="P36" s="99">
        <f t="shared" si="3"/>
        <v>0</v>
      </c>
    </row>
    <row r="37" spans="1:16" x14ac:dyDescent="0.2">
      <c r="A37" s="6" t="s">
        <v>201</v>
      </c>
      <c r="B37" s="7" t="s">
        <v>124</v>
      </c>
      <c r="C37" s="8" t="s">
        <v>361</v>
      </c>
      <c r="D37" s="9" t="s">
        <v>362</v>
      </c>
      <c r="E37" s="1">
        <v>2.835</v>
      </c>
      <c r="F37" s="1">
        <v>2.835</v>
      </c>
      <c r="G37" s="1">
        <v>16</v>
      </c>
      <c r="H37" s="1">
        <v>0</v>
      </c>
      <c r="I37" s="1">
        <v>0</v>
      </c>
      <c r="J37" s="1">
        <v>16</v>
      </c>
      <c r="K37">
        <f>IF(ISNA(VLOOKUP($A37,'Unit EDL'!$A:$C,3,FALSE)),0,VLOOKUP($A37,'Unit EDL'!$A:$C,3,FALSE))</f>
        <v>8</v>
      </c>
      <c r="L37" s="98">
        <f t="shared" si="0"/>
        <v>22.68</v>
      </c>
      <c r="M37" s="99">
        <f t="shared" si="1"/>
        <v>22.68</v>
      </c>
      <c r="O37" s="98">
        <f t="shared" si="2"/>
        <v>5.6437389770723101</v>
      </c>
      <c r="P37" s="99">
        <f t="shared" si="3"/>
        <v>5.6437389770723101</v>
      </c>
    </row>
    <row r="38" spans="1:16" x14ac:dyDescent="0.2">
      <c r="A38" s="12"/>
      <c r="K38">
        <f>IF(ISNA(VLOOKUP($A38,'Unit EDL'!$A:$C,3,FALSE)),0,VLOOKUP($A38,'Unit EDL'!$A:$C,3,FALSE))</f>
        <v>0</v>
      </c>
      <c r="L38" s="98">
        <f t="shared" si="0"/>
        <v>0</v>
      </c>
      <c r="M38" s="99">
        <f t="shared" si="1"/>
        <v>0</v>
      </c>
      <c r="O38" s="98">
        <f t="shared" si="2"/>
        <v>0</v>
      </c>
      <c r="P38" s="99">
        <f t="shared" si="3"/>
        <v>0</v>
      </c>
    </row>
    <row r="39" spans="1:16" x14ac:dyDescent="0.2">
      <c r="A39" s="10" t="s">
        <v>206</v>
      </c>
      <c r="B39" s="111" t="s">
        <v>129</v>
      </c>
      <c r="C39" s="8" t="s">
        <v>57</v>
      </c>
      <c r="D39" s="9" t="s">
        <v>58</v>
      </c>
      <c r="E39" s="1">
        <v>0.96799999999999997</v>
      </c>
      <c r="F39" s="1">
        <v>0.80400000000000005</v>
      </c>
      <c r="G39" s="1">
        <v>2</v>
      </c>
      <c r="H39" s="1">
        <v>0.85299999999999998</v>
      </c>
      <c r="I39" s="1">
        <v>5.8000000000000003E-2</v>
      </c>
      <c r="J39" s="1">
        <v>2</v>
      </c>
      <c r="K39">
        <f>IF(ISNA(VLOOKUP($A39,'Unit EDL'!$A:$C,3,FALSE)),0,VLOOKUP($A39,'Unit EDL'!$A:$C,3,FALSE))</f>
        <v>18</v>
      </c>
      <c r="L39" s="98">
        <f t="shared" si="0"/>
        <v>17.423999999999999</v>
      </c>
      <c r="M39" s="99">
        <f t="shared" si="1"/>
        <v>14.472000000000001</v>
      </c>
      <c r="O39" s="98">
        <f t="shared" si="2"/>
        <v>2.0661157024793391</v>
      </c>
      <c r="P39" s="99">
        <f t="shared" si="3"/>
        <v>2.4875621890547261</v>
      </c>
    </row>
    <row r="40" spans="1:16" x14ac:dyDescent="0.2">
      <c r="A40" s="10" t="s">
        <v>206</v>
      </c>
      <c r="B40" s="112"/>
      <c r="C40" s="8" t="s">
        <v>65</v>
      </c>
      <c r="D40" s="9" t="s">
        <v>66</v>
      </c>
      <c r="E40" s="1">
        <v>0.96799999999999997</v>
      </c>
      <c r="F40" s="1">
        <v>0.80400000000000005</v>
      </c>
      <c r="G40" s="1">
        <v>2</v>
      </c>
      <c r="H40" s="1">
        <v>0.85299999999999998</v>
      </c>
      <c r="I40" s="1">
        <v>5.8000000000000003E-2</v>
      </c>
      <c r="J40" s="1">
        <v>2</v>
      </c>
      <c r="K40">
        <f>IF(ISNA(VLOOKUP($A40,'Unit EDL'!$A:$C,3,FALSE)),0,VLOOKUP($A40,'Unit EDL'!$A:$C,3,FALSE))</f>
        <v>18</v>
      </c>
      <c r="L40" s="98">
        <f t="shared" si="0"/>
        <v>17.423999999999999</v>
      </c>
      <c r="M40" s="99">
        <f t="shared" si="1"/>
        <v>14.472000000000001</v>
      </c>
      <c r="O40" s="98">
        <f t="shared" si="2"/>
        <v>2.0661157024793391</v>
      </c>
      <c r="P40" s="99">
        <f t="shared" si="3"/>
        <v>2.4875621890547261</v>
      </c>
    </row>
    <row r="41" spans="1:16" x14ac:dyDescent="0.2">
      <c r="A41" s="12"/>
      <c r="K41">
        <f>IF(ISNA(VLOOKUP($A41,'Unit EDL'!$A:$C,3,FALSE)),0,VLOOKUP($A41,'Unit EDL'!$A:$C,3,FALSE))</f>
        <v>0</v>
      </c>
      <c r="L41" s="98">
        <f t="shared" si="0"/>
        <v>0</v>
      </c>
      <c r="M41" s="99">
        <f t="shared" si="1"/>
        <v>0</v>
      </c>
      <c r="O41" s="98">
        <f t="shared" si="2"/>
        <v>0</v>
      </c>
      <c r="P41" s="99">
        <f t="shared" si="3"/>
        <v>0</v>
      </c>
    </row>
    <row r="42" spans="1:16" x14ac:dyDescent="0.2">
      <c r="A42" s="10" t="s">
        <v>207</v>
      </c>
      <c r="B42" s="111" t="s">
        <v>130</v>
      </c>
      <c r="C42" s="8" t="s">
        <v>57</v>
      </c>
      <c r="D42" s="9" t="s">
        <v>58</v>
      </c>
      <c r="E42" s="1">
        <v>2.5979999999999999</v>
      </c>
      <c r="F42" s="1">
        <v>9.8000000000000004E-2</v>
      </c>
      <c r="G42" s="1">
        <v>3</v>
      </c>
      <c r="H42" s="1">
        <v>0</v>
      </c>
      <c r="I42" s="1">
        <v>0</v>
      </c>
      <c r="J42" s="1">
        <v>3</v>
      </c>
      <c r="K42">
        <f>IF(ISNA(VLOOKUP($A42,'Unit EDL'!$A:$C,3,FALSE)),0,VLOOKUP($A42,'Unit EDL'!$A:$C,3,FALSE))</f>
        <v>0</v>
      </c>
      <c r="L42" s="98">
        <f t="shared" si="0"/>
        <v>0</v>
      </c>
      <c r="M42" s="99">
        <f t="shared" si="1"/>
        <v>0</v>
      </c>
      <c r="O42" s="98">
        <f t="shared" si="2"/>
        <v>0</v>
      </c>
      <c r="P42" s="99">
        <f t="shared" si="3"/>
        <v>0</v>
      </c>
    </row>
    <row r="43" spans="1:16" x14ac:dyDescent="0.2">
      <c r="A43" s="10" t="s">
        <v>207</v>
      </c>
      <c r="B43" s="112"/>
      <c r="C43" s="8" t="s">
        <v>67</v>
      </c>
      <c r="D43" s="9" t="s">
        <v>68</v>
      </c>
      <c r="E43" s="1">
        <v>2.5979999999999999</v>
      </c>
      <c r="F43" s="1">
        <v>9.8000000000000004E-2</v>
      </c>
      <c r="G43" s="1">
        <v>3</v>
      </c>
      <c r="H43" s="1">
        <v>0</v>
      </c>
      <c r="I43" s="1">
        <v>0</v>
      </c>
      <c r="J43" s="1">
        <v>3</v>
      </c>
      <c r="K43">
        <f>IF(ISNA(VLOOKUP($A43,'Unit EDL'!$A:$C,3,FALSE)),0,VLOOKUP($A43,'Unit EDL'!$A:$C,3,FALSE))</f>
        <v>0</v>
      </c>
      <c r="L43" s="98">
        <f t="shared" si="0"/>
        <v>0</v>
      </c>
      <c r="M43" s="99">
        <f t="shared" si="1"/>
        <v>0</v>
      </c>
      <c r="O43" s="98">
        <f t="shared" si="2"/>
        <v>0</v>
      </c>
      <c r="P43" s="99">
        <f t="shared" si="3"/>
        <v>0</v>
      </c>
    </row>
    <row r="44" spans="1:16" x14ac:dyDescent="0.2">
      <c r="A44" s="12"/>
      <c r="K44">
        <f>IF(ISNA(VLOOKUP($A44,'Unit EDL'!$A:$C,3,FALSE)),0,VLOOKUP($A44,'Unit EDL'!$A:$C,3,FALSE))</f>
        <v>0</v>
      </c>
      <c r="L44" s="98">
        <f t="shared" si="0"/>
        <v>0</v>
      </c>
      <c r="M44" s="99">
        <f t="shared" si="1"/>
        <v>0</v>
      </c>
      <c r="O44" s="98">
        <f t="shared" si="2"/>
        <v>0</v>
      </c>
      <c r="P44" s="99">
        <f t="shared" si="3"/>
        <v>0</v>
      </c>
    </row>
    <row r="45" spans="1:16" x14ac:dyDescent="0.2">
      <c r="A45" s="10" t="s">
        <v>150</v>
      </c>
      <c r="B45" s="111" t="s">
        <v>73</v>
      </c>
      <c r="C45" s="8" t="s">
        <v>227</v>
      </c>
      <c r="D45" s="9" t="s">
        <v>228</v>
      </c>
      <c r="E45" s="1">
        <v>32.692999999999998</v>
      </c>
      <c r="F45" s="1">
        <v>32.692999999999998</v>
      </c>
      <c r="G45" s="1">
        <v>852</v>
      </c>
      <c r="H45" s="1">
        <v>32.692999999999998</v>
      </c>
      <c r="I45" s="1">
        <v>32.692999999999998</v>
      </c>
      <c r="J45" s="1">
        <v>852</v>
      </c>
      <c r="K45">
        <f>IF(ISNA(VLOOKUP($A45,'Unit EDL'!$A:$C,3,FALSE)),0,VLOOKUP($A45,'Unit EDL'!$A:$C,3,FALSE))</f>
        <v>0</v>
      </c>
      <c r="L45" s="98">
        <f t="shared" si="0"/>
        <v>0</v>
      </c>
      <c r="M45" s="99">
        <f t="shared" si="1"/>
        <v>0</v>
      </c>
      <c r="O45" s="98">
        <f t="shared" si="2"/>
        <v>0</v>
      </c>
      <c r="P45" s="99">
        <f t="shared" si="3"/>
        <v>0</v>
      </c>
    </row>
    <row r="46" spans="1:16" x14ac:dyDescent="0.2">
      <c r="A46" s="10" t="s">
        <v>150</v>
      </c>
      <c r="B46" s="113"/>
      <c r="C46" s="8" t="s">
        <v>55</v>
      </c>
      <c r="D46" s="9" t="s">
        <v>56</v>
      </c>
      <c r="E46" s="1">
        <v>2.0209999999999999</v>
      </c>
      <c r="F46" s="1">
        <v>2.0209999999999999</v>
      </c>
      <c r="G46" s="1">
        <v>60</v>
      </c>
      <c r="H46" s="1">
        <v>2.0209999999999999</v>
      </c>
      <c r="I46" s="1">
        <v>2.0209999999999999</v>
      </c>
      <c r="J46" s="1">
        <v>60</v>
      </c>
      <c r="K46">
        <f>IF(ISNA(VLOOKUP($A46,'Unit EDL'!$A:$C,3,FALSE)),0,VLOOKUP($A46,'Unit EDL'!$A:$C,3,FALSE))</f>
        <v>0</v>
      </c>
      <c r="L46" s="98">
        <f t="shared" si="0"/>
        <v>0</v>
      </c>
      <c r="M46" s="99">
        <f t="shared" si="1"/>
        <v>0</v>
      </c>
      <c r="O46" s="98">
        <f t="shared" si="2"/>
        <v>0</v>
      </c>
      <c r="P46" s="99">
        <f t="shared" si="3"/>
        <v>0</v>
      </c>
    </row>
    <row r="47" spans="1:16" x14ac:dyDescent="0.2">
      <c r="A47" s="10" t="s">
        <v>150</v>
      </c>
      <c r="B47" s="113"/>
      <c r="C47" s="8" t="s">
        <v>261</v>
      </c>
      <c r="D47" s="9" t="s">
        <v>262</v>
      </c>
      <c r="E47" s="1">
        <v>54.335000000000001</v>
      </c>
      <c r="F47" s="1">
        <v>54.335000000000001</v>
      </c>
      <c r="G47" s="1">
        <v>1416</v>
      </c>
      <c r="H47" s="1">
        <v>54.335000000000001</v>
      </c>
      <c r="I47" s="1">
        <v>54.335000000000001</v>
      </c>
      <c r="J47" s="1">
        <v>1416</v>
      </c>
      <c r="K47">
        <f>IF(ISNA(VLOOKUP($A47,'Unit EDL'!$A:$C,3,FALSE)),0,VLOOKUP($A47,'Unit EDL'!$A:$C,3,FALSE))</f>
        <v>0</v>
      </c>
      <c r="L47" s="98">
        <f t="shared" si="0"/>
        <v>0</v>
      </c>
      <c r="M47" s="99">
        <f t="shared" si="1"/>
        <v>0</v>
      </c>
      <c r="O47" s="98">
        <f t="shared" si="2"/>
        <v>0</v>
      </c>
      <c r="P47" s="99">
        <f t="shared" si="3"/>
        <v>0</v>
      </c>
    </row>
    <row r="48" spans="1:16" x14ac:dyDescent="0.2">
      <c r="A48" s="10" t="s">
        <v>150</v>
      </c>
      <c r="B48" s="113"/>
      <c r="C48" s="8" t="s">
        <v>301</v>
      </c>
      <c r="D48" s="9" t="s">
        <v>302</v>
      </c>
      <c r="E48" s="1">
        <v>13.814</v>
      </c>
      <c r="F48" s="1">
        <v>13.814</v>
      </c>
      <c r="G48" s="1">
        <v>360</v>
      </c>
      <c r="H48" s="1">
        <v>13.814</v>
      </c>
      <c r="I48" s="1">
        <v>13.814</v>
      </c>
      <c r="J48" s="1">
        <v>360</v>
      </c>
      <c r="K48">
        <f>IF(ISNA(VLOOKUP($A48,'Unit EDL'!$A:$C,3,FALSE)),0,VLOOKUP($A48,'Unit EDL'!$A:$C,3,FALSE))</f>
        <v>0</v>
      </c>
      <c r="L48" s="98">
        <f t="shared" si="0"/>
        <v>0</v>
      </c>
      <c r="M48" s="99">
        <f t="shared" si="1"/>
        <v>0</v>
      </c>
      <c r="O48" s="98">
        <f t="shared" si="2"/>
        <v>0</v>
      </c>
      <c r="P48" s="99">
        <f t="shared" si="3"/>
        <v>0</v>
      </c>
    </row>
    <row r="49" spans="1:16" x14ac:dyDescent="0.2">
      <c r="A49" s="10" t="s">
        <v>150</v>
      </c>
      <c r="B49" s="113"/>
      <c r="C49" s="8" t="s">
        <v>63</v>
      </c>
      <c r="D49" s="9" t="s">
        <v>64</v>
      </c>
      <c r="E49" s="1">
        <v>6.1239999999999997</v>
      </c>
      <c r="F49" s="1">
        <v>6.1239999999999997</v>
      </c>
      <c r="G49" s="1">
        <v>180</v>
      </c>
      <c r="H49" s="1">
        <v>6.1239999999999997</v>
      </c>
      <c r="I49" s="1">
        <v>6.1239999999999997</v>
      </c>
      <c r="J49" s="1">
        <v>180</v>
      </c>
      <c r="K49">
        <f>IF(ISNA(VLOOKUP($A49,'Unit EDL'!$A:$C,3,FALSE)),0,VLOOKUP($A49,'Unit EDL'!$A:$C,3,FALSE))</f>
        <v>0</v>
      </c>
      <c r="L49" s="98">
        <f t="shared" si="0"/>
        <v>0</v>
      </c>
      <c r="M49" s="99">
        <f t="shared" si="1"/>
        <v>0</v>
      </c>
      <c r="O49" s="98">
        <f t="shared" si="2"/>
        <v>0</v>
      </c>
      <c r="P49" s="99">
        <f t="shared" si="3"/>
        <v>0</v>
      </c>
    </row>
    <row r="50" spans="1:16" x14ac:dyDescent="0.2">
      <c r="A50" s="10" t="s">
        <v>150</v>
      </c>
      <c r="B50" s="113"/>
      <c r="C50" s="8" t="s">
        <v>359</v>
      </c>
      <c r="D50" s="9" t="s">
        <v>360</v>
      </c>
      <c r="E50" s="1">
        <v>6.1239999999999997</v>
      </c>
      <c r="F50" s="1">
        <v>6.1239999999999997</v>
      </c>
      <c r="G50" s="1">
        <v>180</v>
      </c>
      <c r="H50" s="1">
        <v>6.1239999999999997</v>
      </c>
      <c r="I50" s="1">
        <v>6.1239999999999997</v>
      </c>
      <c r="J50" s="1">
        <v>180</v>
      </c>
      <c r="K50">
        <f>IF(ISNA(VLOOKUP($A50,'Unit EDL'!$A:$C,3,FALSE)),0,VLOOKUP($A50,'Unit EDL'!$A:$C,3,FALSE))</f>
        <v>0</v>
      </c>
      <c r="L50" s="98">
        <f t="shared" si="0"/>
        <v>0</v>
      </c>
      <c r="M50" s="99">
        <f t="shared" si="1"/>
        <v>0</v>
      </c>
      <c r="O50" s="98">
        <f t="shared" si="2"/>
        <v>0</v>
      </c>
      <c r="P50" s="99">
        <f t="shared" si="3"/>
        <v>0</v>
      </c>
    </row>
    <row r="51" spans="1:16" x14ac:dyDescent="0.2">
      <c r="A51" s="10" t="s">
        <v>150</v>
      </c>
      <c r="B51" s="112"/>
      <c r="C51" s="8" t="s">
        <v>466</v>
      </c>
      <c r="D51" s="9" t="s">
        <v>467</v>
      </c>
      <c r="E51" s="1">
        <v>55.67</v>
      </c>
      <c r="F51" s="1">
        <v>55.67</v>
      </c>
      <c r="G51" s="1">
        <v>120</v>
      </c>
      <c r="H51" s="1">
        <v>55.67</v>
      </c>
      <c r="I51" s="1">
        <v>55.67</v>
      </c>
      <c r="J51" s="1">
        <v>120</v>
      </c>
      <c r="K51">
        <f>IF(ISNA(VLOOKUP($A51,'Unit EDL'!$A:$C,3,FALSE)),0,VLOOKUP($A51,'Unit EDL'!$A:$C,3,FALSE))</f>
        <v>0</v>
      </c>
      <c r="L51" s="98">
        <f t="shared" si="0"/>
        <v>0</v>
      </c>
      <c r="M51" s="99">
        <f t="shared" si="1"/>
        <v>0</v>
      </c>
      <c r="O51" s="98">
        <f t="shared" si="2"/>
        <v>0</v>
      </c>
      <c r="P51" s="99">
        <f t="shared" si="3"/>
        <v>0</v>
      </c>
    </row>
    <row r="52" spans="1:16" x14ac:dyDescent="0.2">
      <c r="A52" s="12"/>
      <c r="K52">
        <f>IF(ISNA(VLOOKUP($A52,'Unit EDL'!$A:$C,3,FALSE)),0,VLOOKUP($A52,'Unit EDL'!$A:$C,3,FALSE))</f>
        <v>0</v>
      </c>
      <c r="L52" s="98">
        <f t="shared" si="0"/>
        <v>0</v>
      </c>
      <c r="M52" s="99">
        <f t="shared" si="1"/>
        <v>0</v>
      </c>
      <c r="O52" s="98">
        <f t="shared" si="2"/>
        <v>0</v>
      </c>
      <c r="P52" s="99">
        <f t="shared" si="3"/>
        <v>0</v>
      </c>
    </row>
    <row r="53" spans="1:16" x14ac:dyDescent="0.2">
      <c r="A53" s="10" t="s">
        <v>151</v>
      </c>
      <c r="B53" s="111" t="s">
        <v>74</v>
      </c>
      <c r="C53" s="8" t="s">
        <v>227</v>
      </c>
      <c r="D53" s="9" t="s">
        <v>228</v>
      </c>
      <c r="E53" s="1">
        <v>17.843</v>
      </c>
      <c r="F53" s="1">
        <v>17.843</v>
      </c>
      <c r="G53" s="1">
        <v>465</v>
      </c>
      <c r="H53" s="1">
        <v>17.843</v>
      </c>
      <c r="I53" s="1">
        <v>17.843</v>
      </c>
      <c r="J53" s="1">
        <v>465</v>
      </c>
      <c r="K53">
        <f>IF(ISNA(VLOOKUP($A53,'Unit EDL'!$A:$C,3,FALSE)),0,VLOOKUP($A53,'Unit EDL'!$A:$C,3,FALSE))</f>
        <v>0</v>
      </c>
      <c r="L53" s="98">
        <f t="shared" si="0"/>
        <v>0</v>
      </c>
      <c r="M53" s="99">
        <f t="shared" si="1"/>
        <v>0</v>
      </c>
      <c r="O53" s="98">
        <f t="shared" si="2"/>
        <v>0</v>
      </c>
      <c r="P53" s="99">
        <f t="shared" si="3"/>
        <v>0</v>
      </c>
    </row>
    <row r="54" spans="1:16" x14ac:dyDescent="0.2">
      <c r="A54" s="10" t="s">
        <v>151</v>
      </c>
      <c r="B54" s="113"/>
      <c r="C54" s="8" t="s">
        <v>55</v>
      </c>
      <c r="D54" s="9" t="s">
        <v>56</v>
      </c>
      <c r="E54" s="1">
        <v>1.6839999999999999</v>
      </c>
      <c r="F54" s="1">
        <v>1.6839999999999999</v>
      </c>
      <c r="G54" s="1">
        <v>50</v>
      </c>
      <c r="H54" s="1">
        <v>1.6839999999999999</v>
      </c>
      <c r="I54" s="1">
        <v>1.6839999999999999</v>
      </c>
      <c r="J54" s="1">
        <v>50</v>
      </c>
      <c r="K54">
        <f>IF(ISNA(VLOOKUP($A54,'Unit EDL'!$A:$C,3,FALSE)),0,VLOOKUP($A54,'Unit EDL'!$A:$C,3,FALSE))</f>
        <v>0</v>
      </c>
      <c r="L54" s="98">
        <f t="shared" si="0"/>
        <v>0</v>
      </c>
      <c r="M54" s="99">
        <f t="shared" si="1"/>
        <v>0</v>
      </c>
      <c r="O54" s="98">
        <f t="shared" si="2"/>
        <v>0</v>
      </c>
      <c r="P54" s="99">
        <f t="shared" si="3"/>
        <v>0</v>
      </c>
    </row>
    <row r="55" spans="1:16" x14ac:dyDescent="0.2">
      <c r="A55" s="10" t="s">
        <v>151</v>
      </c>
      <c r="B55" s="113"/>
      <c r="C55" s="8" t="s">
        <v>261</v>
      </c>
      <c r="D55" s="9" t="s">
        <v>262</v>
      </c>
      <c r="E55" s="1">
        <v>31.081</v>
      </c>
      <c r="F55" s="1">
        <v>31.081</v>
      </c>
      <c r="G55" s="1">
        <v>810</v>
      </c>
      <c r="H55" s="1">
        <v>31.081</v>
      </c>
      <c r="I55" s="1">
        <v>31.081</v>
      </c>
      <c r="J55" s="1">
        <v>810</v>
      </c>
      <c r="K55">
        <f>IF(ISNA(VLOOKUP($A55,'Unit EDL'!$A:$C,3,FALSE)),0,VLOOKUP($A55,'Unit EDL'!$A:$C,3,FALSE))</f>
        <v>0</v>
      </c>
      <c r="L55" s="98">
        <f t="shared" si="0"/>
        <v>0</v>
      </c>
      <c r="M55" s="99">
        <f t="shared" si="1"/>
        <v>0</v>
      </c>
      <c r="O55" s="98">
        <f t="shared" si="2"/>
        <v>0</v>
      </c>
      <c r="P55" s="99">
        <f t="shared" si="3"/>
        <v>0</v>
      </c>
    </row>
    <row r="56" spans="1:16" x14ac:dyDescent="0.2">
      <c r="A56" s="10" t="s">
        <v>151</v>
      </c>
      <c r="B56" s="113"/>
      <c r="C56" s="8" t="s">
        <v>301</v>
      </c>
      <c r="D56" s="9" t="s">
        <v>302</v>
      </c>
      <c r="E56" s="1">
        <v>11.512</v>
      </c>
      <c r="F56" s="1">
        <v>11.512</v>
      </c>
      <c r="G56" s="1">
        <v>300</v>
      </c>
      <c r="H56" s="1">
        <v>11.512</v>
      </c>
      <c r="I56" s="1">
        <v>11.512</v>
      </c>
      <c r="J56" s="1">
        <v>300</v>
      </c>
      <c r="K56">
        <f>IF(ISNA(VLOOKUP($A56,'Unit EDL'!$A:$C,3,FALSE)),0,VLOOKUP($A56,'Unit EDL'!$A:$C,3,FALSE))</f>
        <v>0</v>
      </c>
      <c r="L56" s="98">
        <f t="shared" si="0"/>
        <v>0</v>
      </c>
      <c r="M56" s="99">
        <f t="shared" si="1"/>
        <v>0</v>
      </c>
      <c r="O56" s="98">
        <f t="shared" si="2"/>
        <v>0</v>
      </c>
      <c r="P56" s="99">
        <f t="shared" si="3"/>
        <v>0</v>
      </c>
    </row>
    <row r="57" spans="1:16" x14ac:dyDescent="0.2">
      <c r="A57" s="10" t="s">
        <v>151</v>
      </c>
      <c r="B57" s="113"/>
      <c r="C57" s="8" t="s">
        <v>63</v>
      </c>
      <c r="D57" s="9" t="s">
        <v>64</v>
      </c>
      <c r="E57" s="1">
        <v>5.1029999999999998</v>
      </c>
      <c r="F57" s="1">
        <v>5.1029999999999998</v>
      </c>
      <c r="G57" s="1">
        <v>150</v>
      </c>
      <c r="H57" s="1">
        <v>5.1029999999999998</v>
      </c>
      <c r="I57" s="1">
        <v>5.1029999999999998</v>
      </c>
      <c r="J57" s="1">
        <v>150</v>
      </c>
      <c r="K57">
        <f>IF(ISNA(VLOOKUP($A57,'Unit EDL'!$A:$C,3,FALSE)),0,VLOOKUP($A57,'Unit EDL'!$A:$C,3,FALSE))</f>
        <v>0</v>
      </c>
      <c r="L57" s="98">
        <f t="shared" si="0"/>
        <v>0</v>
      </c>
      <c r="M57" s="99">
        <f t="shared" si="1"/>
        <v>0</v>
      </c>
      <c r="O57" s="98">
        <f t="shared" si="2"/>
        <v>0</v>
      </c>
      <c r="P57" s="99">
        <f t="shared" si="3"/>
        <v>0</v>
      </c>
    </row>
    <row r="58" spans="1:16" x14ac:dyDescent="0.2">
      <c r="A58" s="10" t="s">
        <v>151</v>
      </c>
      <c r="B58" s="112"/>
      <c r="C58" s="8" t="s">
        <v>359</v>
      </c>
      <c r="D58" s="9" t="s">
        <v>360</v>
      </c>
      <c r="E58" s="1">
        <v>5.1029999999999998</v>
      </c>
      <c r="F58" s="1">
        <v>5.1029999999999998</v>
      </c>
      <c r="G58" s="1">
        <v>150</v>
      </c>
      <c r="H58" s="1">
        <v>5.1029999999999998</v>
      </c>
      <c r="I58" s="1">
        <v>5.1029999999999998</v>
      </c>
      <c r="J58" s="1">
        <v>150</v>
      </c>
      <c r="K58">
        <f>IF(ISNA(VLOOKUP($A58,'Unit EDL'!$A:$C,3,FALSE)),0,VLOOKUP($A58,'Unit EDL'!$A:$C,3,FALSE))</f>
        <v>0</v>
      </c>
      <c r="L58" s="98">
        <f t="shared" si="0"/>
        <v>0</v>
      </c>
      <c r="M58" s="99">
        <f t="shared" si="1"/>
        <v>0</v>
      </c>
      <c r="O58" s="98">
        <f t="shared" si="2"/>
        <v>0</v>
      </c>
      <c r="P58" s="99">
        <f t="shared" si="3"/>
        <v>0</v>
      </c>
    </row>
    <row r="59" spans="1:16" x14ac:dyDescent="0.2">
      <c r="A59" s="12"/>
      <c r="K59">
        <f>IF(ISNA(VLOOKUP($A59,'Unit EDL'!$A:$C,3,FALSE)),0,VLOOKUP($A59,'Unit EDL'!$A:$C,3,FALSE))</f>
        <v>0</v>
      </c>
      <c r="L59" s="98">
        <f t="shared" si="0"/>
        <v>0</v>
      </c>
      <c r="M59" s="99">
        <f t="shared" si="1"/>
        <v>0</v>
      </c>
      <c r="O59" s="98">
        <f t="shared" si="2"/>
        <v>0</v>
      </c>
      <c r="P59" s="99">
        <f t="shared" si="3"/>
        <v>0</v>
      </c>
    </row>
    <row r="60" spans="1:16" x14ac:dyDescent="0.2">
      <c r="A60" s="10" t="s">
        <v>186</v>
      </c>
      <c r="B60" s="111" t="s">
        <v>109</v>
      </c>
      <c r="C60" s="8" t="s">
        <v>277</v>
      </c>
      <c r="D60" s="9" t="s">
        <v>278</v>
      </c>
      <c r="E60" s="1">
        <v>34.360999999999997</v>
      </c>
      <c r="F60" s="1">
        <v>34.360999999999997</v>
      </c>
      <c r="G60" s="1">
        <v>100</v>
      </c>
      <c r="H60" s="1"/>
      <c r="I60" s="1"/>
      <c r="J60" s="1"/>
      <c r="K60">
        <f>IF(ISNA(VLOOKUP($A60,'Unit EDL'!$A:$C,3,FALSE)),0,VLOOKUP($A60,'Unit EDL'!$A:$C,3,FALSE))</f>
        <v>0</v>
      </c>
      <c r="L60" s="98">
        <f t="shared" si="0"/>
        <v>0</v>
      </c>
      <c r="M60" s="99">
        <f t="shared" si="1"/>
        <v>0</v>
      </c>
      <c r="O60" s="98">
        <f t="shared" si="2"/>
        <v>0</v>
      </c>
      <c r="P60" s="99">
        <f t="shared" si="3"/>
        <v>0</v>
      </c>
    </row>
    <row r="61" spans="1:16" x14ac:dyDescent="0.2">
      <c r="A61" s="10" t="s">
        <v>186</v>
      </c>
      <c r="B61" s="113"/>
      <c r="C61" s="8" t="s">
        <v>408</v>
      </c>
      <c r="D61" s="9" t="s">
        <v>409</v>
      </c>
      <c r="E61" s="1">
        <v>68.731999999999999</v>
      </c>
      <c r="F61" s="1">
        <v>68.731999999999999</v>
      </c>
      <c r="G61" s="1">
        <v>2000</v>
      </c>
      <c r="H61" s="1"/>
      <c r="I61" s="1"/>
      <c r="J61" s="1"/>
      <c r="K61">
        <f>IF(ISNA(VLOOKUP($A61,'Unit EDL'!$A:$C,3,FALSE)),0,VLOOKUP($A61,'Unit EDL'!$A:$C,3,FALSE))</f>
        <v>0</v>
      </c>
      <c r="L61" s="98">
        <f t="shared" si="0"/>
        <v>0</v>
      </c>
      <c r="M61" s="99">
        <f t="shared" si="1"/>
        <v>0</v>
      </c>
      <c r="O61" s="98">
        <f t="shared" si="2"/>
        <v>0</v>
      </c>
      <c r="P61" s="99">
        <f t="shared" si="3"/>
        <v>0</v>
      </c>
    </row>
    <row r="62" spans="1:16" x14ac:dyDescent="0.2">
      <c r="A62" s="10" t="s">
        <v>186</v>
      </c>
      <c r="B62" s="113"/>
      <c r="C62" s="8" t="s">
        <v>59</v>
      </c>
      <c r="D62" s="9" t="s">
        <v>60</v>
      </c>
      <c r="E62" s="1">
        <v>1E-3</v>
      </c>
      <c r="F62" s="1">
        <v>1E-3</v>
      </c>
      <c r="G62" s="1">
        <v>1</v>
      </c>
      <c r="H62" s="1"/>
      <c r="I62" s="1"/>
      <c r="J62" s="1"/>
      <c r="K62">
        <f>IF(ISNA(VLOOKUP($A62,'Unit EDL'!$A:$C,3,FALSE)),0,VLOOKUP($A62,'Unit EDL'!$A:$C,3,FALSE))</f>
        <v>0</v>
      </c>
      <c r="L62" s="98">
        <f t="shared" si="0"/>
        <v>0</v>
      </c>
      <c r="M62" s="99">
        <f t="shared" si="1"/>
        <v>0</v>
      </c>
      <c r="O62" s="98">
        <f t="shared" si="2"/>
        <v>0</v>
      </c>
      <c r="P62" s="99">
        <f t="shared" si="3"/>
        <v>0</v>
      </c>
    </row>
    <row r="63" spans="1:16" x14ac:dyDescent="0.2">
      <c r="A63" s="10" t="s">
        <v>186</v>
      </c>
      <c r="B63" s="112"/>
      <c r="C63" s="8" t="s">
        <v>69</v>
      </c>
      <c r="D63" s="9" t="s">
        <v>70</v>
      </c>
      <c r="E63" s="1">
        <v>2.577</v>
      </c>
      <c r="F63" s="1">
        <v>2.577</v>
      </c>
      <c r="G63" s="1">
        <v>50</v>
      </c>
      <c r="H63" s="1"/>
      <c r="I63" s="1"/>
      <c r="J63" s="1"/>
      <c r="K63">
        <f>IF(ISNA(VLOOKUP($A63,'Unit EDL'!$A:$C,3,FALSE)),0,VLOOKUP($A63,'Unit EDL'!$A:$C,3,FALSE))</f>
        <v>0</v>
      </c>
      <c r="L63" s="98">
        <f t="shared" si="0"/>
        <v>0</v>
      </c>
      <c r="M63" s="99">
        <f t="shared" si="1"/>
        <v>0</v>
      </c>
      <c r="O63" s="98">
        <f t="shared" si="2"/>
        <v>0</v>
      </c>
      <c r="P63" s="99">
        <f t="shared" si="3"/>
        <v>0</v>
      </c>
    </row>
    <row r="64" spans="1:16" x14ac:dyDescent="0.2">
      <c r="A64" s="12"/>
      <c r="K64">
        <f>IF(ISNA(VLOOKUP($A64,'Unit EDL'!$A:$C,3,FALSE)),0,VLOOKUP($A64,'Unit EDL'!$A:$C,3,FALSE))</f>
        <v>0</v>
      </c>
      <c r="L64" s="98">
        <f t="shared" si="0"/>
        <v>0</v>
      </c>
      <c r="M64" s="99">
        <f t="shared" si="1"/>
        <v>0</v>
      </c>
      <c r="O64" s="98">
        <f t="shared" si="2"/>
        <v>0</v>
      </c>
      <c r="P64" s="99">
        <f t="shared" si="3"/>
        <v>0</v>
      </c>
    </row>
    <row r="65" spans="1:16" x14ac:dyDescent="0.2">
      <c r="A65" s="10" t="s">
        <v>210</v>
      </c>
      <c r="B65" s="111" t="s">
        <v>133</v>
      </c>
      <c r="C65" s="8" t="s">
        <v>408</v>
      </c>
      <c r="D65" s="9" t="s">
        <v>409</v>
      </c>
      <c r="E65" s="1">
        <v>68.731999999999999</v>
      </c>
      <c r="F65" s="1">
        <v>68.731999999999999</v>
      </c>
      <c r="G65" s="1">
        <v>2000</v>
      </c>
      <c r="H65" s="1"/>
      <c r="I65" s="1"/>
      <c r="J65" s="1"/>
      <c r="K65">
        <f>IF(ISNA(VLOOKUP($A65,'Unit EDL'!$A:$C,3,FALSE)),0,VLOOKUP($A65,'Unit EDL'!$A:$C,3,FALSE))</f>
        <v>0</v>
      </c>
      <c r="L65" s="98">
        <f t="shared" si="0"/>
        <v>0</v>
      </c>
      <c r="M65" s="99">
        <f t="shared" si="1"/>
        <v>0</v>
      </c>
      <c r="O65" s="98">
        <f t="shared" si="2"/>
        <v>0</v>
      </c>
      <c r="P65" s="99">
        <f t="shared" si="3"/>
        <v>0</v>
      </c>
    </row>
    <row r="66" spans="1:16" x14ac:dyDescent="0.2">
      <c r="A66" s="10" t="s">
        <v>210</v>
      </c>
      <c r="B66" s="113"/>
      <c r="C66" s="8" t="s">
        <v>59</v>
      </c>
      <c r="D66" s="9" t="s">
        <v>60</v>
      </c>
      <c r="E66" s="1">
        <v>1E-3</v>
      </c>
      <c r="F66" s="1">
        <v>1E-3</v>
      </c>
      <c r="G66" s="1">
        <v>1</v>
      </c>
      <c r="H66" s="1"/>
      <c r="I66" s="1"/>
      <c r="J66" s="1"/>
      <c r="K66">
        <f>IF(ISNA(VLOOKUP($A66,'Unit EDL'!$A:$C,3,FALSE)),0,VLOOKUP($A66,'Unit EDL'!$A:$C,3,FALSE))</f>
        <v>0</v>
      </c>
      <c r="L66" s="98">
        <f t="shared" si="0"/>
        <v>0</v>
      </c>
      <c r="M66" s="99">
        <f t="shared" si="1"/>
        <v>0</v>
      </c>
      <c r="O66" s="98">
        <f t="shared" si="2"/>
        <v>0</v>
      </c>
      <c r="P66" s="99">
        <f t="shared" si="3"/>
        <v>0</v>
      </c>
    </row>
    <row r="67" spans="1:16" x14ac:dyDescent="0.2">
      <c r="A67" s="10" t="s">
        <v>210</v>
      </c>
      <c r="B67" s="112"/>
      <c r="C67" s="8" t="s">
        <v>69</v>
      </c>
      <c r="D67" s="9" t="s">
        <v>70</v>
      </c>
      <c r="E67" s="1">
        <v>2.577</v>
      </c>
      <c r="F67" s="1">
        <v>2.577</v>
      </c>
      <c r="G67" s="1">
        <v>50</v>
      </c>
      <c r="H67" s="1"/>
      <c r="I67" s="1"/>
      <c r="J67" s="1"/>
      <c r="K67">
        <f>IF(ISNA(VLOOKUP($A67,'Unit EDL'!$A:$C,3,FALSE)),0,VLOOKUP($A67,'Unit EDL'!$A:$C,3,FALSE))</f>
        <v>0</v>
      </c>
      <c r="L67" s="98">
        <f t="shared" si="0"/>
        <v>0</v>
      </c>
      <c r="M67" s="99">
        <f t="shared" si="1"/>
        <v>0</v>
      </c>
      <c r="O67" s="98">
        <f t="shared" si="2"/>
        <v>0</v>
      </c>
      <c r="P67" s="99">
        <f t="shared" si="3"/>
        <v>0</v>
      </c>
    </row>
    <row r="68" spans="1:16" x14ac:dyDescent="0.2">
      <c r="A68" s="12"/>
      <c r="K68">
        <f>IF(ISNA(VLOOKUP($A68,'Unit EDL'!$A:$C,3,FALSE)),0,VLOOKUP($A68,'Unit EDL'!$A:$C,3,FALSE))</f>
        <v>0</v>
      </c>
      <c r="L68" s="98">
        <f t="shared" si="0"/>
        <v>0</v>
      </c>
      <c r="M68" s="99">
        <f t="shared" si="1"/>
        <v>0</v>
      </c>
      <c r="O68" s="98">
        <f t="shared" si="2"/>
        <v>0</v>
      </c>
      <c r="P68" s="99">
        <f t="shared" si="3"/>
        <v>0</v>
      </c>
    </row>
    <row r="69" spans="1:16" x14ac:dyDescent="0.2">
      <c r="A69" s="6" t="s">
        <v>187</v>
      </c>
      <c r="B69" s="7" t="s">
        <v>110</v>
      </c>
      <c r="C69" s="8" t="s">
        <v>277</v>
      </c>
      <c r="D69" s="9" t="s">
        <v>278</v>
      </c>
      <c r="E69" s="1">
        <v>0</v>
      </c>
      <c r="F69" s="1">
        <v>0</v>
      </c>
      <c r="G69" s="1">
        <v>37.5</v>
      </c>
      <c r="H69" s="1"/>
      <c r="I69" s="1"/>
      <c r="J69" s="1"/>
      <c r="K69">
        <f>IF(ISNA(VLOOKUP($A69,'Unit EDL'!$A:$C,3,FALSE)),0,VLOOKUP($A69,'Unit EDL'!$A:$C,3,FALSE))</f>
        <v>0</v>
      </c>
      <c r="L69" s="98">
        <f t="shared" si="0"/>
        <v>0</v>
      </c>
      <c r="M69" s="99">
        <f t="shared" si="1"/>
        <v>0</v>
      </c>
      <c r="O69" s="98">
        <f t="shared" si="2"/>
        <v>0</v>
      </c>
      <c r="P69" s="99">
        <f t="shared" si="3"/>
        <v>0</v>
      </c>
    </row>
    <row r="70" spans="1:16" x14ac:dyDescent="0.2">
      <c r="A70" s="12"/>
      <c r="K70">
        <f>IF(ISNA(VLOOKUP($A70,'Unit EDL'!$A:$C,3,FALSE)),0,VLOOKUP($A70,'Unit EDL'!$A:$C,3,FALSE))</f>
        <v>0</v>
      </c>
      <c r="L70" s="98">
        <f t="shared" si="0"/>
        <v>0</v>
      </c>
      <c r="M70" s="99">
        <f t="shared" si="1"/>
        <v>0</v>
      </c>
      <c r="O70" s="98">
        <f t="shared" si="2"/>
        <v>0</v>
      </c>
      <c r="P70" s="99">
        <f t="shared" si="3"/>
        <v>0</v>
      </c>
    </row>
    <row r="71" spans="1:16" x14ac:dyDescent="0.2">
      <c r="A71" s="6" t="s">
        <v>211</v>
      </c>
      <c r="B71" s="7" t="s">
        <v>134</v>
      </c>
      <c r="C71" s="8" t="s">
        <v>410</v>
      </c>
      <c r="D71" s="9" t="s">
        <v>411</v>
      </c>
      <c r="E71" s="1"/>
      <c r="F71" s="1"/>
      <c r="G71" s="1"/>
      <c r="H71" s="1">
        <v>0</v>
      </c>
      <c r="I71" s="1">
        <v>0</v>
      </c>
      <c r="J71" s="1">
        <v>4</v>
      </c>
      <c r="K71">
        <f>IF(ISNA(VLOOKUP($A71,'Unit EDL'!$A:$C,3,FALSE)),0,VLOOKUP($A71,'Unit EDL'!$A:$C,3,FALSE))</f>
        <v>0</v>
      </c>
      <c r="L71" s="98">
        <f t="shared" si="0"/>
        <v>0</v>
      </c>
      <c r="M71" s="99">
        <f t="shared" si="1"/>
        <v>0</v>
      </c>
      <c r="O71" s="98">
        <f t="shared" si="2"/>
        <v>0</v>
      </c>
      <c r="P71" s="99">
        <f t="shared" si="3"/>
        <v>0</v>
      </c>
    </row>
    <row r="72" spans="1:16" x14ac:dyDescent="0.2">
      <c r="A72" s="12"/>
      <c r="K72">
        <f>IF(ISNA(VLOOKUP($A72,'Unit EDL'!$A:$C,3,FALSE)),0,VLOOKUP($A72,'Unit EDL'!$A:$C,3,FALSE))</f>
        <v>0</v>
      </c>
      <c r="L72" s="98">
        <f t="shared" ref="L72:L135" si="4">K72*E72</f>
        <v>0</v>
      </c>
      <c r="M72" s="99">
        <f t="shared" ref="M72:M135" si="5">K72*F72</f>
        <v>0</v>
      </c>
      <c r="O72" s="98">
        <f t="shared" si="2"/>
        <v>0</v>
      </c>
      <c r="P72" s="99">
        <f t="shared" si="3"/>
        <v>0</v>
      </c>
    </row>
    <row r="73" spans="1:16" x14ac:dyDescent="0.2">
      <c r="A73" s="6" t="s">
        <v>212</v>
      </c>
      <c r="B73" s="7" t="s">
        <v>135</v>
      </c>
      <c r="C73" s="8" t="s">
        <v>418</v>
      </c>
      <c r="D73" s="9" t="s">
        <v>419</v>
      </c>
      <c r="E73" s="1">
        <v>0</v>
      </c>
      <c r="F73" s="1">
        <v>0</v>
      </c>
      <c r="G73" s="1">
        <v>5</v>
      </c>
      <c r="H73" s="1">
        <v>0</v>
      </c>
      <c r="I73" s="1">
        <v>0</v>
      </c>
      <c r="J73" s="1">
        <v>5</v>
      </c>
      <c r="K73">
        <f>IF(ISNA(VLOOKUP($A73,'Unit EDL'!$A:$C,3,FALSE)),0,VLOOKUP($A73,'Unit EDL'!$A:$C,3,FALSE))</f>
        <v>0</v>
      </c>
      <c r="L73" s="98">
        <f t="shared" si="4"/>
        <v>0</v>
      </c>
      <c r="M73" s="99">
        <f t="shared" si="5"/>
        <v>0</v>
      </c>
      <c r="O73" s="98">
        <f t="shared" ref="O73:O136" si="6">IF($K73=0,0,IF(E73=0,999,$G73/E73))</f>
        <v>0</v>
      </c>
      <c r="P73" s="99">
        <f t="shared" ref="P73:P136" si="7">IF($K73=0,0,IF(F73=0,999,$G73/F73))</f>
        <v>0</v>
      </c>
    </row>
    <row r="74" spans="1:16" x14ac:dyDescent="0.2">
      <c r="A74" s="12"/>
      <c r="K74">
        <f>IF(ISNA(VLOOKUP($A74,'Unit EDL'!$A:$C,3,FALSE)),0,VLOOKUP($A74,'Unit EDL'!$A:$C,3,FALSE))</f>
        <v>0</v>
      </c>
      <c r="L74" s="98">
        <f t="shared" si="4"/>
        <v>0</v>
      </c>
      <c r="M74" s="99">
        <f t="shared" si="5"/>
        <v>0</v>
      </c>
      <c r="O74" s="98">
        <f t="shared" si="6"/>
        <v>0</v>
      </c>
      <c r="P74" s="99">
        <f t="shared" si="7"/>
        <v>0</v>
      </c>
    </row>
    <row r="75" spans="1:16" x14ac:dyDescent="0.2">
      <c r="A75" s="6" t="s">
        <v>213</v>
      </c>
      <c r="B75" s="7" t="s">
        <v>136</v>
      </c>
      <c r="C75" s="8" t="s">
        <v>418</v>
      </c>
      <c r="D75" s="9" t="s">
        <v>419</v>
      </c>
      <c r="E75" s="1">
        <v>0</v>
      </c>
      <c r="F75" s="1">
        <v>0</v>
      </c>
      <c r="G75" s="1">
        <v>2</v>
      </c>
      <c r="H75" s="1">
        <v>0</v>
      </c>
      <c r="I75" s="1">
        <v>0</v>
      </c>
      <c r="J75" s="1">
        <v>2</v>
      </c>
      <c r="K75">
        <f>IF(ISNA(VLOOKUP($A75,'Unit EDL'!$A:$C,3,FALSE)),0,VLOOKUP($A75,'Unit EDL'!$A:$C,3,FALSE))</f>
        <v>0</v>
      </c>
      <c r="L75" s="98">
        <f t="shared" si="4"/>
        <v>0</v>
      </c>
      <c r="M75" s="99">
        <f t="shared" si="5"/>
        <v>0</v>
      </c>
      <c r="O75" s="98">
        <f t="shared" si="6"/>
        <v>0</v>
      </c>
      <c r="P75" s="99">
        <f t="shared" si="7"/>
        <v>0</v>
      </c>
    </row>
    <row r="76" spans="1:16" x14ac:dyDescent="0.2">
      <c r="A76" s="12"/>
      <c r="K76">
        <f>IF(ISNA(VLOOKUP($A76,'Unit EDL'!$A:$C,3,FALSE)),0,VLOOKUP($A76,'Unit EDL'!$A:$C,3,FALSE))</f>
        <v>0</v>
      </c>
      <c r="L76" s="98">
        <f t="shared" si="4"/>
        <v>0</v>
      </c>
      <c r="M76" s="99">
        <f t="shared" si="5"/>
        <v>0</v>
      </c>
      <c r="O76" s="98">
        <f t="shared" si="6"/>
        <v>0</v>
      </c>
      <c r="P76" s="99">
        <f t="shared" si="7"/>
        <v>0</v>
      </c>
    </row>
    <row r="77" spans="1:16" x14ac:dyDescent="0.2">
      <c r="A77" s="10" t="s">
        <v>188</v>
      </c>
      <c r="B77" s="111" t="s">
        <v>111</v>
      </c>
      <c r="C77" s="8" t="s">
        <v>279</v>
      </c>
      <c r="D77" s="9" t="s">
        <v>280</v>
      </c>
      <c r="E77" s="1">
        <v>0</v>
      </c>
      <c r="F77" s="1">
        <v>0</v>
      </c>
      <c r="G77" s="1">
        <v>1</v>
      </c>
      <c r="H77" s="1">
        <v>4.4999999999999998E-2</v>
      </c>
      <c r="I77" s="1">
        <v>1.7000000000000001E-2</v>
      </c>
      <c r="J77" s="1">
        <v>1</v>
      </c>
      <c r="K77">
        <f>IF(ISNA(VLOOKUP($A77,'Unit EDL'!$A:$C,3,FALSE)),0,VLOOKUP($A77,'Unit EDL'!$A:$C,3,FALSE))</f>
        <v>72</v>
      </c>
      <c r="L77" s="98">
        <f t="shared" si="4"/>
        <v>0</v>
      </c>
      <c r="M77" s="99">
        <f t="shared" si="5"/>
        <v>0</v>
      </c>
      <c r="O77" s="98">
        <f t="shared" si="6"/>
        <v>999</v>
      </c>
      <c r="P77" s="99">
        <f t="shared" si="7"/>
        <v>999</v>
      </c>
    </row>
    <row r="78" spans="1:16" x14ac:dyDescent="0.2">
      <c r="A78" s="10" t="s">
        <v>188</v>
      </c>
      <c r="B78" s="113"/>
      <c r="C78" s="8" t="s">
        <v>281</v>
      </c>
      <c r="D78" s="9" t="s">
        <v>282</v>
      </c>
      <c r="E78" s="1">
        <v>0</v>
      </c>
      <c r="F78" s="1">
        <v>0</v>
      </c>
      <c r="G78" s="1">
        <v>1</v>
      </c>
      <c r="H78" s="1">
        <v>1.7000000000000001E-2</v>
      </c>
      <c r="I78" s="1">
        <v>6.0000000000000001E-3</v>
      </c>
      <c r="J78" s="1">
        <v>1</v>
      </c>
      <c r="K78">
        <f>IF(ISNA(VLOOKUP($A78,'Unit EDL'!$A:$C,3,FALSE)),0,VLOOKUP($A78,'Unit EDL'!$A:$C,3,FALSE))</f>
        <v>72</v>
      </c>
      <c r="L78" s="98">
        <f t="shared" si="4"/>
        <v>0</v>
      </c>
      <c r="M78" s="99">
        <f t="shared" si="5"/>
        <v>0</v>
      </c>
      <c r="O78" s="98">
        <f t="shared" si="6"/>
        <v>999</v>
      </c>
      <c r="P78" s="99">
        <f t="shared" si="7"/>
        <v>999</v>
      </c>
    </row>
    <row r="79" spans="1:16" x14ac:dyDescent="0.2">
      <c r="A79" s="10" t="s">
        <v>188</v>
      </c>
      <c r="B79" s="113"/>
      <c r="C79" s="8" t="s">
        <v>283</v>
      </c>
      <c r="D79" s="9" t="s">
        <v>284</v>
      </c>
      <c r="E79" s="1">
        <v>0</v>
      </c>
      <c r="F79" s="1">
        <v>0</v>
      </c>
      <c r="G79" s="1">
        <v>1</v>
      </c>
      <c r="H79" s="1">
        <v>1.7000000000000001E-2</v>
      </c>
      <c r="I79" s="1">
        <v>6.0000000000000001E-3</v>
      </c>
      <c r="J79" s="1">
        <v>1</v>
      </c>
      <c r="K79">
        <f>IF(ISNA(VLOOKUP($A79,'Unit EDL'!$A:$C,3,FALSE)),0,VLOOKUP($A79,'Unit EDL'!$A:$C,3,FALSE))</f>
        <v>72</v>
      </c>
      <c r="L79" s="98">
        <f t="shared" si="4"/>
        <v>0</v>
      </c>
      <c r="M79" s="99">
        <f t="shared" si="5"/>
        <v>0</v>
      </c>
      <c r="O79" s="98">
        <f t="shared" si="6"/>
        <v>999</v>
      </c>
      <c r="P79" s="99">
        <f t="shared" si="7"/>
        <v>999</v>
      </c>
    </row>
    <row r="80" spans="1:16" x14ac:dyDescent="0.2">
      <c r="A80" s="10" t="s">
        <v>188</v>
      </c>
      <c r="B80" s="113"/>
      <c r="C80" s="8" t="s">
        <v>285</v>
      </c>
      <c r="D80" s="9" t="s">
        <v>286</v>
      </c>
      <c r="E80" s="1">
        <v>0</v>
      </c>
      <c r="F80" s="1">
        <v>0</v>
      </c>
      <c r="G80" s="1">
        <v>1</v>
      </c>
      <c r="H80" s="1">
        <v>1.7000000000000001E-2</v>
      </c>
      <c r="I80" s="1">
        <v>6.0000000000000001E-3</v>
      </c>
      <c r="J80" s="1">
        <v>1</v>
      </c>
      <c r="K80">
        <f>IF(ISNA(VLOOKUP($A80,'Unit EDL'!$A:$C,3,FALSE)),0,VLOOKUP($A80,'Unit EDL'!$A:$C,3,FALSE))</f>
        <v>72</v>
      </c>
      <c r="L80" s="98">
        <f t="shared" si="4"/>
        <v>0</v>
      </c>
      <c r="M80" s="99">
        <f t="shared" si="5"/>
        <v>0</v>
      </c>
      <c r="O80" s="98">
        <f t="shared" si="6"/>
        <v>999</v>
      </c>
      <c r="P80" s="99">
        <f t="shared" si="7"/>
        <v>999</v>
      </c>
    </row>
    <row r="81" spans="1:16" x14ac:dyDescent="0.2">
      <c r="A81" s="10" t="s">
        <v>188</v>
      </c>
      <c r="B81" s="113"/>
      <c r="C81" s="8" t="s">
        <v>287</v>
      </c>
      <c r="D81" s="9" t="s">
        <v>288</v>
      </c>
      <c r="E81" s="1">
        <v>0</v>
      </c>
      <c r="F81" s="1">
        <v>0</v>
      </c>
      <c r="G81" s="1">
        <v>1</v>
      </c>
      <c r="H81" s="1">
        <v>1.7000000000000001E-2</v>
      </c>
      <c r="I81" s="1">
        <v>6.0000000000000001E-3</v>
      </c>
      <c r="J81" s="1">
        <v>1</v>
      </c>
      <c r="K81">
        <f>IF(ISNA(VLOOKUP($A81,'Unit EDL'!$A:$C,3,FALSE)),0,VLOOKUP($A81,'Unit EDL'!$A:$C,3,FALSE))</f>
        <v>72</v>
      </c>
      <c r="L81" s="98">
        <f t="shared" si="4"/>
        <v>0</v>
      </c>
      <c r="M81" s="99">
        <f t="shared" si="5"/>
        <v>0</v>
      </c>
      <c r="O81" s="98">
        <f t="shared" si="6"/>
        <v>999</v>
      </c>
      <c r="P81" s="99">
        <f t="shared" si="7"/>
        <v>999</v>
      </c>
    </row>
    <row r="82" spans="1:16" x14ac:dyDescent="0.2">
      <c r="A82" s="10" t="s">
        <v>188</v>
      </c>
      <c r="B82" s="113"/>
      <c r="C82" s="8" t="s">
        <v>289</v>
      </c>
      <c r="D82" s="9" t="s">
        <v>290</v>
      </c>
      <c r="E82" s="1">
        <v>0</v>
      </c>
      <c r="F82" s="1">
        <v>0</v>
      </c>
      <c r="G82" s="1">
        <v>3</v>
      </c>
      <c r="H82" s="1">
        <v>4.4999999999999998E-2</v>
      </c>
      <c r="I82" s="1">
        <v>1.7000000000000001E-2</v>
      </c>
      <c r="J82" s="1">
        <v>2</v>
      </c>
      <c r="K82">
        <f>IF(ISNA(VLOOKUP($A82,'Unit EDL'!$A:$C,3,FALSE)),0,VLOOKUP($A82,'Unit EDL'!$A:$C,3,FALSE))</f>
        <v>72</v>
      </c>
      <c r="L82" s="98">
        <f t="shared" si="4"/>
        <v>0</v>
      </c>
      <c r="M82" s="99">
        <f t="shared" si="5"/>
        <v>0</v>
      </c>
      <c r="O82" s="98">
        <f t="shared" si="6"/>
        <v>999</v>
      </c>
      <c r="P82" s="99">
        <f t="shared" si="7"/>
        <v>999</v>
      </c>
    </row>
    <row r="83" spans="1:16" x14ac:dyDescent="0.2">
      <c r="A83" s="10" t="s">
        <v>188</v>
      </c>
      <c r="B83" s="112"/>
      <c r="C83" s="8" t="s">
        <v>293</v>
      </c>
      <c r="D83" s="9" t="s">
        <v>294</v>
      </c>
      <c r="E83" s="1">
        <v>0</v>
      </c>
      <c r="F83" s="1">
        <v>0</v>
      </c>
      <c r="G83" s="1">
        <v>18</v>
      </c>
      <c r="H83" s="1">
        <v>6.8000000000000005E-2</v>
      </c>
      <c r="I83" s="1">
        <v>2.9000000000000001E-2</v>
      </c>
      <c r="J83" s="1">
        <v>12</v>
      </c>
      <c r="K83">
        <f>IF(ISNA(VLOOKUP($A83,'Unit EDL'!$A:$C,3,FALSE)),0,VLOOKUP($A83,'Unit EDL'!$A:$C,3,FALSE))</f>
        <v>72</v>
      </c>
      <c r="L83" s="98">
        <f t="shared" si="4"/>
        <v>0</v>
      </c>
      <c r="M83" s="99">
        <f t="shared" si="5"/>
        <v>0</v>
      </c>
      <c r="O83" s="98">
        <f t="shared" si="6"/>
        <v>999</v>
      </c>
      <c r="P83" s="99">
        <f t="shared" si="7"/>
        <v>999</v>
      </c>
    </row>
    <row r="84" spans="1:16" x14ac:dyDescent="0.2">
      <c r="A84" s="12"/>
      <c r="K84">
        <f>IF(ISNA(VLOOKUP($A84,'Unit EDL'!$A:$C,3,FALSE)),0,VLOOKUP($A84,'Unit EDL'!$A:$C,3,FALSE))</f>
        <v>0</v>
      </c>
      <c r="L84" s="98">
        <f t="shared" si="4"/>
        <v>0</v>
      </c>
      <c r="M84" s="99">
        <f t="shared" si="5"/>
        <v>0</v>
      </c>
      <c r="O84" s="98">
        <f t="shared" si="6"/>
        <v>0</v>
      </c>
      <c r="P84" s="99">
        <f t="shared" si="7"/>
        <v>0</v>
      </c>
    </row>
    <row r="85" spans="1:16" x14ac:dyDescent="0.2">
      <c r="A85" s="10" t="s">
        <v>157</v>
      </c>
      <c r="B85" s="111" t="s">
        <v>80</v>
      </c>
      <c r="C85" s="8" t="s">
        <v>231</v>
      </c>
      <c r="D85" s="9" t="s">
        <v>232</v>
      </c>
      <c r="E85" s="1">
        <v>0.93100000000000005</v>
      </c>
      <c r="F85" s="1">
        <v>6.5000000000000002E-2</v>
      </c>
      <c r="G85" s="1">
        <v>40</v>
      </c>
      <c r="H85" s="1"/>
      <c r="I85" s="1"/>
      <c r="J85" s="1"/>
      <c r="K85">
        <f>IF(ISNA(VLOOKUP($A85,'Unit EDL'!$A:$C,3,FALSE)),0,VLOOKUP($A85,'Unit EDL'!$A:$C,3,FALSE))</f>
        <v>10</v>
      </c>
      <c r="L85" s="98">
        <f t="shared" si="4"/>
        <v>9.31</v>
      </c>
      <c r="M85" s="99">
        <f t="shared" si="5"/>
        <v>0.65</v>
      </c>
      <c r="O85" s="98">
        <f t="shared" si="6"/>
        <v>42.964554242749728</v>
      </c>
      <c r="P85" s="99">
        <f t="shared" si="7"/>
        <v>615.38461538461536</v>
      </c>
    </row>
    <row r="86" spans="1:16" x14ac:dyDescent="0.2">
      <c r="A86" s="10" t="s">
        <v>157</v>
      </c>
      <c r="B86" s="112"/>
      <c r="C86" s="8" t="s">
        <v>263</v>
      </c>
      <c r="D86" s="9" t="s">
        <v>264</v>
      </c>
      <c r="E86" s="1">
        <v>9.5289999999999999</v>
      </c>
      <c r="F86" s="1">
        <v>0.83199999999999996</v>
      </c>
      <c r="G86" s="1">
        <v>300</v>
      </c>
      <c r="H86" s="1"/>
      <c r="I86" s="1"/>
      <c r="J86" s="1"/>
      <c r="K86">
        <f>IF(ISNA(VLOOKUP($A86,'Unit EDL'!$A:$C,3,FALSE)),0,VLOOKUP($A86,'Unit EDL'!$A:$C,3,FALSE))</f>
        <v>10</v>
      </c>
      <c r="L86" s="98">
        <f t="shared" si="4"/>
        <v>95.289999999999992</v>
      </c>
      <c r="M86" s="99">
        <f t="shared" si="5"/>
        <v>8.32</v>
      </c>
      <c r="O86" s="98">
        <f t="shared" si="6"/>
        <v>31.4828418511911</v>
      </c>
      <c r="P86" s="99">
        <f t="shared" si="7"/>
        <v>360.57692307692309</v>
      </c>
    </row>
    <row r="87" spans="1:16" x14ac:dyDescent="0.2">
      <c r="A87" s="12"/>
      <c r="K87">
        <f>IF(ISNA(VLOOKUP($A87,'Unit EDL'!$A:$C,3,FALSE)),0,VLOOKUP($A87,'Unit EDL'!$A:$C,3,FALSE))</f>
        <v>0</v>
      </c>
      <c r="L87" s="98">
        <f t="shared" si="4"/>
        <v>0</v>
      </c>
      <c r="M87" s="99">
        <f t="shared" si="5"/>
        <v>0</v>
      </c>
      <c r="O87" s="98">
        <f t="shared" si="6"/>
        <v>0</v>
      </c>
      <c r="P87" s="99">
        <f t="shared" si="7"/>
        <v>0</v>
      </c>
    </row>
    <row r="88" spans="1:16" x14ac:dyDescent="0.2">
      <c r="A88" s="10" t="s">
        <v>221</v>
      </c>
      <c r="B88" s="111" t="s">
        <v>144</v>
      </c>
      <c r="C88" s="8" t="s">
        <v>474</v>
      </c>
      <c r="D88" s="9" t="s">
        <v>475</v>
      </c>
      <c r="E88" s="1">
        <v>0.34200000000000003</v>
      </c>
      <c r="F88" s="1">
        <v>4.0000000000000001E-3</v>
      </c>
      <c r="G88" s="1">
        <v>1</v>
      </c>
      <c r="H88" s="1"/>
      <c r="I88" s="1"/>
      <c r="J88" s="1"/>
      <c r="K88">
        <f>IF(ISNA(VLOOKUP($A88,'Unit EDL'!$A:$C,3,FALSE)),0,VLOOKUP($A88,'Unit EDL'!$A:$C,3,FALSE))</f>
        <v>50</v>
      </c>
      <c r="L88" s="98">
        <f t="shared" si="4"/>
        <v>17.100000000000001</v>
      </c>
      <c r="M88" s="99">
        <f t="shared" si="5"/>
        <v>0.2</v>
      </c>
      <c r="O88" s="98">
        <f t="shared" si="6"/>
        <v>2.9239766081871341</v>
      </c>
      <c r="P88" s="99">
        <f t="shared" si="7"/>
        <v>250</v>
      </c>
    </row>
    <row r="89" spans="1:16" x14ac:dyDescent="0.2">
      <c r="A89" s="10" t="s">
        <v>221</v>
      </c>
      <c r="B89" s="113"/>
      <c r="C89" s="8" t="s">
        <v>476</v>
      </c>
      <c r="D89" s="9" t="s">
        <v>477</v>
      </c>
      <c r="E89" s="1">
        <v>1.0389999999999999</v>
      </c>
      <c r="F89" s="1">
        <v>1.9E-2</v>
      </c>
      <c r="G89" s="1">
        <v>3</v>
      </c>
      <c r="H89" s="1"/>
      <c r="I89" s="1"/>
      <c r="J89" s="1"/>
      <c r="K89">
        <f>IF(ISNA(VLOOKUP($A89,'Unit EDL'!$A:$C,3,FALSE)),0,VLOOKUP($A89,'Unit EDL'!$A:$C,3,FALSE))</f>
        <v>50</v>
      </c>
      <c r="L89" s="98">
        <f t="shared" si="4"/>
        <v>51.949999999999996</v>
      </c>
      <c r="M89" s="99">
        <f t="shared" si="5"/>
        <v>0.95</v>
      </c>
      <c r="O89" s="98">
        <f t="shared" si="6"/>
        <v>2.8873917228103947</v>
      </c>
      <c r="P89" s="99">
        <f t="shared" si="7"/>
        <v>157.89473684210526</v>
      </c>
    </row>
    <row r="90" spans="1:16" x14ac:dyDescent="0.2">
      <c r="A90" s="10" t="s">
        <v>221</v>
      </c>
      <c r="B90" s="112"/>
      <c r="C90" s="8" t="s">
        <v>478</v>
      </c>
      <c r="D90" s="9" t="s">
        <v>479</v>
      </c>
      <c r="E90" s="1">
        <v>0.214</v>
      </c>
      <c r="F90" s="1">
        <v>2E-3</v>
      </c>
      <c r="G90" s="1">
        <v>2</v>
      </c>
      <c r="H90" s="1"/>
      <c r="I90" s="1"/>
      <c r="J90" s="1"/>
      <c r="K90">
        <f>IF(ISNA(VLOOKUP($A90,'Unit EDL'!$A:$C,3,FALSE)),0,VLOOKUP($A90,'Unit EDL'!$A:$C,3,FALSE))</f>
        <v>50</v>
      </c>
      <c r="L90" s="98">
        <f t="shared" si="4"/>
        <v>10.7</v>
      </c>
      <c r="M90" s="99">
        <f t="shared" si="5"/>
        <v>0.1</v>
      </c>
      <c r="O90" s="98">
        <f t="shared" si="6"/>
        <v>9.3457943925233646</v>
      </c>
      <c r="P90" s="99">
        <f t="shared" si="7"/>
        <v>1000</v>
      </c>
    </row>
    <row r="91" spans="1:16" x14ac:dyDescent="0.2">
      <c r="A91" s="12"/>
      <c r="K91">
        <f>IF(ISNA(VLOOKUP($A91,'Unit EDL'!$A:$C,3,FALSE)),0,VLOOKUP($A91,'Unit EDL'!$A:$C,3,FALSE))</f>
        <v>0</v>
      </c>
      <c r="L91" s="98">
        <f t="shared" si="4"/>
        <v>0</v>
      </c>
      <c r="M91" s="99">
        <f t="shared" si="5"/>
        <v>0</v>
      </c>
      <c r="O91" s="98">
        <f t="shared" si="6"/>
        <v>0</v>
      </c>
      <c r="P91" s="99">
        <f t="shared" si="7"/>
        <v>0</v>
      </c>
    </row>
    <row r="92" spans="1:16" x14ac:dyDescent="0.2">
      <c r="A92" s="10" t="s">
        <v>153</v>
      </c>
      <c r="B92" s="111" t="s">
        <v>76</v>
      </c>
      <c r="C92" s="8" t="s">
        <v>229</v>
      </c>
      <c r="D92" s="9" t="s">
        <v>230</v>
      </c>
      <c r="E92" s="1">
        <v>140.57300000000001</v>
      </c>
      <c r="F92" s="1">
        <v>3.9470000000000001</v>
      </c>
      <c r="G92" s="1">
        <v>480</v>
      </c>
      <c r="H92" s="1">
        <v>0</v>
      </c>
      <c r="I92" s="1">
        <v>0</v>
      </c>
      <c r="J92" s="1">
        <v>480</v>
      </c>
      <c r="K92">
        <f>IF(ISNA(VLOOKUP($A92,'Unit EDL'!$A:$C,3,FALSE)),0,VLOOKUP($A92,'Unit EDL'!$A:$C,3,FALSE))</f>
        <v>333</v>
      </c>
      <c r="L92" s="98">
        <f t="shared" si="4"/>
        <v>46810.809000000001</v>
      </c>
      <c r="M92" s="99">
        <f t="shared" si="5"/>
        <v>1314.3510000000001</v>
      </c>
      <c r="O92" s="98">
        <f t="shared" si="6"/>
        <v>3.4145959750449943</v>
      </c>
      <c r="P92" s="99">
        <f t="shared" si="7"/>
        <v>121.61135039270332</v>
      </c>
    </row>
    <row r="93" spans="1:16" x14ac:dyDescent="0.2">
      <c r="A93" s="10" t="s">
        <v>153</v>
      </c>
      <c r="B93" s="113"/>
      <c r="C93" s="8" t="s">
        <v>231</v>
      </c>
      <c r="D93" s="9" t="s">
        <v>232</v>
      </c>
      <c r="E93" s="1">
        <v>19.038</v>
      </c>
      <c r="F93" s="1">
        <v>0.48599999999999999</v>
      </c>
      <c r="G93" s="1">
        <v>66</v>
      </c>
      <c r="H93" s="1">
        <v>0</v>
      </c>
      <c r="I93" s="1">
        <v>0</v>
      </c>
      <c r="J93" s="1">
        <v>66</v>
      </c>
      <c r="K93">
        <f>IF(ISNA(VLOOKUP($A93,'Unit EDL'!$A:$C,3,FALSE)),0,VLOOKUP($A93,'Unit EDL'!$A:$C,3,FALSE))</f>
        <v>333</v>
      </c>
      <c r="L93" s="98">
        <f t="shared" si="4"/>
        <v>6339.6540000000005</v>
      </c>
      <c r="M93" s="99">
        <f t="shared" si="5"/>
        <v>161.83799999999999</v>
      </c>
      <c r="O93" s="98">
        <f t="shared" si="6"/>
        <v>3.4667507091080996</v>
      </c>
      <c r="P93" s="99">
        <f t="shared" si="7"/>
        <v>135.80246913580248</v>
      </c>
    </row>
    <row r="94" spans="1:16" x14ac:dyDescent="0.2">
      <c r="A94" s="10" t="s">
        <v>153</v>
      </c>
      <c r="B94" s="112"/>
      <c r="C94" s="8" t="s">
        <v>263</v>
      </c>
      <c r="D94" s="9" t="s">
        <v>264</v>
      </c>
      <c r="E94" s="1">
        <v>0</v>
      </c>
      <c r="F94" s="1">
        <v>0</v>
      </c>
      <c r="G94" s="1">
        <v>48</v>
      </c>
      <c r="H94" s="1">
        <v>0</v>
      </c>
      <c r="I94" s="1">
        <v>0</v>
      </c>
      <c r="J94" s="1">
        <v>48</v>
      </c>
      <c r="K94">
        <f>IF(ISNA(VLOOKUP($A94,'Unit EDL'!$A:$C,3,FALSE)),0,VLOOKUP($A94,'Unit EDL'!$A:$C,3,FALSE))</f>
        <v>333</v>
      </c>
      <c r="L94" s="98">
        <f t="shared" si="4"/>
        <v>0</v>
      </c>
      <c r="M94" s="99">
        <f t="shared" si="5"/>
        <v>0</v>
      </c>
      <c r="O94" s="98">
        <f t="shared" si="6"/>
        <v>999</v>
      </c>
      <c r="P94" s="99">
        <f t="shared" si="7"/>
        <v>999</v>
      </c>
    </row>
    <row r="95" spans="1:16" x14ac:dyDescent="0.2">
      <c r="A95" s="12"/>
      <c r="K95">
        <f>IF(ISNA(VLOOKUP($A95,'Unit EDL'!$A:$C,3,FALSE)),0,VLOOKUP($A95,'Unit EDL'!$A:$C,3,FALSE))</f>
        <v>0</v>
      </c>
      <c r="L95" s="98">
        <f t="shared" si="4"/>
        <v>0</v>
      </c>
      <c r="M95" s="99">
        <f t="shared" si="5"/>
        <v>0</v>
      </c>
      <c r="O95" s="98">
        <f t="shared" si="6"/>
        <v>0</v>
      </c>
      <c r="P95" s="99">
        <f t="shared" si="7"/>
        <v>0</v>
      </c>
    </row>
    <row r="96" spans="1:16" x14ac:dyDescent="0.2">
      <c r="A96" s="10" t="s">
        <v>183</v>
      </c>
      <c r="B96" s="111" t="s">
        <v>106</v>
      </c>
      <c r="C96" s="8" t="s">
        <v>255</v>
      </c>
      <c r="D96" s="9" t="s">
        <v>256</v>
      </c>
      <c r="E96" s="1">
        <v>17.442</v>
      </c>
      <c r="F96" s="1">
        <v>6.6779999999999999</v>
      </c>
      <c r="G96" s="1">
        <v>80</v>
      </c>
      <c r="H96" s="1">
        <v>7.18</v>
      </c>
      <c r="I96" s="1">
        <v>6.3949999999999996</v>
      </c>
      <c r="J96" s="1">
        <v>80</v>
      </c>
      <c r="K96">
        <f>IF(ISNA(VLOOKUP($A96,'Unit EDL'!$A:$C,3,FALSE)),0,VLOOKUP($A96,'Unit EDL'!$A:$C,3,FALSE))</f>
        <v>32</v>
      </c>
      <c r="L96" s="98">
        <f t="shared" si="4"/>
        <v>558.14400000000001</v>
      </c>
      <c r="M96" s="99">
        <f t="shared" si="5"/>
        <v>213.696</v>
      </c>
      <c r="O96" s="98">
        <f t="shared" si="6"/>
        <v>4.5866299736268772</v>
      </c>
      <c r="P96" s="99">
        <f t="shared" si="7"/>
        <v>11.979634621144056</v>
      </c>
    </row>
    <row r="97" spans="1:16" x14ac:dyDescent="0.2">
      <c r="A97" s="10" t="s">
        <v>183</v>
      </c>
      <c r="B97" s="112"/>
      <c r="C97" s="8" t="s">
        <v>259</v>
      </c>
      <c r="D97" s="9" t="s">
        <v>260</v>
      </c>
      <c r="E97" s="1">
        <v>4.6900000000000004</v>
      </c>
      <c r="F97" s="1">
        <v>2.4220000000000002</v>
      </c>
      <c r="G97" s="1">
        <v>20</v>
      </c>
      <c r="H97" s="1">
        <v>2.3260000000000001</v>
      </c>
      <c r="I97" s="1">
        <v>2.3260000000000001</v>
      </c>
      <c r="J97" s="1">
        <v>20</v>
      </c>
      <c r="K97">
        <f>IF(ISNA(VLOOKUP($A97,'Unit EDL'!$A:$C,3,FALSE)),0,VLOOKUP($A97,'Unit EDL'!$A:$C,3,FALSE))</f>
        <v>32</v>
      </c>
      <c r="L97" s="98">
        <f t="shared" si="4"/>
        <v>150.08000000000001</v>
      </c>
      <c r="M97" s="99">
        <f t="shared" si="5"/>
        <v>77.504000000000005</v>
      </c>
      <c r="O97" s="98">
        <f t="shared" si="6"/>
        <v>4.2643923240938166</v>
      </c>
      <c r="P97" s="99">
        <f t="shared" si="7"/>
        <v>8.257638315441783</v>
      </c>
    </row>
    <row r="98" spans="1:16" x14ac:dyDescent="0.2">
      <c r="A98" s="12"/>
      <c r="K98">
        <f>IF(ISNA(VLOOKUP($A98,'Unit EDL'!$A:$C,3,FALSE)),0,VLOOKUP($A98,'Unit EDL'!$A:$C,3,FALSE))</f>
        <v>0</v>
      </c>
      <c r="L98" s="98">
        <f t="shared" si="4"/>
        <v>0</v>
      </c>
      <c r="M98" s="99">
        <f t="shared" si="5"/>
        <v>0</v>
      </c>
      <c r="O98" s="98">
        <f t="shared" si="6"/>
        <v>0</v>
      </c>
      <c r="P98" s="99">
        <f t="shared" si="7"/>
        <v>0</v>
      </c>
    </row>
    <row r="99" spans="1:16" x14ac:dyDescent="0.2">
      <c r="A99" s="10" t="s">
        <v>178</v>
      </c>
      <c r="B99" s="111" t="s">
        <v>101</v>
      </c>
      <c r="C99" s="8" t="s">
        <v>243</v>
      </c>
      <c r="D99" s="9" t="s">
        <v>244</v>
      </c>
      <c r="E99" s="1">
        <v>0</v>
      </c>
      <c r="F99" s="1">
        <v>0</v>
      </c>
      <c r="G99" s="1">
        <v>200</v>
      </c>
      <c r="H99" s="1">
        <v>0</v>
      </c>
      <c r="I99" s="1">
        <v>0</v>
      </c>
      <c r="J99" s="1">
        <v>200</v>
      </c>
      <c r="K99">
        <f>IF(ISNA(VLOOKUP($A99,'Unit EDL'!$A:$C,3,FALSE)),0,VLOOKUP($A99,'Unit EDL'!$A:$C,3,FALSE))</f>
        <v>0</v>
      </c>
      <c r="L99" s="98">
        <f t="shared" si="4"/>
        <v>0</v>
      </c>
      <c r="M99" s="99">
        <f t="shared" si="5"/>
        <v>0</v>
      </c>
      <c r="O99" s="98">
        <f t="shared" si="6"/>
        <v>0</v>
      </c>
      <c r="P99" s="99">
        <f t="shared" si="7"/>
        <v>0</v>
      </c>
    </row>
    <row r="100" spans="1:16" x14ac:dyDescent="0.2">
      <c r="A100" s="10" t="s">
        <v>178</v>
      </c>
      <c r="B100" s="112"/>
      <c r="C100" s="8" t="s">
        <v>245</v>
      </c>
      <c r="D100" s="9" t="s">
        <v>246</v>
      </c>
      <c r="E100" s="1">
        <v>200.21799999999999</v>
      </c>
      <c r="F100" s="1">
        <v>15.41</v>
      </c>
      <c r="G100" s="1">
        <v>400</v>
      </c>
      <c r="H100" s="1">
        <v>5.266</v>
      </c>
      <c r="I100" s="1">
        <v>0.371</v>
      </c>
      <c r="J100" s="1">
        <v>400</v>
      </c>
      <c r="K100">
        <f>IF(ISNA(VLOOKUP($A100,'Unit EDL'!$A:$C,3,FALSE)),0,VLOOKUP($A100,'Unit EDL'!$A:$C,3,FALSE))</f>
        <v>0</v>
      </c>
      <c r="L100" s="98">
        <f t="shared" si="4"/>
        <v>0</v>
      </c>
      <c r="M100" s="99">
        <f t="shared" si="5"/>
        <v>0</v>
      </c>
      <c r="O100" s="98">
        <f t="shared" si="6"/>
        <v>0</v>
      </c>
      <c r="P100" s="99">
        <f t="shared" si="7"/>
        <v>0</v>
      </c>
    </row>
    <row r="101" spans="1:16" x14ac:dyDescent="0.2">
      <c r="A101" s="12"/>
      <c r="K101">
        <f>IF(ISNA(VLOOKUP($A101,'Unit EDL'!$A:$C,3,FALSE)),0,VLOOKUP($A101,'Unit EDL'!$A:$C,3,FALSE))</f>
        <v>0</v>
      </c>
      <c r="L101" s="98">
        <f t="shared" si="4"/>
        <v>0</v>
      </c>
      <c r="M101" s="99">
        <f t="shared" si="5"/>
        <v>0</v>
      </c>
      <c r="O101" s="98">
        <f t="shared" si="6"/>
        <v>0</v>
      </c>
      <c r="P101" s="99">
        <f t="shared" si="7"/>
        <v>0</v>
      </c>
    </row>
    <row r="102" spans="1:16" x14ac:dyDescent="0.2">
      <c r="A102" s="6" t="s">
        <v>202</v>
      </c>
      <c r="B102" s="7" t="s">
        <v>125</v>
      </c>
      <c r="C102" s="8" t="s">
        <v>361</v>
      </c>
      <c r="D102" s="9" t="s">
        <v>362</v>
      </c>
      <c r="E102" s="1">
        <v>2.835</v>
      </c>
      <c r="F102" s="1">
        <v>2.835</v>
      </c>
      <c r="G102" s="1">
        <v>24</v>
      </c>
      <c r="H102" s="1"/>
      <c r="I102" s="1"/>
      <c r="J102" s="1"/>
      <c r="K102">
        <f>IF(ISNA(VLOOKUP($A102,'Unit EDL'!$A:$C,3,FALSE)),0,VLOOKUP($A102,'Unit EDL'!$A:$C,3,FALSE))</f>
        <v>2</v>
      </c>
      <c r="L102" s="98">
        <f t="shared" si="4"/>
        <v>5.67</v>
      </c>
      <c r="M102" s="99">
        <f t="shared" si="5"/>
        <v>5.67</v>
      </c>
      <c r="O102" s="98">
        <f t="shared" si="6"/>
        <v>8.4656084656084651</v>
      </c>
      <c r="P102" s="99">
        <f t="shared" si="7"/>
        <v>8.4656084656084651</v>
      </c>
    </row>
    <row r="103" spans="1:16" x14ac:dyDescent="0.2">
      <c r="A103" s="12"/>
      <c r="K103">
        <f>IF(ISNA(VLOOKUP($A103,'Unit EDL'!$A:$C,3,FALSE)),0,VLOOKUP($A103,'Unit EDL'!$A:$C,3,FALSE))</f>
        <v>0</v>
      </c>
      <c r="L103" s="98">
        <f t="shared" si="4"/>
        <v>0</v>
      </c>
      <c r="M103" s="99">
        <f t="shared" si="5"/>
        <v>0</v>
      </c>
      <c r="O103" s="98">
        <f t="shared" si="6"/>
        <v>0</v>
      </c>
      <c r="P103" s="99">
        <f t="shared" si="7"/>
        <v>0</v>
      </c>
    </row>
    <row r="104" spans="1:16" x14ac:dyDescent="0.2">
      <c r="A104" s="10" t="s">
        <v>158</v>
      </c>
      <c r="B104" s="111" t="s">
        <v>81</v>
      </c>
      <c r="C104" s="8" t="s">
        <v>231</v>
      </c>
      <c r="D104" s="9" t="s">
        <v>232</v>
      </c>
      <c r="E104" s="1">
        <v>0</v>
      </c>
      <c r="F104" s="1">
        <v>0</v>
      </c>
      <c r="G104" s="1">
        <v>40</v>
      </c>
      <c r="H104" s="1">
        <v>0</v>
      </c>
      <c r="I104" s="1">
        <v>0</v>
      </c>
      <c r="J104" s="1">
        <v>20</v>
      </c>
      <c r="K104">
        <f>IF(ISNA(VLOOKUP($A104,'Unit EDL'!$A:$C,3,FALSE)),0,VLOOKUP($A104,'Unit EDL'!$A:$C,3,FALSE))</f>
        <v>32</v>
      </c>
      <c r="L104" s="98">
        <f t="shared" si="4"/>
        <v>0</v>
      </c>
      <c r="M104" s="99">
        <f t="shared" si="5"/>
        <v>0</v>
      </c>
      <c r="O104" s="98">
        <f t="shared" si="6"/>
        <v>999</v>
      </c>
      <c r="P104" s="99">
        <f t="shared" si="7"/>
        <v>999</v>
      </c>
    </row>
    <row r="105" spans="1:16" x14ac:dyDescent="0.2">
      <c r="A105" s="10" t="s">
        <v>158</v>
      </c>
      <c r="B105" s="112"/>
      <c r="C105" s="8" t="s">
        <v>263</v>
      </c>
      <c r="D105" s="9" t="s">
        <v>264</v>
      </c>
      <c r="E105" s="1">
        <v>0.38500000000000001</v>
      </c>
      <c r="F105" s="1">
        <v>0.153</v>
      </c>
      <c r="G105" s="1">
        <v>350</v>
      </c>
      <c r="H105" s="1">
        <v>0</v>
      </c>
      <c r="I105" s="1">
        <v>0</v>
      </c>
      <c r="J105" s="1">
        <v>160</v>
      </c>
      <c r="K105">
        <f>IF(ISNA(VLOOKUP($A105,'Unit EDL'!$A:$C,3,FALSE)),0,VLOOKUP($A105,'Unit EDL'!$A:$C,3,FALSE))</f>
        <v>32</v>
      </c>
      <c r="L105" s="98">
        <f t="shared" si="4"/>
        <v>12.32</v>
      </c>
      <c r="M105" s="99">
        <f t="shared" si="5"/>
        <v>4.8959999999999999</v>
      </c>
      <c r="O105" s="98">
        <f t="shared" si="6"/>
        <v>909.09090909090912</v>
      </c>
      <c r="P105" s="99">
        <f t="shared" si="7"/>
        <v>2287.5816993464055</v>
      </c>
    </row>
    <row r="106" spans="1:16" x14ac:dyDescent="0.2">
      <c r="A106" s="12"/>
      <c r="K106">
        <f>IF(ISNA(VLOOKUP($A106,'Unit EDL'!$A:$C,3,FALSE)),0,VLOOKUP($A106,'Unit EDL'!$A:$C,3,FALSE))</f>
        <v>0</v>
      </c>
      <c r="L106" s="98">
        <f t="shared" si="4"/>
        <v>0</v>
      </c>
      <c r="M106" s="99">
        <f t="shared" si="5"/>
        <v>0</v>
      </c>
      <c r="O106" s="98">
        <f t="shared" si="6"/>
        <v>0</v>
      </c>
      <c r="P106" s="99">
        <f t="shared" si="7"/>
        <v>0</v>
      </c>
    </row>
    <row r="107" spans="1:16" x14ac:dyDescent="0.2">
      <c r="A107" s="10" t="s">
        <v>159</v>
      </c>
      <c r="B107" s="111" t="s">
        <v>82</v>
      </c>
      <c r="C107" s="8" t="s">
        <v>231</v>
      </c>
      <c r="D107" s="9" t="s">
        <v>232</v>
      </c>
      <c r="E107" s="1">
        <v>0</v>
      </c>
      <c r="F107" s="1">
        <v>0</v>
      </c>
      <c r="G107" s="1">
        <v>20</v>
      </c>
      <c r="H107" s="1">
        <v>3.5000000000000003E-2</v>
      </c>
      <c r="I107" s="1">
        <v>7.0000000000000001E-3</v>
      </c>
      <c r="J107" s="1">
        <v>20</v>
      </c>
      <c r="K107">
        <f>IF(ISNA(VLOOKUP($A107,'Unit EDL'!$A:$C,3,FALSE)),0,VLOOKUP($A107,'Unit EDL'!$A:$C,3,FALSE))</f>
        <v>3108</v>
      </c>
      <c r="L107" s="98">
        <f t="shared" si="4"/>
        <v>0</v>
      </c>
      <c r="M107" s="99">
        <f t="shared" si="5"/>
        <v>0</v>
      </c>
      <c r="O107" s="98">
        <f t="shared" si="6"/>
        <v>999</v>
      </c>
      <c r="P107" s="99">
        <f t="shared" si="7"/>
        <v>999</v>
      </c>
    </row>
    <row r="108" spans="1:16" x14ac:dyDescent="0.2">
      <c r="A108" s="10" t="s">
        <v>159</v>
      </c>
      <c r="B108" s="112"/>
      <c r="C108" s="8" t="s">
        <v>263</v>
      </c>
      <c r="D108" s="9" t="s">
        <v>264</v>
      </c>
      <c r="E108" s="1">
        <v>0.38100000000000001</v>
      </c>
      <c r="F108" s="1">
        <v>0.153</v>
      </c>
      <c r="G108" s="1">
        <v>160</v>
      </c>
      <c r="H108" s="1">
        <v>1.1279999999999999</v>
      </c>
      <c r="I108" s="1">
        <v>0.23100000000000001</v>
      </c>
      <c r="J108" s="1">
        <v>160</v>
      </c>
      <c r="K108">
        <f>IF(ISNA(VLOOKUP($A108,'Unit EDL'!$A:$C,3,FALSE)),0,VLOOKUP($A108,'Unit EDL'!$A:$C,3,FALSE))</f>
        <v>3108</v>
      </c>
      <c r="L108" s="98">
        <f t="shared" si="4"/>
        <v>1184.1479999999999</v>
      </c>
      <c r="M108" s="99">
        <f t="shared" si="5"/>
        <v>475.524</v>
      </c>
      <c r="O108" s="98">
        <f t="shared" si="6"/>
        <v>419.9475065616798</v>
      </c>
      <c r="P108" s="99">
        <f t="shared" si="7"/>
        <v>1045.751633986928</v>
      </c>
    </row>
    <row r="109" spans="1:16" x14ac:dyDescent="0.2">
      <c r="A109" s="12"/>
      <c r="K109">
        <f>IF(ISNA(VLOOKUP($A109,'Unit EDL'!$A:$C,3,FALSE)),0,VLOOKUP($A109,'Unit EDL'!$A:$C,3,FALSE))</f>
        <v>0</v>
      </c>
      <c r="L109" s="98">
        <f t="shared" si="4"/>
        <v>0</v>
      </c>
      <c r="M109" s="99">
        <f t="shared" si="5"/>
        <v>0</v>
      </c>
      <c r="O109" s="98">
        <f t="shared" si="6"/>
        <v>0</v>
      </c>
      <c r="P109" s="99">
        <f t="shared" si="7"/>
        <v>0</v>
      </c>
    </row>
    <row r="110" spans="1:16" x14ac:dyDescent="0.2">
      <c r="A110" s="10" t="s">
        <v>154</v>
      </c>
      <c r="B110" s="111" t="s">
        <v>77</v>
      </c>
      <c r="C110" s="8" t="s">
        <v>229</v>
      </c>
      <c r="D110" s="9" t="s">
        <v>230</v>
      </c>
      <c r="E110" s="1">
        <v>0.38500000000000001</v>
      </c>
      <c r="F110" s="1">
        <v>0.153</v>
      </c>
      <c r="G110" s="1">
        <v>300</v>
      </c>
      <c r="H110" s="1">
        <v>0</v>
      </c>
      <c r="I110" s="1">
        <v>0</v>
      </c>
      <c r="J110" s="1">
        <v>160</v>
      </c>
      <c r="K110">
        <f>IF(ISNA(VLOOKUP($A110,'Unit EDL'!$A:$C,3,FALSE)),0,VLOOKUP($A110,'Unit EDL'!$A:$C,3,FALSE))</f>
        <v>0</v>
      </c>
      <c r="L110" s="98">
        <f t="shared" si="4"/>
        <v>0</v>
      </c>
      <c r="M110" s="99">
        <f t="shared" si="5"/>
        <v>0</v>
      </c>
      <c r="O110" s="98">
        <f t="shared" si="6"/>
        <v>0</v>
      </c>
      <c r="P110" s="99">
        <f t="shared" si="7"/>
        <v>0</v>
      </c>
    </row>
    <row r="111" spans="1:16" x14ac:dyDescent="0.2">
      <c r="A111" s="10" t="s">
        <v>154</v>
      </c>
      <c r="B111" s="112"/>
      <c r="C111" s="8" t="s">
        <v>231</v>
      </c>
      <c r="D111" s="9" t="s">
        <v>232</v>
      </c>
      <c r="E111" s="1">
        <v>0</v>
      </c>
      <c r="F111" s="1">
        <v>0</v>
      </c>
      <c r="G111" s="1">
        <v>40</v>
      </c>
      <c r="H111" s="1">
        <v>0</v>
      </c>
      <c r="I111" s="1">
        <v>0</v>
      </c>
      <c r="J111" s="1">
        <v>20</v>
      </c>
      <c r="K111">
        <f>IF(ISNA(VLOOKUP($A111,'Unit EDL'!$A:$C,3,FALSE)),0,VLOOKUP($A111,'Unit EDL'!$A:$C,3,FALSE))</f>
        <v>0</v>
      </c>
      <c r="L111" s="98">
        <f t="shared" si="4"/>
        <v>0</v>
      </c>
      <c r="M111" s="99">
        <f t="shared" si="5"/>
        <v>0</v>
      </c>
      <c r="O111" s="98">
        <f t="shared" si="6"/>
        <v>0</v>
      </c>
      <c r="P111" s="99">
        <f t="shared" si="7"/>
        <v>0</v>
      </c>
    </row>
    <row r="112" spans="1:16" x14ac:dyDescent="0.2">
      <c r="A112" s="12"/>
      <c r="K112">
        <f>IF(ISNA(VLOOKUP($A112,'Unit EDL'!$A:$C,3,FALSE)),0,VLOOKUP($A112,'Unit EDL'!$A:$C,3,FALSE))</f>
        <v>0</v>
      </c>
      <c r="L112" s="98">
        <f t="shared" si="4"/>
        <v>0</v>
      </c>
      <c r="M112" s="99">
        <f t="shared" si="5"/>
        <v>0</v>
      </c>
      <c r="O112" s="98">
        <f t="shared" si="6"/>
        <v>0</v>
      </c>
      <c r="P112" s="99">
        <f t="shared" si="7"/>
        <v>0</v>
      </c>
    </row>
    <row r="113" spans="1:16" x14ac:dyDescent="0.2">
      <c r="A113" s="10" t="s">
        <v>155</v>
      </c>
      <c r="B113" s="111" t="s">
        <v>78</v>
      </c>
      <c r="C113" s="8" t="s">
        <v>229</v>
      </c>
      <c r="D113" s="9" t="s">
        <v>230</v>
      </c>
      <c r="E113" s="1">
        <v>0.38100000000000001</v>
      </c>
      <c r="F113" s="1">
        <v>0.153</v>
      </c>
      <c r="G113" s="1">
        <v>300</v>
      </c>
      <c r="H113" s="1">
        <v>1.1279999999999999</v>
      </c>
      <c r="I113" s="1">
        <v>0.23100000000000001</v>
      </c>
      <c r="J113" s="1">
        <v>160</v>
      </c>
      <c r="K113">
        <f>IF(ISNA(VLOOKUP($A113,'Unit EDL'!$A:$C,3,FALSE)),0,VLOOKUP($A113,'Unit EDL'!$A:$C,3,FALSE))</f>
        <v>0</v>
      </c>
      <c r="L113" s="98">
        <f t="shared" si="4"/>
        <v>0</v>
      </c>
      <c r="M113" s="99">
        <f t="shared" si="5"/>
        <v>0</v>
      </c>
      <c r="O113" s="98">
        <f t="shared" si="6"/>
        <v>0</v>
      </c>
      <c r="P113" s="99">
        <f t="shared" si="7"/>
        <v>0</v>
      </c>
    </row>
    <row r="114" spans="1:16" x14ac:dyDescent="0.2">
      <c r="A114" s="10" t="s">
        <v>155</v>
      </c>
      <c r="B114" s="112"/>
      <c r="C114" s="8" t="s">
        <v>231</v>
      </c>
      <c r="D114" s="9" t="s">
        <v>232</v>
      </c>
      <c r="E114" s="1">
        <v>0</v>
      </c>
      <c r="F114" s="1">
        <v>0</v>
      </c>
      <c r="G114" s="1">
        <v>40</v>
      </c>
      <c r="H114" s="1">
        <v>3.5000000000000003E-2</v>
      </c>
      <c r="I114" s="1">
        <v>7.0000000000000001E-3</v>
      </c>
      <c r="J114" s="1">
        <v>20</v>
      </c>
      <c r="K114">
        <f>IF(ISNA(VLOOKUP($A114,'Unit EDL'!$A:$C,3,FALSE)),0,VLOOKUP($A114,'Unit EDL'!$A:$C,3,FALSE))</f>
        <v>0</v>
      </c>
      <c r="L114" s="98">
        <f t="shared" si="4"/>
        <v>0</v>
      </c>
      <c r="M114" s="99">
        <f t="shared" si="5"/>
        <v>0</v>
      </c>
      <c r="O114" s="98">
        <f t="shared" si="6"/>
        <v>0</v>
      </c>
      <c r="P114" s="99">
        <f t="shared" si="7"/>
        <v>0</v>
      </c>
    </row>
    <row r="115" spans="1:16" x14ac:dyDescent="0.2">
      <c r="A115" s="12"/>
      <c r="K115">
        <f>IF(ISNA(VLOOKUP($A115,'Unit EDL'!$A:$C,3,FALSE)),0,VLOOKUP($A115,'Unit EDL'!$A:$C,3,FALSE))</f>
        <v>0</v>
      </c>
      <c r="L115" s="98">
        <f t="shared" si="4"/>
        <v>0</v>
      </c>
      <c r="M115" s="99">
        <f t="shared" si="5"/>
        <v>0</v>
      </c>
      <c r="O115" s="98">
        <f t="shared" si="6"/>
        <v>0</v>
      </c>
      <c r="P115" s="99">
        <f t="shared" si="7"/>
        <v>0</v>
      </c>
    </row>
    <row r="116" spans="1:16" x14ac:dyDescent="0.2">
      <c r="A116" s="6" t="s">
        <v>220</v>
      </c>
      <c r="B116" s="7" t="s">
        <v>143</v>
      </c>
      <c r="C116" s="8" t="s">
        <v>472</v>
      </c>
      <c r="D116" s="9" t="s">
        <v>473</v>
      </c>
      <c r="E116" s="1">
        <v>0.98499999999999999</v>
      </c>
      <c r="F116" s="1">
        <v>0.02</v>
      </c>
      <c r="G116" s="1">
        <v>3</v>
      </c>
      <c r="H116" s="1"/>
      <c r="I116" s="1"/>
      <c r="J116" s="1"/>
      <c r="K116">
        <f>IF(ISNA(VLOOKUP($A116,'Unit EDL'!$A:$C,3,FALSE)),0,VLOOKUP($A116,'Unit EDL'!$A:$C,3,FALSE))</f>
        <v>24</v>
      </c>
      <c r="L116" s="98">
        <f t="shared" si="4"/>
        <v>23.64</v>
      </c>
      <c r="M116" s="99">
        <f t="shared" si="5"/>
        <v>0.48</v>
      </c>
      <c r="O116" s="98">
        <f t="shared" si="6"/>
        <v>3.0456852791878175</v>
      </c>
      <c r="P116" s="99">
        <f t="shared" si="7"/>
        <v>150</v>
      </c>
    </row>
    <row r="117" spans="1:16" x14ac:dyDescent="0.2">
      <c r="A117" s="12"/>
      <c r="K117">
        <f>IF(ISNA(VLOOKUP($A117,'Unit EDL'!$A:$C,3,FALSE)),0,VLOOKUP($A117,'Unit EDL'!$A:$C,3,FALSE))</f>
        <v>0</v>
      </c>
      <c r="L117" s="98">
        <f t="shared" si="4"/>
        <v>0</v>
      </c>
      <c r="M117" s="99">
        <f t="shared" si="5"/>
        <v>0</v>
      </c>
      <c r="O117" s="98">
        <f t="shared" si="6"/>
        <v>0</v>
      </c>
      <c r="P117" s="99">
        <f t="shared" si="7"/>
        <v>0</v>
      </c>
    </row>
    <row r="118" spans="1:16" x14ac:dyDescent="0.2">
      <c r="A118" s="10" t="s">
        <v>198</v>
      </c>
      <c r="B118" s="111" t="s">
        <v>121</v>
      </c>
      <c r="C118" s="8" t="s">
        <v>26</v>
      </c>
      <c r="D118" s="9" t="s">
        <v>27</v>
      </c>
      <c r="E118" s="1">
        <v>1.504</v>
      </c>
      <c r="F118" s="1">
        <v>0.17699999999999999</v>
      </c>
      <c r="G118" s="1">
        <v>4.1669999999999998</v>
      </c>
      <c r="H118" s="1"/>
      <c r="I118" s="1"/>
      <c r="J118" s="1"/>
      <c r="K118">
        <f>IF(ISNA(VLOOKUP($A118,'Unit EDL'!$A:$C,3,FALSE)),0,VLOOKUP($A118,'Unit EDL'!$A:$C,3,FALSE))</f>
        <v>24</v>
      </c>
      <c r="L118" s="98">
        <f t="shared" si="4"/>
        <v>36.096000000000004</v>
      </c>
      <c r="M118" s="99">
        <f t="shared" si="5"/>
        <v>4.2479999999999993</v>
      </c>
      <c r="O118" s="98">
        <f t="shared" si="6"/>
        <v>2.7706117021276593</v>
      </c>
      <c r="P118" s="99">
        <f t="shared" si="7"/>
        <v>23.542372881355931</v>
      </c>
    </row>
    <row r="119" spans="1:16" x14ac:dyDescent="0.2">
      <c r="A119" s="10" t="s">
        <v>198</v>
      </c>
      <c r="B119" s="113"/>
      <c r="C119" s="8" t="s">
        <v>31</v>
      </c>
      <c r="D119" s="9" t="s">
        <v>32</v>
      </c>
      <c r="E119" s="1">
        <v>0.61699999999999999</v>
      </c>
      <c r="F119" s="1">
        <v>0.04</v>
      </c>
      <c r="G119" s="1">
        <v>0</v>
      </c>
      <c r="H119" s="1"/>
      <c r="I119" s="1"/>
      <c r="J119" s="1"/>
      <c r="K119">
        <f>IF(ISNA(VLOOKUP($A119,'Unit EDL'!$A:$C,3,FALSE)),0,VLOOKUP($A119,'Unit EDL'!$A:$C,3,FALSE))</f>
        <v>24</v>
      </c>
      <c r="L119" s="98">
        <f t="shared" si="4"/>
        <v>14.808</v>
      </c>
      <c r="M119" s="99">
        <f t="shared" si="5"/>
        <v>0.96</v>
      </c>
      <c r="O119" s="98">
        <f t="shared" si="6"/>
        <v>0</v>
      </c>
      <c r="P119" s="99">
        <f t="shared" si="7"/>
        <v>0</v>
      </c>
    </row>
    <row r="120" spans="1:16" x14ac:dyDescent="0.2">
      <c r="A120" s="10" t="s">
        <v>198</v>
      </c>
      <c r="B120" s="113"/>
      <c r="C120" s="8" t="s">
        <v>33</v>
      </c>
      <c r="D120" s="9" t="s">
        <v>34</v>
      </c>
      <c r="E120" s="1">
        <v>2.92</v>
      </c>
      <c r="F120" s="1">
        <v>0.54800000000000004</v>
      </c>
      <c r="G120" s="1">
        <v>0</v>
      </c>
      <c r="H120" s="1"/>
      <c r="I120" s="1"/>
      <c r="J120" s="1"/>
      <c r="K120">
        <f>IF(ISNA(VLOOKUP($A120,'Unit EDL'!$A:$C,3,FALSE)),0,VLOOKUP($A120,'Unit EDL'!$A:$C,3,FALSE))</f>
        <v>24</v>
      </c>
      <c r="L120" s="98">
        <f t="shared" si="4"/>
        <v>70.08</v>
      </c>
      <c r="M120" s="99">
        <f t="shared" si="5"/>
        <v>13.152000000000001</v>
      </c>
      <c r="O120" s="98">
        <f t="shared" si="6"/>
        <v>0</v>
      </c>
      <c r="P120" s="99">
        <f t="shared" si="7"/>
        <v>0</v>
      </c>
    </row>
    <row r="121" spans="1:16" x14ac:dyDescent="0.2">
      <c r="A121" s="10" t="s">
        <v>198</v>
      </c>
      <c r="B121" s="113"/>
      <c r="C121" s="8" t="s">
        <v>35</v>
      </c>
      <c r="D121" s="9" t="s">
        <v>36</v>
      </c>
      <c r="E121" s="1">
        <v>1.5429999999999999</v>
      </c>
      <c r="F121" s="1">
        <v>0.157</v>
      </c>
      <c r="G121" s="1">
        <v>0</v>
      </c>
      <c r="H121" s="1"/>
      <c r="I121" s="1"/>
      <c r="J121" s="1"/>
      <c r="K121">
        <f>IF(ISNA(VLOOKUP($A121,'Unit EDL'!$A:$C,3,FALSE)),0,VLOOKUP($A121,'Unit EDL'!$A:$C,3,FALSE))</f>
        <v>24</v>
      </c>
      <c r="L121" s="98">
        <f t="shared" si="4"/>
        <v>37.031999999999996</v>
      </c>
      <c r="M121" s="99">
        <f t="shared" si="5"/>
        <v>3.7679999999999998</v>
      </c>
      <c r="O121" s="98">
        <f t="shared" si="6"/>
        <v>0</v>
      </c>
      <c r="P121" s="99">
        <f t="shared" si="7"/>
        <v>0</v>
      </c>
    </row>
    <row r="122" spans="1:16" x14ac:dyDescent="0.2">
      <c r="A122" s="10" t="s">
        <v>198</v>
      </c>
      <c r="B122" s="113"/>
      <c r="C122" s="8" t="s">
        <v>37</v>
      </c>
      <c r="D122" s="9" t="s">
        <v>38</v>
      </c>
      <c r="E122" s="1">
        <v>0.78500000000000003</v>
      </c>
      <c r="F122" s="1">
        <v>5.5E-2</v>
      </c>
      <c r="G122" s="1">
        <v>5</v>
      </c>
      <c r="H122" s="1"/>
      <c r="I122" s="1"/>
      <c r="J122" s="1"/>
      <c r="K122">
        <f>IF(ISNA(VLOOKUP($A122,'Unit EDL'!$A:$C,3,FALSE)),0,VLOOKUP($A122,'Unit EDL'!$A:$C,3,FALSE))</f>
        <v>24</v>
      </c>
      <c r="L122" s="98">
        <f t="shared" si="4"/>
        <v>18.84</v>
      </c>
      <c r="M122" s="99">
        <f t="shared" si="5"/>
        <v>1.32</v>
      </c>
      <c r="O122" s="98">
        <f t="shared" si="6"/>
        <v>6.3694267515923562</v>
      </c>
      <c r="P122" s="99">
        <f t="shared" si="7"/>
        <v>90.909090909090907</v>
      </c>
    </row>
    <row r="123" spans="1:16" x14ac:dyDescent="0.2">
      <c r="A123" s="10" t="s">
        <v>198</v>
      </c>
      <c r="B123" s="113"/>
      <c r="C123" s="8" t="s">
        <v>39</v>
      </c>
      <c r="D123" s="9" t="s">
        <v>40</v>
      </c>
      <c r="E123" s="1">
        <v>0.46300000000000002</v>
      </c>
      <c r="F123" s="1">
        <v>0.03</v>
      </c>
      <c r="G123" s="1">
        <v>0</v>
      </c>
      <c r="H123" s="1"/>
      <c r="I123" s="1"/>
      <c r="J123" s="1"/>
      <c r="K123">
        <f>IF(ISNA(VLOOKUP($A123,'Unit EDL'!$A:$C,3,FALSE)),0,VLOOKUP($A123,'Unit EDL'!$A:$C,3,FALSE))</f>
        <v>24</v>
      </c>
      <c r="L123" s="98">
        <f t="shared" si="4"/>
        <v>11.112</v>
      </c>
      <c r="M123" s="99">
        <f t="shared" si="5"/>
        <v>0.72</v>
      </c>
      <c r="O123" s="98">
        <f t="shared" si="6"/>
        <v>0</v>
      </c>
      <c r="P123" s="99">
        <f t="shared" si="7"/>
        <v>0</v>
      </c>
    </row>
    <row r="124" spans="1:16" x14ac:dyDescent="0.2">
      <c r="A124" s="10" t="s">
        <v>198</v>
      </c>
      <c r="B124" s="113"/>
      <c r="C124" s="8" t="s">
        <v>41</v>
      </c>
      <c r="D124" s="9" t="s">
        <v>42</v>
      </c>
      <c r="E124" s="1">
        <v>0.83899999999999997</v>
      </c>
      <c r="F124" s="1">
        <v>5.8999999999999997E-2</v>
      </c>
      <c r="G124" s="1">
        <v>6.67</v>
      </c>
      <c r="H124" s="1"/>
      <c r="I124" s="1"/>
      <c r="J124" s="1"/>
      <c r="K124">
        <f>IF(ISNA(VLOOKUP($A124,'Unit EDL'!$A:$C,3,FALSE)),0,VLOOKUP($A124,'Unit EDL'!$A:$C,3,FALSE))</f>
        <v>24</v>
      </c>
      <c r="L124" s="98">
        <f t="shared" si="4"/>
        <v>20.135999999999999</v>
      </c>
      <c r="M124" s="99">
        <f t="shared" si="5"/>
        <v>1.4159999999999999</v>
      </c>
      <c r="O124" s="98">
        <f t="shared" si="6"/>
        <v>7.9499404052443383</v>
      </c>
      <c r="P124" s="99">
        <f t="shared" si="7"/>
        <v>113.05084745762713</v>
      </c>
    </row>
    <row r="125" spans="1:16" x14ac:dyDescent="0.2">
      <c r="A125" s="10" t="s">
        <v>198</v>
      </c>
      <c r="B125" s="113"/>
      <c r="C125" s="8" t="s">
        <v>45</v>
      </c>
      <c r="D125" s="9" t="s">
        <v>46</v>
      </c>
      <c r="E125" s="1">
        <v>0.71299999999999997</v>
      </c>
      <c r="F125" s="1">
        <v>0.05</v>
      </c>
      <c r="G125" s="1">
        <v>4</v>
      </c>
      <c r="H125" s="1"/>
      <c r="I125" s="1"/>
      <c r="J125" s="1"/>
      <c r="K125">
        <f>IF(ISNA(VLOOKUP($A125,'Unit EDL'!$A:$C,3,FALSE)),0,VLOOKUP($A125,'Unit EDL'!$A:$C,3,FALSE))</f>
        <v>24</v>
      </c>
      <c r="L125" s="98">
        <f t="shared" si="4"/>
        <v>17.111999999999998</v>
      </c>
      <c r="M125" s="99">
        <f t="shared" si="5"/>
        <v>1.2000000000000002</v>
      </c>
      <c r="O125" s="98">
        <f t="shared" si="6"/>
        <v>5.6100981767180924</v>
      </c>
      <c r="P125" s="99">
        <f t="shared" si="7"/>
        <v>80</v>
      </c>
    </row>
    <row r="126" spans="1:16" x14ac:dyDescent="0.2">
      <c r="A126" s="10" t="s">
        <v>198</v>
      </c>
      <c r="B126" s="113"/>
      <c r="C126" s="8" t="s">
        <v>47</v>
      </c>
      <c r="D126" s="9" t="s">
        <v>48</v>
      </c>
      <c r="E126" s="1">
        <v>1.276</v>
      </c>
      <c r="F126" s="1">
        <v>0.29599999999999999</v>
      </c>
      <c r="G126" s="1">
        <v>2.67</v>
      </c>
      <c r="H126" s="1"/>
      <c r="I126" s="1"/>
      <c r="J126" s="1"/>
      <c r="K126">
        <f>IF(ISNA(VLOOKUP($A126,'Unit EDL'!$A:$C,3,FALSE)),0,VLOOKUP($A126,'Unit EDL'!$A:$C,3,FALSE))</f>
        <v>24</v>
      </c>
      <c r="L126" s="98">
        <f t="shared" si="4"/>
        <v>30.624000000000002</v>
      </c>
      <c r="M126" s="99">
        <f t="shared" si="5"/>
        <v>7.1039999999999992</v>
      </c>
      <c r="O126" s="98">
        <f t="shared" si="6"/>
        <v>2.092476489028213</v>
      </c>
      <c r="P126" s="99">
        <f t="shared" si="7"/>
        <v>9.0202702702702702</v>
      </c>
    </row>
    <row r="127" spans="1:16" x14ac:dyDescent="0.2">
      <c r="A127" s="10" t="s">
        <v>198</v>
      </c>
      <c r="B127" s="113"/>
      <c r="C127" s="8" t="s">
        <v>7</v>
      </c>
      <c r="D127" s="9" t="s">
        <v>8</v>
      </c>
      <c r="E127" s="1">
        <v>52.41</v>
      </c>
      <c r="F127" s="1">
        <v>3.9380000000000002</v>
      </c>
      <c r="G127" s="1">
        <v>124</v>
      </c>
      <c r="H127" s="1"/>
      <c r="I127" s="1"/>
      <c r="J127" s="1"/>
      <c r="K127">
        <f>IF(ISNA(VLOOKUP($A127,'Unit EDL'!$A:$C,3,FALSE)),0,VLOOKUP($A127,'Unit EDL'!$A:$C,3,FALSE))</f>
        <v>24</v>
      </c>
      <c r="L127" s="98">
        <f t="shared" si="4"/>
        <v>1257.8399999999999</v>
      </c>
      <c r="M127" s="99">
        <f t="shared" si="5"/>
        <v>94.512</v>
      </c>
      <c r="O127" s="98">
        <f t="shared" si="6"/>
        <v>2.3659606945239458</v>
      </c>
      <c r="P127" s="99">
        <f t="shared" si="7"/>
        <v>31.488065007618079</v>
      </c>
    </row>
    <row r="128" spans="1:16" x14ac:dyDescent="0.2">
      <c r="A128" s="10" t="s">
        <v>198</v>
      </c>
      <c r="B128" s="113"/>
      <c r="C128" s="8" t="s">
        <v>9</v>
      </c>
      <c r="D128" s="9" t="s">
        <v>10</v>
      </c>
      <c r="E128" s="1">
        <v>111.188</v>
      </c>
      <c r="F128" s="1">
        <v>9.4670000000000005</v>
      </c>
      <c r="G128" s="1">
        <v>264.33300000000003</v>
      </c>
      <c r="H128" s="1"/>
      <c r="I128" s="1"/>
      <c r="J128" s="1"/>
      <c r="K128">
        <f>IF(ISNA(VLOOKUP($A128,'Unit EDL'!$A:$C,3,FALSE)),0,VLOOKUP($A128,'Unit EDL'!$A:$C,3,FALSE))</f>
        <v>24</v>
      </c>
      <c r="L128" s="98">
        <f t="shared" si="4"/>
        <v>2668.5120000000002</v>
      </c>
      <c r="M128" s="99">
        <f t="shared" si="5"/>
        <v>227.20800000000003</v>
      </c>
      <c r="O128" s="98">
        <f t="shared" si="6"/>
        <v>2.3773518725042271</v>
      </c>
      <c r="P128" s="99">
        <f t="shared" si="7"/>
        <v>27.921516847998312</v>
      </c>
    </row>
    <row r="129" spans="1:16" x14ac:dyDescent="0.2">
      <c r="A129" s="10" t="s">
        <v>198</v>
      </c>
      <c r="B129" s="113"/>
      <c r="C129" s="8" t="s">
        <v>51</v>
      </c>
      <c r="D129" s="9" t="s">
        <v>52</v>
      </c>
      <c r="E129" s="1">
        <v>0.26400000000000001</v>
      </c>
      <c r="F129" s="1">
        <v>1.9E-2</v>
      </c>
      <c r="G129" s="1">
        <v>1.67</v>
      </c>
      <c r="H129" s="1"/>
      <c r="I129" s="1"/>
      <c r="J129" s="1"/>
      <c r="K129">
        <f>IF(ISNA(VLOOKUP($A129,'Unit EDL'!$A:$C,3,FALSE)),0,VLOOKUP($A129,'Unit EDL'!$A:$C,3,FALSE))</f>
        <v>24</v>
      </c>
      <c r="L129" s="98">
        <f t="shared" si="4"/>
        <v>6.3360000000000003</v>
      </c>
      <c r="M129" s="99">
        <f t="shared" si="5"/>
        <v>0.45599999999999996</v>
      </c>
      <c r="O129" s="98">
        <f t="shared" si="6"/>
        <v>6.3257575757575752</v>
      </c>
      <c r="P129" s="99">
        <f t="shared" si="7"/>
        <v>87.89473684210526</v>
      </c>
    </row>
    <row r="130" spans="1:16" x14ac:dyDescent="0.2">
      <c r="A130" s="10" t="s">
        <v>198</v>
      </c>
      <c r="B130" s="113"/>
      <c r="C130" s="8" t="s">
        <v>43</v>
      </c>
      <c r="D130" s="9" t="s">
        <v>44</v>
      </c>
      <c r="E130" s="1">
        <v>28.614999999999998</v>
      </c>
      <c r="F130" s="1">
        <v>1.2789999999999999</v>
      </c>
      <c r="G130" s="1">
        <v>68</v>
      </c>
      <c r="H130" s="1"/>
      <c r="I130" s="1"/>
      <c r="J130" s="1"/>
      <c r="K130">
        <f>IF(ISNA(VLOOKUP($A130,'Unit EDL'!$A:$C,3,FALSE)),0,VLOOKUP($A130,'Unit EDL'!$A:$C,3,FALSE))</f>
        <v>24</v>
      </c>
      <c r="L130" s="98">
        <f t="shared" si="4"/>
        <v>686.76</v>
      </c>
      <c r="M130" s="99">
        <f t="shared" si="5"/>
        <v>30.695999999999998</v>
      </c>
      <c r="O130" s="98">
        <f t="shared" si="6"/>
        <v>2.3763760265594969</v>
      </c>
      <c r="P130" s="99">
        <f t="shared" si="7"/>
        <v>53.166536356528539</v>
      </c>
    </row>
    <row r="131" spans="1:16" x14ac:dyDescent="0.2">
      <c r="A131" s="10" t="s">
        <v>198</v>
      </c>
      <c r="B131" s="113"/>
      <c r="C131" s="8" t="s">
        <v>49</v>
      </c>
      <c r="D131" s="9" t="s">
        <v>50</v>
      </c>
      <c r="E131" s="1">
        <v>0.499</v>
      </c>
      <c r="F131" s="1">
        <v>8.0000000000000002E-3</v>
      </c>
      <c r="G131" s="1">
        <v>0</v>
      </c>
      <c r="H131" s="1"/>
      <c r="I131" s="1"/>
      <c r="J131" s="1"/>
      <c r="K131">
        <f>IF(ISNA(VLOOKUP($A131,'Unit EDL'!$A:$C,3,FALSE)),0,VLOOKUP($A131,'Unit EDL'!$A:$C,3,FALSE))</f>
        <v>24</v>
      </c>
      <c r="L131" s="98">
        <f t="shared" si="4"/>
        <v>11.975999999999999</v>
      </c>
      <c r="M131" s="99">
        <f t="shared" si="5"/>
        <v>0.192</v>
      </c>
      <c r="O131" s="98">
        <f t="shared" si="6"/>
        <v>0</v>
      </c>
      <c r="P131" s="99">
        <f t="shared" si="7"/>
        <v>0</v>
      </c>
    </row>
    <row r="132" spans="1:16" x14ac:dyDescent="0.2">
      <c r="A132" s="10" t="s">
        <v>198</v>
      </c>
      <c r="B132" s="113"/>
      <c r="C132" s="8" t="s">
        <v>53</v>
      </c>
      <c r="D132" s="9" t="s">
        <v>54</v>
      </c>
      <c r="E132" s="1">
        <v>11.571</v>
      </c>
      <c r="F132" s="1">
        <v>1.359</v>
      </c>
      <c r="G132" s="1">
        <v>32</v>
      </c>
      <c r="H132" s="1"/>
      <c r="I132" s="1"/>
      <c r="J132" s="1"/>
      <c r="K132">
        <f>IF(ISNA(VLOOKUP($A132,'Unit EDL'!$A:$C,3,FALSE)),0,VLOOKUP($A132,'Unit EDL'!$A:$C,3,FALSE))</f>
        <v>24</v>
      </c>
      <c r="L132" s="98">
        <f t="shared" si="4"/>
        <v>277.70400000000001</v>
      </c>
      <c r="M132" s="99">
        <f t="shared" si="5"/>
        <v>32.616</v>
      </c>
      <c r="O132" s="98">
        <f t="shared" si="6"/>
        <v>2.7655345259700979</v>
      </c>
      <c r="P132" s="99">
        <f t="shared" si="7"/>
        <v>23.546725533480501</v>
      </c>
    </row>
    <row r="133" spans="1:16" x14ac:dyDescent="0.2">
      <c r="A133" s="10" t="s">
        <v>198</v>
      </c>
      <c r="B133" s="113"/>
      <c r="C133" s="8" t="s">
        <v>16</v>
      </c>
      <c r="D133" s="9" t="s">
        <v>18</v>
      </c>
      <c r="E133" s="1">
        <v>14.772</v>
      </c>
      <c r="F133" s="1">
        <v>0.76100000000000001</v>
      </c>
      <c r="G133" s="1">
        <v>36</v>
      </c>
      <c r="H133" s="1"/>
      <c r="I133" s="1"/>
      <c r="J133" s="1"/>
      <c r="K133">
        <f>IF(ISNA(VLOOKUP($A133,'Unit EDL'!$A:$C,3,FALSE)),0,VLOOKUP($A133,'Unit EDL'!$A:$C,3,FALSE))</f>
        <v>24</v>
      </c>
      <c r="L133" s="98">
        <f t="shared" si="4"/>
        <v>354.52800000000002</v>
      </c>
      <c r="M133" s="99">
        <f t="shared" si="5"/>
        <v>18.263999999999999</v>
      </c>
      <c r="O133" s="98">
        <f t="shared" si="6"/>
        <v>2.4370430544272947</v>
      </c>
      <c r="P133" s="99">
        <f t="shared" si="7"/>
        <v>47.306176084099867</v>
      </c>
    </row>
    <row r="134" spans="1:16" x14ac:dyDescent="0.2">
      <c r="A134" s="10" t="s">
        <v>198</v>
      </c>
      <c r="B134" s="113"/>
      <c r="C134" s="8" t="s">
        <v>11</v>
      </c>
      <c r="D134" s="9" t="s">
        <v>12</v>
      </c>
      <c r="E134" s="1">
        <v>50.707000000000001</v>
      </c>
      <c r="F134" s="1">
        <v>4.0110000000000001</v>
      </c>
      <c r="G134" s="1">
        <v>120</v>
      </c>
      <c r="H134" s="1"/>
      <c r="I134" s="1"/>
      <c r="J134" s="1"/>
      <c r="K134">
        <f>IF(ISNA(VLOOKUP($A134,'Unit EDL'!$A:$C,3,FALSE)),0,VLOOKUP($A134,'Unit EDL'!$A:$C,3,FALSE))</f>
        <v>24</v>
      </c>
      <c r="L134" s="98">
        <f t="shared" si="4"/>
        <v>1216.9680000000001</v>
      </c>
      <c r="M134" s="99">
        <f t="shared" si="5"/>
        <v>96.26400000000001</v>
      </c>
      <c r="O134" s="98">
        <f t="shared" si="6"/>
        <v>2.366537164494054</v>
      </c>
      <c r="P134" s="99">
        <f t="shared" si="7"/>
        <v>29.917726252804787</v>
      </c>
    </row>
    <row r="135" spans="1:16" x14ac:dyDescent="0.2">
      <c r="A135" s="10" t="s">
        <v>198</v>
      </c>
      <c r="B135" s="113"/>
      <c r="C135" s="8" t="s">
        <v>17</v>
      </c>
      <c r="D135" s="9" t="s">
        <v>19</v>
      </c>
      <c r="E135" s="1">
        <v>0.83</v>
      </c>
      <c r="F135" s="1">
        <v>3.6999999999999998E-2</v>
      </c>
      <c r="G135" s="1">
        <v>2</v>
      </c>
      <c r="H135" s="1"/>
      <c r="I135" s="1"/>
      <c r="J135" s="1"/>
      <c r="K135">
        <f>IF(ISNA(VLOOKUP($A135,'Unit EDL'!$A:$C,3,FALSE)),0,VLOOKUP($A135,'Unit EDL'!$A:$C,3,FALSE))</f>
        <v>24</v>
      </c>
      <c r="L135" s="98">
        <f t="shared" si="4"/>
        <v>19.919999999999998</v>
      </c>
      <c r="M135" s="99">
        <f t="shared" si="5"/>
        <v>0.8879999999999999</v>
      </c>
      <c r="O135" s="98">
        <f t="shared" si="6"/>
        <v>2.4096385542168677</v>
      </c>
      <c r="P135" s="99">
        <f t="shared" si="7"/>
        <v>54.054054054054056</v>
      </c>
    </row>
    <row r="136" spans="1:16" x14ac:dyDescent="0.2">
      <c r="A136" s="10" t="s">
        <v>198</v>
      </c>
      <c r="B136" s="113"/>
      <c r="C136" s="8" t="s">
        <v>20</v>
      </c>
      <c r="D136" s="9" t="s">
        <v>21</v>
      </c>
      <c r="E136" s="1">
        <v>7.7830000000000004</v>
      </c>
      <c r="F136" s="1">
        <v>0.34799999999999998</v>
      </c>
      <c r="G136" s="1">
        <v>18.5</v>
      </c>
      <c r="H136" s="1"/>
      <c r="I136" s="1"/>
      <c r="J136" s="1"/>
      <c r="K136">
        <f>IF(ISNA(VLOOKUP($A136,'Unit EDL'!$A:$C,3,FALSE)),0,VLOOKUP($A136,'Unit EDL'!$A:$C,3,FALSE))</f>
        <v>24</v>
      </c>
      <c r="L136" s="98">
        <f t="shared" ref="L136:L199" si="8">K136*E136</f>
        <v>186.792</v>
      </c>
      <c r="M136" s="99">
        <f t="shared" ref="M136:M199" si="9">K136*F136</f>
        <v>8.3520000000000003</v>
      </c>
      <c r="O136" s="98">
        <f t="shared" si="6"/>
        <v>2.3769754593344468</v>
      </c>
      <c r="P136" s="99">
        <f t="shared" si="7"/>
        <v>53.160919540229891</v>
      </c>
    </row>
    <row r="137" spans="1:16" x14ac:dyDescent="0.2">
      <c r="A137" s="10" t="s">
        <v>198</v>
      </c>
      <c r="B137" s="113"/>
      <c r="C137" s="8" t="s">
        <v>22</v>
      </c>
      <c r="D137" s="9" t="s">
        <v>23</v>
      </c>
      <c r="E137" s="1">
        <v>3.64</v>
      </c>
      <c r="F137" s="1">
        <v>0.26300000000000001</v>
      </c>
      <c r="G137" s="1">
        <v>9.5</v>
      </c>
      <c r="H137" s="1"/>
      <c r="I137" s="1"/>
      <c r="J137" s="1"/>
      <c r="K137">
        <f>IF(ISNA(VLOOKUP($A137,'Unit EDL'!$A:$C,3,FALSE)),0,VLOOKUP($A137,'Unit EDL'!$A:$C,3,FALSE))</f>
        <v>24</v>
      </c>
      <c r="L137" s="98">
        <f t="shared" si="8"/>
        <v>87.36</v>
      </c>
      <c r="M137" s="99">
        <f t="shared" si="9"/>
        <v>6.3120000000000003</v>
      </c>
      <c r="O137" s="98">
        <f t="shared" ref="O137:O200" si="10">IF($K137=0,0,IF(E137=0,999,$G137/E137))</f>
        <v>2.6098901098901099</v>
      </c>
      <c r="P137" s="99">
        <f t="shared" ref="P137:P200" si="11">IF($K137=0,0,IF(F137=0,999,$G137/F137))</f>
        <v>36.121673003802279</v>
      </c>
    </row>
    <row r="138" spans="1:16" x14ac:dyDescent="0.2">
      <c r="A138" s="10" t="s">
        <v>198</v>
      </c>
      <c r="B138" s="113"/>
      <c r="C138" s="8" t="s">
        <v>13</v>
      </c>
      <c r="D138" s="9" t="s">
        <v>14</v>
      </c>
      <c r="E138" s="1">
        <v>19.439</v>
      </c>
      <c r="F138" s="1">
        <v>2.3479999999999999</v>
      </c>
      <c r="G138" s="1">
        <v>45.332999999999998</v>
      </c>
      <c r="H138" s="1"/>
      <c r="I138" s="1"/>
      <c r="J138" s="1"/>
      <c r="K138">
        <f>IF(ISNA(VLOOKUP($A138,'Unit EDL'!$A:$C,3,FALSE)),0,VLOOKUP($A138,'Unit EDL'!$A:$C,3,FALSE))</f>
        <v>24</v>
      </c>
      <c r="L138" s="98">
        <f t="shared" si="8"/>
        <v>466.536</v>
      </c>
      <c r="M138" s="99">
        <f t="shared" si="9"/>
        <v>56.351999999999997</v>
      </c>
      <c r="O138" s="98">
        <f t="shared" si="10"/>
        <v>2.3320644066052778</v>
      </c>
      <c r="P138" s="99">
        <f t="shared" si="11"/>
        <v>19.307069846678026</v>
      </c>
    </row>
    <row r="139" spans="1:16" x14ac:dyDescent="0.2">
      <c r="A139" s="10" t="s">
        <v>198</v>
      </c>
      <c r="B139" s="112"/>
      <c r="C139" s="8" t="s">
        <v>24</v>
      </c>
      <c r="D139" s="9" t="s">
        <v>25</v>
      </c>
      <c r="E139" s="1">
        <v>3.7440000000000002</v>
      </c>
      <c r="F139" s="1">
        <v>0.247</v>
      </c>
      <c r="G139" s="1">
        <v>8.8330000000000002</v>
      </c>
      <c r="H139" s="1"/>
      <c r="I139" s="1"/>
      <c r="J139" s="1"/>
      <c r="K139">
        <f>IF(ISNA(VLOOKUP($A139,'Unit EDL'!$A:$C,3,FALSE)),0,VLOOKUP($A139,'Unit EDL'!$A:$C,3,FALSE))</f>
        <v>24</v>
      </c>
      <c r="L139" s="98">
        <f t="shared" si="8"/>
        <v>89.856000000000009</v>
      </c>
      <c r="M139" s="99">
        <f t="shared" si="9"/>
        <v>5.9279999999999999</v>
      </c>
      <c r="O139" s="98">
        <f t="shared" si="10"/>
        <v>2.3592414529914527</v>
      </c>
      <c r="P139" s="99">
        <f t="shared" si="11"/>
        <v>35.761133603238868</v>
      </c>
    </row>
    <row r="140" spans="1:16" x14ac:dyDescent="0.2">
      <c r="A140" s="12"/>
      <c r="K140">
        <f>IF(ISNA(VLOOKUP($A140,'Unit EDL'!$A:$C,3,FALSE)),0,VLOOKUP($A140,'Unit EDL'!$A:$C,3,FALSE))</f>
        <v>0</v>
      </c>
      <c r="L140" s="98">
        <f t="shared" si="8"/>
        <v>0</v>
      </c>
      <c r="M140" s="99">
        <f t="shared" si="9"/>
        <v>0</v>
      </c>
      <c r="O140" s="98">
        <f t="shared" si="10"/>
        <v>0</v>
      </c>
      <c r="P140" s="99">
        <f t="shared" si="11"/>
        <v>0</v>
      </c>
    </row>
    <row r="141" spans="1:16" x14ac:dyDescent="0.2">
      <c r="A141" s="10" t="s">
        <v>165</v>
      </c>
      <c r="B141" s="111" t="s">
        <v>88</v>
      </c>
      <c r="C141" s="8" t="s">
        <v>237</v>
      </c>
      <c r="D141" s="9" t="s">
        <v>238</v>
      </c>
      <c r="E141" s="1">
        <v>0.95099999999999996</v>
      </c>
      <c r="F141" s="1">
        <v>0.38400000000000001</v>
      </c>
      <c r="G141" s="1">
        <v>1000</v>
      </c>
      <c r="H141" s="1"/>
      <c r="I141" s="1"/>
      <c r="J141" s="1"/>
      <c r="K141">
        <f>IF(ISNA(VLOOKUP($A141,'Unit EDL'!$A:$C,3,FALSE)),0,VLOOKUP($A141,'Unit EDL'!$A:$C,3,FALSE))</f>
        <v>4</v>
      </c>
      <c r="L141" s="98">
        <f t="shared" si="8"/>
        <v>3.8039999999999998</v>
      </c>
      <c r="M141" s="99">
        <f t="shared" si="9"/>
        <v>1.536</v>
      </c>
      <c r="O141" s="98">
        <f t="shared" si="10"/>
        <v>1051.5247108307046</v>
      </c>
      <c r="P141" s="99">
        <f t="shared" si="11"/>
        <v>2604.1666666666665</v>
      </c>
    </row>
    <row r="142" spans="1:16" x14ac:dyDescent="0.2">
      <c r="A142" s="10" t="s">
        <v>165</v>
      </c>
      <c r="B142" s="113"/>
      <c r="C142" s="8" t="s">
        <v>343</v>
      </c>
      <c r="D142" s="9" t="s">
        <v>344</v>
      </c>
      <c r="E142" s="1">
        <v>0</v>
      </c>
      <c r="F142" s="1">
        <v>0</v>
      </c>
      <c r="G142" s="1">
        <v>4</v>
      </c>
      <c r="H142" s="1"/>
      <c r="I142" s="1"/>
      <c r="J142" s="1"/>
      <c r="K142">
        <f>IF(ISNA(VLOOKUP($A142,'Unit EDL'!$A:$C,3,FALSE)),0,VLOOKUP($A142,'Unit EDL'!$A:$C,3,FALSE))</f>
        <v>4</v>
      </c>
      <c r="L142" s="98">
        <f t="shared" si="8"/>
        <v>0</v>
      </c>
      <c r="M142" s="99">
        <f t="shared" si="9"/>
        <v>0</v>
      </c>
      <c r="O142" s="98">
        <f t="shared" si="10"/>
        <v>999</v>
      </c>
      <c r="P142" s="99">
        <f t="shared" si="11"/>
        <v>999</v>
      </c>
    </row>
    <row r="143" spans="1:16" x14ac:dyDescent="0.2">
      <c r="A143" s="10" t="s">
        <v>165</v>
      </c>
      <c r="B143" s="113"/>
      <c r="C143" s="8" t="s">
        <v>380</v>
      </c>
      <c r="D143" s="9" t="s">
        <v>381</v>
      </c>
      <c r="E143" s="1">
        <v>0</v>
      </c>
      <c r="F143" s="1">
        <v>0</v>
      </c>
      <c r="G143" s="1">
        <v>1</v>
      </c>
      <c r="H143" s="1"/>
      <c r="I143" s="1"/>
      <c r="J143" s="1"/>
      <c r="K143">
        <f>IF(ISNA(VLOOKUP($A143,'Unit EDL'!$A:$C,3,FALSE)),0,VLOOKUP($A143,'Unit EDL'!$A:$C,3,FALSE))</f>
        <v>4</v>
      </c>
      <c r="L143" s="98">
        <f t="shared" si="8"/>
        <v>0</v>
      </c>
      <c r="M143" s="99">
        <f t="shared" si="9"/>
        <v>0</v>
      </c>
      <c r="O143" s="98">
        <f t="shared" si="10"/>
        <v>999</v>
      </c>
      <c r="P143" s="99">
        <f t="shared" si="11"/>
        <v>999</v>
      </c>
    </row>
    <row r="144" spans="1:16" x14ac:dyDescent="0.2">
      <c r="A144" s="10" t="s">
        <v>165</v>
      </c>
      <c r="B144" s="112"/>
      <c r="C144" s="8" t="s">
        <v>382</v>
      </c>
      <c r="D144" s="9" t="s">
        <v>383</v>
      </c>
      <c r="E144" s="1">
        <v>0</v>
      </c>
      <c r="F144" s="1">
        <v>0</v>
      </c>
      <c r="G144" s="1">
        <v>1</v>
      </c>
      <c r="H144" s="1"/>
      <c r="I144" s="1"/>
      <c r="J144" s="1"/>
      <c r="K144">
        <f>IF(ISNA(VLOOKUP($A144,'Unit EDL'!$A:$C,3,FALSE)),0,VLOOKUP($A144,'Unit EDL'!$A:$C,3,FALSE))</f>
        <v>4</v>
      </c>
      <c r="L144" s="98">
        <f t="shared" si="8"/>
        <v>0</v>
      </c>
      <c r="M144" s="99">
        <f t="shared" si="9"/>
        <v>0</v>
      </c>
      <c r="O144" s="98">
        <f t="shared" si="10"/>
        <v>999</v>
      </c>
      <c r="P144" s="99">
        <f t="shared" si="11"/>
        <v>999</v>
      </c>
    </row>
    <row r="145" spans="1:16" x14ac:dyDescent="0.2">
      <c r="A145" s="12"/>
      <c r="K145">
        <f>IF(ISNA(VLOOKUP($A145,'Unit EDL'!$A:$C,3,FALSE)),0,VLOOKUP($A145,'Unit EDL'!$A:$C,3,FALSE))</f>
        <v>0</v>
      </c>
      <c r="L145" s="98">
        <f t="shared" si="8"/>
        <v>0</v>
      </c>
      <c r="M145" s="99">
        <f t="shared" si="9"/>
        <v>0</v>
      </c>
      <c r="O145" s="98">
        <f t="shared" si="10"/>
        <v>0</v>
      </c>
      <c r="P145" s="99">
        <f t="shared" si="11"/>
        <v>0</v>
      </c>
    </row>
    <row r="146" spans="1:16" x14ac:dyDescent="0.2">
      <c r="A146" s="10" t="s">
        <v>179</v>
      </c>
      <c r="B146" s="111" t="s">
        <v>102</v>
      </c>
      <c r="C146" s="8" t="s">
        <v>243</v>
      </c>
      <c r="D146" s="9" t="s">
        <v>244</v>
      </c>
      <c r="E146" s="1">
        <v>3.8180000000000001</v>
      </c>
      <c r="F146" s="1">
        <v>3.1E-2</v>
      </c>
      <c r="G146" s="1">
        <v>600</v>
      </c>
      <c r="H146" s="1"/>
      <c r="I146" s="1"/>
      <c r="J146" s="1"/>
      <c r="K146">
        <f>IF(ISNA(VLOOKUP($A146,'Unit EDL'!$A:$C,3,FALSE)),0,VLOOKUP($A146,'Unit EDL'!$A:$C,3,FALSE))</f>
        <v>86</v>
      </c>
      <c r="L146" s="98">
        <f t="shared" si="8"/>
        <v>328.34800000000001</v>
      </c>
      <c r="M146" s="99">
        <f t="shared" si="9"/>
        <v>2.6659999999999999</v>
      </c>
      <c r="O146" s="98">
        <f t="shared" si="10"/>
        <v>157.15034049240441</v>
      </c>
      <c r="P146" s="99">
        <f t="shared" si="11"/>
        <v>19354.83870967742</v>
      </c>
    </row>
    <row r="147" spans="1:16" x14ac:dyDescent="0.2">
      <c r="A147" s="10" t="s">
        <v>179</v>
      </c>
      <c r="B147" s="113"/>
      <c r="C147" s="8" t="s">
        <v>245</v>
      </c>
      <c r="D147" s="9" t="s">
        <v>246</v>
      </c>
      <c r="E147" s="1">
        <v>713.66300000000001</v>
      </c>
      <c r="F147" s="1">
        <v>27.276</v>
      </c>
      <c r="G147" s="1">
        <v>1400</v>
      </c>
      <c r="H147" s="1"/>
      <c r="I147" s="1"/>
      <c r="J147" s="1"/>
      <c r="K147">
        <f>IF(ISNA(VLOOKUP($A147,'Unit EDL'!$A:$C,3,FALSE)),0,VLOOKUP($A147,'Unit EDL'!$A:$C,3,FALSE))</f>
        <v>86</v>
      </c>
      <c r="L147" s="98">
        <f t="shared" si="8"/>
        <v>61375.018000000004</v>
      </c>
      <c r="M147" s="99">
        <f t="shared" si="9"/>
        <v>2345.7359999999999</v>
      </c>
      <c r="O147" s="98">
        <f t="shared" si="10"/>
        <v>1.9617102189688971</v>
      </c>
      <c r="P147" s="99">
        <f t="shared" si="11"/>
        <v>51.327174072444642</v>
      </c>
    </row>
    <row r="148" spans="1:16" x14ac:dyDescent="0.2">
      <c r="A148" s="10" t="s">
        <v>179</v>
      </c>
      <c r="B148" s="113"/>
      <c r="C148" s="8" t="s">
        <v>291</v>
      </c>
      <c r="D148" s="9" t="s">
        <v>292</v>
      </c>
      <c r="E148" s="1">
        <v>78.072999999999993</v>
      </c>
      <c r="F148" s="1">
        <v>1.3420000000000001</v>
      </c>
      <c r="G148" s="1">
        <v>512</v>
      </c>
      <c r="H148" s="1"/>
      <c r="I148" s="1"/>
      <c r="J148" s="1"/>
      <c r="K148">
        <f>IF(ISNA(VLOOKUP($A148,'Unit EDL'!$A:$C,3,FALSE)),0,VLOOKUP($A148,'Unit EDL'!$A:$C,3,FALSE))</f>
        <v>86</v>
      </c>
      <c r="L148" s="98">
        <f t="shared" si="8"/>
        <v>6714.2779999999993</v>
      </c>
      <c r="M148" s="99">
        <f t="shared" si="9"/>
        <v>115.41200000000001</v>
      </c>
      <c r="O148" s="98">
        <f t="shared" si="10"/>
        <v>6.5579649814916818</v>
      </c>
      <c r="P148" s="99">
        <f t="shared" si="11"/>
        <v>381.52011922503726</v>
      </c>
    </row>
    <row r="149" spans="1:16" x14ac:dyDescent="0.2">
      <c r="A149" s="10" t="s">
        <v>179</v>
      </c>
      <c r="B149" s="113"/>
      <c r="C149" s="8" t="s">
        <v>343</v>
      </c>
      <c r="D149" s="9" t="s">
        <v>344</v>
      </c>
      <c r="E149" s="1">
        <v>0</v>
      </c>
      <c r="F149" s="1">
        <v>0</v>
      </c>
      <c r="G149" s="1">
        <v>2</v>
      </c>
      <c r="H149" s="1"/>
      <c r="I149" s="1"/>
      <c r="J149" s="1"/>
      <c r="K149">
        <f>IF(ISNA(VLOOKUP($A149,'Unit EDL'!$A:$C,3,FALSE)),0,VLOOKUP($A149,'Unit EDL'!$A:$C,3,FALSE))</f>
        <v>86</v>
      </c>
      <c r="L149" s="98">
        <f t="shared" si="8"/>
        <v>0</v>
      </c>
      <c r="M149" s="99">
        <f t="shared" si="9"/>
        <v>0</v>
      </c>
      <c r="O149" s="98">
        <f t="shared" si="10"/>
        <v>999</v>
      </c>
      <c r="P149" s="99">
        <f t="shared" si="11"/>
        <v>999</v>
      </c>
    </row>
    <row r="150" spans="1:16" x14ac:dyDescent="0.2">
      <c r="A150" s="10" t="s">
        <v>179</v>
      </c>
      <c r="B150" s="113"/>
      <c r="C150" s="8" t="s">
        <v>361</v>
      </c>
      <c r="D150" s="9" t="s">
        <v>362</v>
      </c>
      <c r="E150" s="1">
        <v>2.835</v>
      </c>
      <c r="F150" s="1">
        <v>1.4430000000000001</v>
      </c>
      <c r="G150" s="1">
        <v>24</v>
      </c>
      <c r="H150" s="1"/>
      <c r="I150" s="1"/>
      <c r="J150" s="1"/>
      <c r="K150">
        <f>IF(ISNA(VLOOKUP($A150,'Unit EDL'!$A:$C,3,FALSE)),0,VLOOKUP($A150,'Unit EDL'!$A:$C,3,FALSE))</f>
        <v>86</v>
      </c>
      <c r="L150" s="98">
        <f t="shared" si="8"/>
        <v>243.81</v>
      </c>
      <c r="M150" s="99">
        <f t="shared" si="9"/>
        <v>124.098</v>
      </c>
      <c r="O150" s="98">
        <f t="shared" si="10"/>
        <v>8.4656084656084651</v>
      </c>
      <c r="P150" s="99">
        <f t="shared" si="11"/>
        <v>16.632016632016633</v>
      </c>
    </row>
    <row r="151" spans="1:16" x14ac:dyDescent="0.2">
      <c r="A151" s="10" t="s">
        <v>179</v>
      </c>
      <c r="B151" s="113"/>
      <c r="C151" s="8" t="s">
        <v>380</v>
      </c>
      <c r="D151" s="9" t="s">
        <v>381</v>
      </c>
      <c r="E151" s="1">
        <v>0</v>
      </c>
      <c r="F151" s="1">
        <v>0</v>
      </c>
      <c r="G151" s="1">
        <v>1</v>
      </c>
      <c r="H151" s="1"/>
      <c r="I151" s="1"/>
      <c r="J151" s="1"/>
      <c r="K151">
        <f>IF(ISNA(VLOOKUP($A151,'Unit EDL'!$A:$C,3,FALSE)),0,VLOOKUP($A151,'Unit EDL'!$A:$C,3,FALSE))</f>
        <v>86</v>
      </c>
      <c r="L151" s="98">
        <f t="shared" si="8"/>
        <v>0</v>
      </c>
      <c r="M151" s="99">
        <f t="shared" si="9"/>
        <v>0</v>
      </c>
      <c r="O151" s="98">
        <f t="shared" si="10"/>
        <v>999</v>
      </c>
      <c r="P151" s="99">
        <f t="shared" si="11"/>
        <v>999</v>
      </c>
    </row>
    <row r="152" spans="1:16" x14ac:dyDescent="0.2">
      <c r="A152" s="10" t="s">
        <v>179</v>
      </c>
      <c r="B152" s="112"/>
      <c r="C152" s="8" t="s">
        <v>382</v>
      </c>
      <c r="D152" s="9" t="s">
        <v>383</v>
      </c>
      <c r="E152" s="1">
        <v>0</v>
      </c>
      <c r="F152" s="1">
        <v>0</v>
      </c>
      <c r="G152" s="1">
        <v>1</v>
      </c>
      <c r="H152" s="1"/>
      <c r="I152" s="1"/>
      <c r="J152" s="1"/>
      <c r="K152">
        <f>IF(ISNA(VLOOKUP($A152,'Unit EDL'!$A:$C,3,FALSE)),0,VLOOKUP($A152,'Unit EDL'!$A:$C,3,FALSE))</f>
        <v>86</v>
      </c>
      <c r="L152" s="98">
        <f t="shared" si="8"/>
        <v>0</v>
      </c>
      <c r="M152" s="99">
        <f t="shared" si="9"/>
        <v>0</v>
      </c>
      <c r="O152" s="98">
        <f t="shared" si="10"/>
        <v>999</v>
      </c>
      <c r="P152" s="99">
        <f t="shared" si="11"/>
        <v>999</v>
      </c>
    </row>
    <row r="153" spans="1:16" x14ac:dyDescent="0.2">
      <c r="A153" s="12"/>
      <c r="K153">
        <f>IF(ISNA(VLOOKUP($A153,'Unit EDL'!$A:$C,3,FALSE)),0,VLOOKUP($A153,'Unit EDL'!$A:$C,3,FALSE))</f>
        <v>0</v>
      </c>
      <c r="L153" s="98">
        <f t="shared" si="8"/>
        <v>0</v>
      </c>
      <c r="M153" s="99">
        <f t="shared" si="9"/>
        <v>0</v>
      </c>
      <c r="O153" s="98">
        <f t="shared" si="10"/>
        <v>0</v>
      </c>
      <c r="P153" s="99">
        <f t="shared" si="11"/>
        <v>0</v>
      </c>
    </row>
    <row r="154" spans="1:16" x14ac:dyDescent="0.2">
      <c r="A154" s="10" t="s">
        <v>166</v>
      </c>
      <c r="B154" s="111" t="s">
        <v>89</v>
      </c>
      <c r="C154" s="8" t="s">
        <v>237</v>
      </c>
      <c r="D154" s="9" t="s">
        <v>238</v>
      </c>
      <c r="E154" s="1">
        <v>0.95099999999999996</v>
      </c>
      <c r="F154" s="1">
        <v>0.38400000000000001</v>
      </c>
      <c r="G154" s="1">
        <v>800</v>
      </c>
      <c r="H154" s="1">
        <v>5.8140000000000001</v>
      </c>
      <c r="I154" s="1">
        <v>0.253</v>
      </c>
      <c r="J154" s="1">
        <v>800</v>
      </c>
      <c r="K154">
        <f>IF(ISNA(VLOOKUP($A154,'Unit EDL'!$A:$C,3,FALSE)),0,VLOOKUP($A154,'Unit EDL'!$A:$C,3,FALSE))</f>
        <v>2</v>
      </c>
      <c r="L154" s="98">
        <f t="shared" si="8"/>
        <v>1.9019999999999999</v>
      </c>
      <c r="M154" s="99">
        <f t="shared" si="9"/>
        <v>0.76800000000000002</v>
      </c>
      <c r="O154" s="98">
        <f t="shared" si="10"/>
        <v>841.21976866456362</v>
      </c>
      <c r="P154" s="99">
        <f t="shared" si="11"/>
        <v>2083.3333333333335</v>
      </c>
    </row>
    <row r="155" spans="1:16" x14ac:dyDescent="0.2">
      <c r="A155" s="10" t="s">
        <v>166</v>
      </c>
      <c r="B155" s="113"/>
      <c r="C155" s="8" t="s">
        <v>343</v>
      </c>
      <c r="D155" s="9" t="s">
        <v>344</v>
      </c>
      <c r="E155" s="1">
        <v>0</v>
      </c>
      <c r="F155" s="1">
        <v>0</v>
      </c>
      <c r="G155" s="1">
        <v>2</v>
      </c>
      <c r="H155" s="1">
        <v>1.546</v>
      </c>
      <c r="I155" s="1">
        <v>6.7000000000000004E-2</v>
      </c>
      <c r="J155" s="1">
        <v>0</v>
      </c>
      <c r="K155">
        <f>IF(ISNA(VLOOKUP($A155,'Unit EDL'!$A:$C,3,FALSE)),0,VLOOKUP($A155,'Unit EDL'!$A:$C,3,FALSE))</f>
        <v>2</v>
      </c>
      <c r="L155" s="98">
        <f t="shared" si="8"/>
        <v>0</v>
      </c>
      <c r="M155" s="99">
        <f t="shared" si="9"/>
        <v>0</v>
      </c>
      <c r="O155" s="98">
        <f t="shared" si="10"/>
        <v>999</v>
      </c>
      <c r="P155" s="99">
        <f t="shared" si="11"/>
        <v>999</v>
      </c>
    </row>
    <row r="156" spans="1:16" x14ac:dyDescent="0.2">
      <c r="A156" s="10" t="s">
        <v>166</v>
      </c>
      <c r="B156" s="113"/>
      <c r="C156" s="8" t="s">
        <v>380</v>
      </c>
      <c r="D156" s="9" t="s">
        <v>381</v>
      </c>
      <c r="E156" s="1">
        <v>0</v>
      </c>
      <c r="F156" s="1">
        <v>0</v>
      </c>
      <c r="G156" s="1">
        <v>1</v>
      </c>
      <c r="H156" s="1"/>
      <c r="I156" s="1"/>
      <c r="J156" s="1"/>
      <c r="K156">
        <f>IF(ISNA(VLOOKUP($A156,'Unit EDL'!$A:$C,3,FALSE)),0,VLOOKUP($A156,'Unit EDL'!$A:$C,3,FALSE))</f>
        <v>2</v>
      </c>
      <c r="L156" s="98">
        <f t="shared" si="8"/>
        <v>0</v>
      </c>
      <c r="M156" s="99">
        <f t="shared" si="9"/>
        <v>0</v>
      </c>
      <c r="O156" s="98">
        <f t="shared" si="10"/>
        <v>999</v>
      </c>
      <c r="P156" s="99">
        <f t="shared" si="11"/>
        <v>999</v>
      </c>
    </row>
    <row r="157" spans="1:16" x14ac:dyDescent="0.2">
      <c r="A157" s="10" t="s">
        <v>166</v>
      </c>
      <c r="B157" s="112"/>
      <c r="C157" s="8" t="s">
        <v>382</v>
      </c>
      <c r="D157" s="9" t="s">
        <v>383</v>
      </c>
      <c r="E157" s="1">
        <v>0</v>
      </c>
      <c r="F157" s="1">
        <v>0</v>
      </c>
      <c r="G157" s="1">
        <v>1</v>
      </c>
      <c r="H157" s="1"/>
      <c r="I157" s="1"/>
      <c r="J157" s="1"/>
      <c r="K157">
        <f>IF(ISNA(VLOOKUP($A157,'Unit EDL'!$A:$C,3,FALSE)),0,VLOOKUP($A157,'Unit EDL'!$A:$C,3,FALSE))</f>
        <v>2</v>
      </c>
      <c r="L157" s="98">
        <f t="shared" si="8"/>
        <v>0</v>
      </c>
      <c r="M157" s="99">
        <f t="shared" si="9"/>
        <v>0</v>
      </c>
      <c r="O157" s="98">
        <f t="shared" si="10"/>
        <v>999</v>
      </c>
      <c r="P157" s="99">
        <f t="shared" si="11"/>
        <v>999</v>
      </c>
    </row>
    <row r="158" spans="1:16" x14ac:dyDescent="0.2">
      <c r="A158" s="12"/>
      <c r="K158">
        <f>IF(ISNA(VLOOKUP($A158,'Unit EDL'!$A:$C,3,FALSE)),0,VLOOKUP($A158,'Unit EDL'!$A:$C,3,FALSE))</f>
        <v>0</v>
      </c>
      <c r="L158" s="98">
        <f t="shared" si="8"/>
        <v>0</v>
      </c>
      <c r="M158" s="99">
        <f t="shared" si="9"/>
        <v>0</v>
      </c>
      <c r="O158" s="98">
        <f t="shared" si="10"/>
        <v>0</v>
      </c>
      <c r="P158" s="99">
        <f t="shared" si="11"/>
        <v>0</v>
      </c>
    </row>
    <row r="159" spans="1:16" x14ac:dyDescent="0.2">
      <c r="A159" s="10" t="s">
        <v>189</v>
      </c>
      <c r="B159" s="111" t="s">
        <v>112</v>
      </c>
      <c r="C159" s="8" t="s">
        <v>279</v>
      </c>
      <c r="D159" s="9" t="s">
        <v>280</v>
      </c>
      <c r="E159" s="1">
        <v>0</v>
      </c>
      <c r="F159" s="1">
        <v>0</v>
      </c>
      <c r="G159" s="1">
        <v>1</v>
      </c>
      <c r="H159" s="1"/>
      <c r="I159" s="1"/>
      <c r="J159" s="1"/>
      <c r="K159">
        <f>IF(ISNA(VLOOKUP($A159,'Unit EDL'!$A:$C,3,FALSE)),0,VLOOKUP($A159,'Unit EDL'!$A:$C,3,FALSE))</f>
        <v>0</v>
      </c>
      <c r="L159" s="98">
        <f t="shared" si="8"/>
        <v>0</v>
      </c>
      <c r="M159" s="99">
        <f t="shared" si="9"/>
        <v>0</v>
      </c>
      <c r="O159" s="98">
        <f t="shared" si="10"/>
        <v>0</v>
      </c>
      <c r="P159" s="99">
        <f t="shared" si="11"/>
        <v>0</v>
      </c>
    </row>
    <row r="160" spans="1:16" x14ac:dyDescent="0.2">
      <c r="A160" s="10" t="s">
        <v>189</v>
      </c>
      <c r="B160" s="113"/>
      <c r="C160" s="8" t="s">
        <v>281</v>
      </c>
      <c r="D160" s="9" t="s">
        <v>282</v>
      </c>
      <c r="E160" s="1">
        <v>0</v>
      </c>
      <c r="F160" s="1">
        <v>0</v>
      </c>
      <c r="G160" s="1">
        <v>1</v>
      </c>
      <c r="H160" s="1"/>
      <c r="I160" s="1"/>
      <c r="J160" s="1"/>
      <c r="K160">
        <f>IF(ISNA(VLOOKUP($A160,'Unit EDL'!$A:$C,3,FALSE)),0,VLOOKUP($A160,'Unit EDL'!$A:$C,3,FALSE))</f>
        <v>0</v>
      </c>
      <c r="L160" s="98">
        <f t="shared" si="8"/>
        <v>0</v>
      </c>
      <c r="M160" s="99">
        <f t="shared" si="9"/>
        <v>0</v>
      </c>
      <c r="O160" s="98">
        <f t="shared" si="10"/>
        <v>0</v>
      </c>
      <c r="P160" s="99">
        <f t="shared" si="11"/>
        <v>0</v>
      </c>
    </row>
    <row r="161" spans="1:16" x14ac:dyDescent="0.2">
      <c r="A161" s="10" t="s">
        <v>189</v>
      </c>
      <c r="B161" s="113"/>
      <c r="C161" s="8" t="s">
        <v>283</v>
      </c>
      <c r="D161" s="9" t="s">
        <v>284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1</v>
      </c>
      <c r="K161">
        <f>IF(ISNA(VLOOKUP($A161,'Unit EDL'!$A:$C,3,FALSE)),0,VLOOKUP($A161,'Unit EDL'!$A:$C,3,FALSE))</f>
        <v>0</v>
      </c>
      <c r="L161" s="98">
        <f t="shared" si="8"/>
        <v>0</v>
      </c>
      <c r="M161" s="99">
        <f t="shared" si="9"/>
        <v>0</v>
      </c>
      <c r="O161" s="98">
        <f t="shared" si="10"/>
        <v>0</v>
      </c>
      <c r="P161" s="99">
        <f t="shared" si="11"/>
        <v>0</v>
      </c>
    </row>
    <row r="162" spans="1:16" x14ac:dyDescent="0.2">
      <c r="A162" s="10" t="s">
        <v>189</v>
      </c>
      <c r="B162" s="113"/>
      <c r="C162" s="8" t="s">
        <v>285</v>
      </c>
      <c r="D162" s="9" t="s">
        <v>286</v>
      </c>
      <c r="E162" s="1">
        <v>0</v>
      </c>
      <c r="F162" s="1">
        <v>0</v>
      </c>
      <c r="G162" s="1">
        <v>1</v>
      </c>
      <c r="H162" s="1"/>
      <c r="I162" s="1"/>
      <c r="J162" s="1"/>
      <c r="K162">
        <f>IF(ISNA(VLOOKUP($A162,'Unit EDL'!$A:$C,3,FALSE)),0,VLOOKUP($A162,'Unit EDL'!$A:$C,3,FALSE))</f>
        <v>0</v>
      </c>
      <c r="L162" s="98">
        <f t="shared" si="8"/>
        <v>0</v>
      </c>
      <c r="M162" s="99">
        <f t="shared" si="9"/>
        <v>0</v>
      </c>
      <c r="O162" s="98">
        <f t="shared" si="10"/>
        <v>0</v>
      </c>
      <c r="P162" s="99">
        <f t="shared" si="11"/>
        <v>0</v>
      </c>
    </row>
    <row r="163" spans="1:16" x14ac:dyDescent="0.2">
      <c r="A163" s="10" t="s">
        <v>189</v>
      </c>
      <c r="B163" s="113"/>
      <c r="C163" s="8" t="s">
        <v>287</v>
      </c>
      <c r="D163" s="9" t="s">
        <v>288</v>
      </c>
      <c r="E163" s="1">
        <v>0</v>
      </c>
      <c r="F163" s="1">
        <v>0</v>
      </c>
      <c r="G163" s="1">
        <v>1</v>
      </c>
      <c r="H163" s="1"/>
      <c r="I163" s="1"/>
      <c r="J163" s="1"/>
      <c r="K163">
        <f>IF(ISNA(VLOOKUP($A163,'Unit EDL'!$A:$C,3,FALSE)),0,VLOOKUP($A163,'Unit EDL'!$A:$C,3,FALSE))</f>
        <v>0</v>
      </c>
      <c r="L163" s="98">
        <f t="shared" si="8"/>
        <v>0</v>
      </c>
      <c r="M163" s="99">
        <f t="shared" si="9"/>
        <v>0</v>
      </c>
      <c r="O163" s="98">
        <f t="shared" si="10"/>
        <v>0</v>
      </c>
      <c r="P163" s="99">
        <f t="shared" si="11"/>
        <v>0</v>
      </c>
    </row>
    <row r="164" spans="1:16" x14ac:dyDescent="0.2">
      <c r="A164" s="10" t="s">
        <v>189</v>
      </c>
      <c r="B164" s="113"/>
      <c r="C164" s="8" t="s">
        <v>289</v>
      </c>
      <c r="D164" s="9" t="s">
        <v>290</v>
      </c>
      <c r="E164" s="1">
        <v>0</v>
      </c>
      <c r="F164" s="1">
        <v>0</v>
      </c>
      <c r="G164" s="1">
        <v>3</v>
      </c>
      <c r="H164" s="1"/>
      <c r="I164" s="1"/>
      <c r="J164" s="1"/>
      <c r="K164">
        <f>IF(ISNA(VLOOKUP($A164,'Unit EDL'!$A:$C,3,FALSE)),0,VLOOKUP($A164,'Unit EDL'!$A:$C,3,FALSE))</f>
        <v>0</v>
      </c>
      <c r="L164" s="98">
        <f t="shared" si="8"/>
        <v>0</v>
      </c>
      <c r="M164" s="99">
        <f t="shared" si="9"/>
        <v>0</v>
      </c>
      <c r="O164" s="98">
        <f t="shared" si="10"/>
        <v>0</v>
      </c>
      <c r="P164" s="99">
        <f t="shared" si="11"/>
        <v>0</v>
      </c>
    </row>
    <row r="165" spans="1:16" x14ac:dyDescent="0.2">
      <c r="A165" s="10" t="s">
        <v>189</v>
      </c>
      <c r="B165" s="112"/>
      <c r="C165" s="8" t="s">
        <v>293</v>
      </c>
      <c r="D165" s="9" t="s">
        <v>294</v>
      </c>
      <c r="E165" s="1">
        <v>0</v>
      </c>
      <c r="F165" s="1">
        <v>0</v>
      </c>
      <c r="G165" s="1">
        <v>18</v>
      </c>
      <c r="H165" s="1">
        <v>0</v>
      </c>
      <c r="I165" s="1">
        <v>0</v>
      </c>
      <c r="J165" s="1">
        <v>18</v>
      </c>
      <c r="K165">
        <f>IF(ISNA(VLOOKUP($A165,'Unit EDL'!$A:$C,3,FALSE)),0,VLOOKUP($A165,'Unit EDL'!$A:$C,3,FALSE))</f>
        <v>0</v>
      </c>
      <c r="L165" s="98">
        <f t="shared" si="8"/>
        <v>0</v>
      </c>
      <c r="M165" s="99">
        <f t="shared" si="9"/>
        <v>0</v>
      </c>
      <c r="O165" s="98">
        <f t="shared" si="10"/>
        <v>0</v>
      </c>
      <c r="P165" s="99">
        <f t="shared" si="11"/>
        <v>0</v>
      </c>
    </row>
    <row r="166" spans="1:16" x14ac:dyDescent="0.2">
      <c r="A166" s="12"/>
      <c r="K166">
        <f>IF(ISNA(VLOOKUP($A166,'Unit EDL'!$A:$C,3,FALSE)),0,VLOOKUP($A166,'Unit EDL'!$A:$C,3,FALSE))</f>
        <v>0</v>
      </c>
      <c r="L166" s="98">
        <f t="shared" si="8"/>
        <v>0</v>
      </c>
      <c r="M166" s="99">
        <f t="shared" si="9"/>
        <v>0</v>
      </c>
      <c r="O166" s="98">
        <f t="shared" si="10"/>
        <v>0</v>
      </c>
      <c r="P166" s="99">
        <f t="shared" si="11"/>
        <v>0</v>
      </c>
    </row>
    <row r="167" spans="1:16" x14ac:dyDescent="0.2">
      <c r="A167" s="10" t="s">
        <v>190</v>
      </c>
      <c r="B167" s="111" t="s">
        <v>113</v>
      </c>
      <c r="C167" s="8" t="s">
        <v>279</v>
      </c>
      <c r="D167" s="9" t="s">
        <v>280</v>
      </c>
      <c r="E167" s="1">
        <v>1.4E-2</v>
      </c>
      <c r="F167" s="1">
        <v>3.0000000000000001E-3</v>
      </c>
      <c r="G167" s="1">
        <v>1</v>
      </c>
      <c r="H167" s="1">
        <v>5.6000000000000001E-2</v>
      </c>
      <c r="I167" s="1">
        <v>1.9E-2</v>
      </c>
      <c r="J167" s="1">
        <v>1</v>
      </c>
      <c r="K167">
        <f>IF(ISNA(VLOOKUP($A167,'Unit EDL'!$A:$C,3,FALSE)),0,VLOOKUP($A167,'Unit EDL'!$A:$C,3,FALSE))</f>
        <v>738</v>
      </c>
      <c r="L167" s="98">
        <f t="shared" si="8"/>
        <v>10.332000000000001</v>
      </c>
      <c r="M167" s="99">
        <f t="shared" si="9"/>
        <v>2.214</v>
      </c>
      <c r="O167" s="98">
        <f t="shared" si="10"/>
        <v>71.428571428571431</v>
      </c>
      <c r="P167" s="99">
        <f t="shared" si="11"/>
        <v>333.33333333333331</v>
      </c>
    </row>
    <row r="168" spans="1:16" x14ac:dyDescent="0.2">
      <c r="A168" s="10" t="s">
        <v>190</v>
      </c>
      <c r="B168" s="113"/>
      <c r="C168" s="8" t="s">
        <v>281</v>
      </c>
      <c r="D168" s="9" t="s">
        <v>282</v>
      </c>
      <c r="E168" s="1">
        <v>1.4E-2</v>
      </c>
      <c r="F168" s="1">
        <v>3.0000000000000001E-3</v>
      </c>
      <c r="G168" s="1">
        <v>1</v>
      </c>
      <c r="H168" s="1">
        <v>3.4000000000000002E-2</v>
      </c>
      <c r="I168" s="1">
        <v>1.9E-2</v>
      </c>
      <c r="J168" s="1">
        <v>1</v>
      </c>
      <c r="K168">
        <f>IF(ISNA(VLOOKUP($A168,'Unit EDL'!$A:$C,3,FALSE)),0,VLOOKUP($A168,'Unit EDL'!$A:$C,3,FALSE))</f>
        <v>738</v>
      </c>
      <c r="L168" s="98">
        <f t="shared" si="8"/>
        <v>10.332000000000001</v>
      </c>
      <c r="M168" s="99">
        <f t="shared" si="9"/>
        <v>2.214</v>
      </c>
      <c r="O168" s="98">
        <f t="shared" si="10"/>
        <v>71.428571428571431</v>
      </c>
      <c r="P168" s="99">
        <f t="shared" si="11"/>
        <v>333.33333333333331</v>
      </c>
    </row>
    <row r="169" spans="1:16" x14ac:dyDescent="0.2">
      <c r="A169" s="10" t="s">
        <v>190</v>
      </c>
      <c r="B169" s="113"/>
      <c r="C169" s="8" t="s">
        <v>283</v>
      </c>
      <c r="D169" s="9" t="s">
        <v>284</v>
      </c>
      <c r="E169" s="1">
        <v>0</v>
      </c>
      <c r="F169" s="1">
        <v>0</v>
      </c>
      <c r="G169" s="1">
        <v>1</v>
      </c>
      <c r="H169" s="1">
        <v>1.7000000000000001E-2</v>
      </c>
      <c r="I169" s="1">
        <v>2E-3</v>
      </c>
      <c r="J169" s="1">
        <v>1</v>
      </c>
      <c r="K169">
        <f>IF(ISNA(VLOOKUP($A169,'Unit EDL'!$A:$C,3,FALSE)),0,VLOOKUP($A169,'Unit EDL'!$A:$C,3,FALSE))</f>
        <v>738</v>
      </c>
      <c r="L169" s="98">
        <f t="shared" si="8"/>
        <v>0</v>
      </c>
      <c r="M169" s="99">
        <f t="shared" si="9"/>
        <v>0</v>
      </c>
      <c r="O169" s="98">
        <f t="shared" si="10"/>
        <v>999</v>
      </c>
      <c r="P169" s="99">
        <f t="shared" si="11"/>
        <v>999</v>
      </c>
    </row>
    <row r="170" spans="1:16" x14ac:dyDescent="0.2">
      <c r="A170" s="10" t="s">
        <v>190</v>
      </c>
      <c r="B170" s="113"/>
      <c r="C170" s="8" t="s">
        <v>285</v>
      </c>
      <c r="D170" s="9" t="s">
        <v>286</v>
      </c>
      <c r="E170" s="1">
        <v>1.4E-2</v>
      </c>
      <c r="F170" s="1">
        <v>3.0000000000000001E-3</v>
      </c>
      <c r="G170" s="1">
        <v>1</v>
      </c>
      <c r="H170" s="1">
        <v>3.4000000000000002E-2</v>
      </c>
      <c r="I170" s="1">
        <v>1.9E-2</v>
      </c>
      <c r="J170" s="1">
        <v>1</v>
      </c>
      <c r="K170">
        <f>IF(ISNA(VLOOKUP($A170,'Unit EDL'!$A:$C,3,FALSE)),0,VLOOKUP($A170,'Unit EDL'!$A:$C,3,FALSE))</f>
        <v>738</v>
      </c>
      <c r="L170" s="98">
        <f t="shared" si="8"/>
        <v>10.332000000000001</v>
      </c>
      <c r="M170" s="99">
        <f t="shared" si="9"/>
        <v>2.214</v>
      </c>
      <c r="O170" s="98">
        <f t="shared" si="10"/>
        <v>71.428571428571431</v>
      </c>
      <c r="P170" s="99">
        <f t="shared" si="11"/>
        <v>333.33333333333331</v>
      </c>
    </row>
    <row r="171" spans="1:16" x14ac:dyDescent="0.2">
      <c r="A171" s="10" t="s">
        <v>190</v>
      </c>
      <c r="B171" s="113"/>
      <c r="C171" s="8" t="s">
        <v>287</v>
      </c>
      <c r="D171" s="9" t="s">
        <v>288</v>
      </c>
      <c r="E171" s="1">
        <v>1.4E-2</v>
      </c>
      <c r="F171" s="1">
        <v>3.0000000000000001E-3</v>
      </c>
      <c r="G171" s="1">
        <v>1</v>
      </c>
      <c r="H171" s="1">
        <v>3.4000000000000002E-2</v>
      </c>
      <c r="I171" s="1">
        <v>1.9E-2</v>
      </c>
      <c r="J171" s="1">
        <v>1</v>
      </c>
      <c r="K171">
        <f>IF(ISNA(VLOOKUP($A171,'Unit EDL'!$A:$C,3,FALSE)),0,VLOOKUP($A171,'Unit EDL'!$A:$C,3,FALSE))</f>
        <v>738</v>
      </c>
      <c r="L171" s="98">
        <f t="shared" si="8"/>
        <v>10.332000000000001</v>
      </c>
      <c r="M171" s="99">
        <f t="shared" si="9"/>
        <v>2.214</v>
      </c>
      <c r="O171" s="98">
        <f t="shared" si="10"/>
        <v>71.428571428571431</v>
      </c>
      <c r="P171" s="99">
        <f t="shared" si="11"/>
        <v>333.33333333333331</v>
      </c>
    </row>
    <row r="172" spans="1:16" x14ac:dyDescent="0.2">
      <c r="A172" s="10" t="s">
        <v>190</v>
      </c>
      <c r="B172" s="113"/>
      <c r="C172" s="8" t="s">
        <v>289</v>
      </c>
      <c r="D172" s="9" t="s">
        <v>290</v>
      </c>
      <c r="E172" s="1">
        <v>1.4999999999999999E-2</v>
      </c>
      <c r="F172" s="1">
        <v>4.0000000000000001E-3</v>
      </c>
      <c r="G172" s="1">
        <v>3</v>
      </c>
      <c r="H172" s="1">
        <v>5.1999999999999998E-2</v>
      </c>
      <c r="I172" s="1">
        <v>1.2999999999999999E-2</v>
      </c>
      <c r="J172" s="1">
        <v>2</v>
      </c>
      <c r="K172">
        <f>IF(ISNA(VLOOKUP($A172,'Unit EDL'!$A:$C,3,FALSE)),0,VLOOKUP($A172,'Unit EDL'!$A:$C,3,FALSE))</f>
        <v>738</v>
      </c>
      <c r="L172" s="98">
        <f t="shared" si="8"/>
        <v>11.07</v>
      </c>
      <c r="M172" s="99">
        <f t="shared" si="9"/>
        <v>2.952</v>
      </c>
      <c r="O172" s="98">
        <f t="shared" si="10"/>
        <v>200</v>
      </c>
      <c r="P172" s="99">
        <f t="shared" si="11"/>
        <v>750</v>
      </c>
    </row>
    <row r="173" spans="1:16" x14ac:dyDescent="0.2">
      <c r="A173" s="10" t="s">
        <v>190</v>
      </c>
      <c r="B173" s="112"/>
      <c r="C173" s="8" t="s">
        <v>293</v>
      </c>
      <c r="D173" s="9" t="s">
        <v>294</v>
      </c>
      <c r="E173" s="1">
        <v>0.43099999999999999</v>
      </c>
      <c r="F173" s="1">
        <v>4.9000000000000002E-2</v>
      </c>
      <c r="G173" s="1">
        <v>18</v>
      </c>
      <c r="H173" s="1">
        <v>0.36699999999999999</v>
      </c>
      <c r="I173" s="1">
        <v>3.6999999999999998E-2</v>
      </c>
      <c r="J173" s="1">
        <v>12</v>
      </c>
      <c r="K173">
        <f>IF(ISNA(VLOOKUP($A173,'Unit EDL'!$A:$C,3,FALSE)),0,VLOOKUP($A173,'Unit EDL'!$A:$C,3,FALSE))</f>
        <v>738</v>
      </c>
      <c r="L173" s="98">
        <f t="shared" si="8"/>
        <v>318.07799999999997</v>
      </c>
      <c r="M173" s="99">
        <f t="shared" si="9"/>
        <v>36.161999999999999</v>
      </c>
      <c r="O173" s="98">
        <f t="shared" si="10"/>
        <v>41.763341067285381</v>
      </c>
      <c r="P173" s="99">
        <f t="shared" si="11"/>
        <v>367.34693877551018</v>
      </c>
    </row>
    <row r="174" spans="1:16" x14ac:dyDescent="0.2">
      <c r="A174" s="12"/>
      <c r="K174">
        <f>IF(ISNA(VLOOKUP($A174,'Unit EDL'!$A:$C,3,FALSE)),0,VLOOKUP($A174,'Unit EDL'!$A:$C,3,FALSE))</f>
        <v>0</v>
      </c>
      <c r="L174" s="98">
        <f t="shared" si="8"/>
        <v>0</v>
      </c>
      <c r="M174" s="99">
        <f t="shared" si="9"/>
        <v>0</v>
      </c>
      <c r="O174" s="98">
        <f t="shared" si="10"/>
        <v>0</v>
      </c>
      <c r="P174" s="99">
        <f t="shared" si="11"/>
        <v>0</v>
      </c>
    </row>
    <row r="175" spans="1:16" x14ac:dyDescent="0.2">
      <c r="A175" s="10" t="s">
        <v>203</v>
      </c>
      <c r="B175" s="111" t="s">
        <v>126</v>
      </c>
      <c r="C175" s="8" t="s">
        <v>365</v>
      </c>
      <c r="D175" s="9" t="s">
        <v>366</v>
      </c>
      <c r="E175" s="1">
        <v>0.21299999999999999</v>
      </c>
      <c r="F175" s="1">
        <v>0.106</v>
      </c>
      <c r="G175" s="1">
        <v>1</v>
      </c>
      <c r="H175" s="1"/>
      <c r="I175" s="1"/>
      <c r="J175" s="1"/>
      <c r="K175">
        <f>IF(ISNA(VLOOKUP($A175,'Unit EDL'!$A:$C,3,FALSE)),0,VLOOKUP($A175,'Unit EDL'!$A:$C,3,FALSE))</f>
        <v>126</v>
      </c>
      <c r="L175" s="98">
        <f t="shared" si="8"/>
        <v>26.838000000000001</v>
      </c>
      <c r="M175" s="99">
        <f t="shared" si="9"/>
        <v>13.356</v>
      </c>
      <c r="O175" s="98">
        <f t="shared" si="10"/>
        <v>4.694835680751174</v>
      </c>
      <c r="P175" s="99">
        <f t="shared" si="11"/>
        <v>9.433962264150944</v>
      </c>
    </row>
    <row r="176" spans="1:16" x14ac:dyDescent="0.2">
      <c r="A176" s="10" t="s">
        <v>203</v>
      </c>
      <c r="B176" s="113"/>
      <c r="C176" s="8" t="s">
        <v>368</v>
      </c>
      <c r="D176" s="9" t="s">
        <v>369</v>
      </c>
      <c r="E176" s="1">
        <v>0.53900000000000003</v>
      </c>
      <c r="F176" s="1">
        <v>9.9000000000000005E-2</v>
      </c>
      <c r="G176" s="1">
        <v>4</v>
      </c>
      <c r="H176" s="1"/>
      <c r="I176" s="1"/>
      <c r="J176" s="1"/>
      <c r="K176">
        <f>IF(ISNA(VLOOKUP($A176,'Unit EDL'!$A:$C,3,FALSE)),0,VLOOKUP($A176,'Unit EDL'!$A:$C,3,FALSE))</f>
        <v>126</v>
      </c>
      <c r="L176" s="98">
        <f t="shared" si="8"/>
        <v>67.914000000000001</v>
      </c>
      <c r="M176" s="99">
        <f t="shared" si="9"/>
        <v>12.474</v>
      </c>
      <c r="O176" s="98">
        <f t="shared" si="10"/>
        <v>7.4211502782931351</v>
      </c>
      <c r="P176" s="99">
        <f t="shared" si="11"/>
        <v>40.404040404040401</v>
      </c>
    </row>
    <row r="177" spans="1:16" x14ac:dyDescent="0.2">
      <c r="A177" s="10" t="s">
        <v>203</v>
      </c>
      <c r="B177" s="112"/>
      <c r="C177" s="8" t="s">
        <v>370</v>
      </c>
      <c r="D177" s="9" t="s">
        <v>371</v>
      </c>
      <c r="E177" s="1">
        <v>0.224</v>
      </c>
      <c r="F177" s="1">
        <v>4.0000000000000001E-3</v>
      </c>
      <c r="G177" s="1">
        <v>2</v>
      </c>
      <c r="H177" s="1"/>
      <c r="I177" s="1"/>
      <c r="J177" s="1"/>
      <c r="K177">
        <f>IF(ISNA(VLOOKUP($A177,'Unit EDL'!$A:$C,3,FALSE)),0,VLOOKUP($A177,'Unit EDL'!$A:$C,3,FALSE))</f>
        <v>126</v>
      </c>
      <c r="L177" s="98">
        <f t="shared" si="8"/>
        <v>28.224</v>
      </c>
      <c r="M177" s="99">
        <f t="shared" si="9"/>
        <v>0.504</v>
      </c>
      <c r="O177" s="98">
        <f t="shared" si="10"/>
        <v>8.9285714285714288</v>
      </c>
      <c r="P177" s="99">
        <f t="shared" si="11"/>
        <v>500</v>
      </c>
    </row>
    <row r="178" spans="1:16" x14ac:dyDescent="0.2">
      <c r="A178" s="12"/>
      <c r="K178">
        <f>IF(ISNA(VLOOKUP($A178,'Unit EDL'!$A:$C,3,FALSE)),0,VLOOKUP($A178,'Unit EDL'!$A:$C,3,FALSE))</f>
        <v>0</v>
      </c>
      <c r="L178" s="98">
        <f t="shared" si="8"/>
        <v>0</v>
      </c>
      <c r="M178" s="99">
        <f t="shared" si="9"/>
        <v>0</v>
      </c>
      <c r="O178" s="98">
        <f t="shared" si="10"/>
        <v>0</v>
      </c>
      <c r="P178" s="99">
        <f t="shared" si="11"/>
        <v>0</v>
      </c>
    </row>
    <row r="179" spans="1:16" x14ac:dyDescent="0.2">
      <c r="A179" s="10" t="s">
        <v>222</v>
      </c>
      <c r="B179" s="111" t="s">
        <v>145</v>
      </c>
      <c r="C179" s="8" t="s">
        <v>474</v>
      </c>
      <c r="D179" s="9" t="s">
        <v>475</v>
      </c>
      <c r="E179" s="1">
        <v>0.34200000000000003</v>
      </c>
      <c r="F179" s="1">
        <v>4.0000000000000001E-3</v>
      </c>
      <c r="G179" s="1">
        <v>1</v>
      </c>
      <c r="H179" s="1"/>
      <c r="I179" s="1"/>
      <c r="J179" s="1"/>
      <c r="K179">
        <f>IF(ISNA(VLOOKUP($A179,'Unit EDL'!$A:$C,3,FALSE)),0,VLOOKUP($A179,'Unit EDL'!$A:$C,3,FALSE))</f>
        <v>4</v>
      </c>
      <c r="L179" s="98">
        <f t="shared" si="8"/>
        <v>1.3680000000000001</v>
      </c>
      <c r="M179" s="99">
        <f t="shared" si="9"/>
        <v>1.6E-2</v>
      </c>
      <c r="O179" s="98">
        <f t="shared" si="10"/>
        <v>2.9239766081871341</v>
      </c>
      <c r="P179" s="99">
        <f t="shared" si="11"/>
        <v>250</v>
      </c>
    </row>
    <row r="180" spans="1:16" x14ac:dyDescent="0.2">
      <c r="A180" s="10" t="s">
        <v>222</v>
      </c>
      <c r="B180" s="113"/>
      <c r="C180" s="8" t="s">
        <v>476</v>
      </c>
      <c r="D180" s="9" t="s">
        <v>477</v>
      </c>
      <c r="E180" s="1">
        <v>1.0389999999999999</v>
      </c>
      <c r="F180" s="1">
        <v>1.9E-2</v>
      </c>
      <c r="G180" s="1">
        <v>3</v>
      </c>
      <c r="H180" s="1"/>
      <c r="I180" s="1"/>
      <c r="J180" s="1"/>
      <c r="K180">
        <f>IF(ISNA(VLOOKUP($A180,'Unit EDL'!$A:$C,3,FALSE)),0,VLOOKUP($A180,'Unit EDL'!$A:$C,3,FALSE))</f>
        <v>4</v>
      </c>
      <c r="L180" s="98">
        <f t="shared" si="8"/>
        <v>4.1559999999999997</v>
      </c>
      <c r="M180" s="99">
        <f t="shared" si="9"/>
        <v>7.5999999999999998E-2</v>
      </c>
      <c r="O180" s="98">
        <f t="shared" si="10"/>
        <v>2.8873917228103947</v>
      </c>
      <c r="P180" s="99">
        <f t="shared" si="11"/>
        <v>157.89473684210526</v>
      </c>
    </row>
    <row r="181" spans="1:16" x14ac:dyDescent="0.2">
      <c r="A181" s="10" t="s">
        <v>222</v>
      </c>
      <c r="B181" s="112"/>
      <c r="C181" s="8" t="s">
        <v>478</v>
      </c>
      <c r="D181" s="9" t="s">
        <v>479</v>
      </c>
      <c r="E181" s="1">
        <v>0.214</v>
      </c>
      <c r="F181" s="1">
        <v>2E-3</v>
      </c>
      <c r="G181" s="1">
        <v>2</v>
      </c>
      <c r="H181" s="1"/>
      <c r="I181" s="1"/>
      <c r="J181" s="1"/>
      <c r="K181">
        <f>IF(ISNA(VLOOKUP($A181,'Unit EDL'!$A:$C,3,FALSE)),0,VLOOKUP($A181,'Unit EDL'!$A:$C,3,FALSE))</f>
        <v>4</v>
      </c>
      <c r="L181" s="98">
        <f t="shared" si="8"/>
        <v>0.85599999999999998</v>
      </c>
      <c r="M181" s="99">
        <f t="shared" si="9"/>
        <v>8.0000000000000002E-3</v>
      </c>
      <c r="O181" s="98">
        <f t="shared" si="10"/>
        <v>9.3457943925233646</v>
      </c>
      <c r="P181" s="99">
        <f t="shared" si="11"/>
        <v>1000</v>
      </c>
    </row>
    <row r="182" spans="1:16" x14ac:dyDescent="0.2">
      <c r="A182" s="12"/>
      <c r="K182">
        <f>IF(ISNA(VLOOKUP($A182,'Unit EDL'!$A:$C,3,FALSE)),0,VLOOKUP($A182,'Unit EDL'!$A:$C,3,FALSE))</f>
        <v>0</v>
      </c>
      <c r="L182" s="98">
        <f t="shared" si="8"/>
        <v>0</v>
      </c>
      <c r="M182" s="99">
        <f t="shared" si="9"/>
        <v>0</v>
      </c>
      <c r="O182" s="98">
        <f t="shared" si="10"/>
        <v>0</v>
      </c>
      <c r="P182" s="99">
        <f t="shared" si="11"/>
        <v>0</v>
      </c>
    </row>
    <row r="183" spans="1:16" x14ac:dyDescent="0.2">
      <c r="A183" s="10" t="s">
        <v>167</v>
      </c>
      <c r="B183" s="111" t="s">
        <v>90</v>
      </c>
      <c r="C183" s="8" t="s">
        <v>237</v>
      </c>
      <c r="D183" s="9" t="s">
        <v>238</v>
      </c>
      <c r="E183" s="1">
        <v>352.36900000000003</v>
      </c>
      <c r="F183" s="1">
        <v>9.0310000000000006</v>
      </c>
      <c r="G183" s="1">
        <v>1480</v>
      </c>
      <c r="H183" s="1"/>
      <c r="I183" s="1"/>
      <c r="J183" s="1"/>
      <c r="K183">
        <f>IF(ISNA(VLOOKUP($A183,'Unit EDL'!$A:$C,3,FALSE)),0,VLOOKUP($A183,'Unit EDL'!$A:$C,3,FALSE))</f>
        <v>4</v>
      </c>
      <c r="L183" s="98">
        <f t="shared" si="8"/>
        <v>1409.4760000000001</v>
      </c>
      <c r="M183" s="99">
        <f t="shared" si="9"/>
        <v>36.124000000000002</v>
      </c>
      <c r="O183" s="98">
        <f t="shared" si="10"/>
        <v>4.2001424642916936</v>
      </c>
      <c r="P183" s="99">
        <f t="shared" si="11"/>
        <v>163.87996899568154</v>
      </c>
    </row>
    <row r="184" spans="1:16" x14ac:dyDescent="0.2">
      <c r="A184" s="10" t="s">
        <v>167</v>
      </c>
      <c r="B184" s="113"/>
      <c r="C184" s="8" t="s">
        <v>257</v>
      </c>
      <c r="D184" s="9" t="s">
        <v>258</v>
      </c>
      <c r="E184" s="1">
        <v>28.298999999999999</v>
      </c>
      <c r="F184" s="1">
        <v>0.628</v>
      </c>
      <c r="G184" s="1">
        <v>120</v>
      </c>
      <c r="H184" s="1"/>
      <c r="I184" s="1"/>
      <c r="J184" s="1"/>
      <c r="K184">
        <f>IF(ISNA(VLOOKUP($A184,'Unit EDL'!$A:$C,3,FALSE)),0,VLOOKUP($A184,'Unit EDL'!$A:$C,3,FALSE))</f>
        <v>4</v>
      </c>
      <c r="L184" s="98">
        <f t="shared" si="8"/>
        <v>113.196</v>
      </c>
      <c r="M184" s="99">
        <f t="shared" si="9"/>
        <v>2.512</v>
      </c>
      <c r="O184" s="98">
        <f t="shared" si="10"/>
        <v>4.2404325241174599</v>
      </c>
      <c r="P184" s="99">
        <f t="shared" si="11"/>
        <v>191.08280254777071</v>
      </c>
    </row>
    <row r="185" spans="1:16" x14ac:dyDescent="0.2">
      <c r="A185" s="10" t="s">
        <v>167</v>
      </c>
      <c r="B185" s="113"/>
      <c r="C185" s="8" t="s">
        <v>361</v>
      </c>
      <c r="D185" s="9" t="s">
        <v>362</v>
      </c>
      <c r="E185" s="1">
        <v>4.8600000000000003</v>
      </c>
      <c r="F185" s="1">
        <v>1.579</v>
      </c>
      <c r="G185" s="1">
        <v>16</v>
      </c>
      <c r="H185" s="1"/>
      <c r="I185" s="1"/>
      <c r="J185" s="1"/>
      <c r="K185">
        <f>IF(ISNA(VLOOKUP($A185,'Unit EDL'!$A:$C,3,FALSE)),0,VLOOKUP($A185,'Unit EDL'!$A:$C,3,FALSE))</f>
        <v>4</v>
      </c>
      <c r="L185" s="98">
        <f t="shared" si="8"/>
        <v>19.440000000000001</v>
      </c>
      <c r="M185" s="99">
        <f t="shared" si="9"/>
        <v>6.3159999999999998</v>
      </c>
      <c r="O185" s="98">
        <f t="shared" si="10"/>
        <v>3.2921810699588474</v>
      </c>
      <c r="P185" s="99">
        <f t="shared" si="11"/>
        <v>10.13299556681444</v>
      </c>
    </row>
    <row r="186" spans="1:16" x14ac:dyDescent="0.2">
      <c r="A186" s="10" t="s">
        <v>167</v>
      </c>
      <c r="B186" s="113"/>
      <c r="C186" s="8" t="s">
        <v>474</v>
      </c>
      <c r="D186" s="9" t="s">
        <v>475</v>
      </c>
      <c r="E186" s="1">
        <v>1.482</v>
      </c>
      <c r="F186" s="1">
        <v>1.2999999999999999E-2</v>
      </c>
      <c r="G186" s="1">
        <v>5</v>
      </c>
      <c r="H186" s="1"/>
      <c r="I186" s="1"/>
      <c r="J186" s="1"/>
      <c r="K186">
        <f>IF(ISNA(VLOOKUP($A186,'Unit EDL'!$A:$C,3,FALSE)),0,VLOOKUP($A186,'Unit EDL'!$A:$C,3,FALSE))</f>
        <v>4</v>
      </c>
      <c r="L186" s="98">
        <f t="shared" si="8"/>
        <v>5.9279999999999999</v>
      </c>
      <c r="M186" s="99">
        <f t="shared" si="9"/>
        <v>5.1999999999999998E-2</v>
      </c>
      <c r="O186" s="98">
        <f t="shared" si="10"/>
        <v>3.3738191632928474</v>
      </c>
      <c r="P186" s="99">
        <f t="shared" si="11"/>
        <v>384.61538461538464</v>
      </c>
    </row>
    <row r="187" spans="1:16" x14ac:dyDescent="0.2">
      <c r="A187" s="10" t="s">
        <v>167</v>
      </c>
      <c r="B187" s="113"/>
      <c r="C187" s="8" t="s">
        <v>476</v>
      </c>
      <c r="D187" s="9" t="s">
        <v>477</v>
      </c>
      <c r="E187" s="1">
        <v>2.3119999999999998</v>
      </c>
      <c r="F187" s="1">
        <v>3.2000000000000001E-2</v>
      </c>
      <c r="G187" s="1">
        <v>6</v>
      </c>
      <c r="H187" s="1"/>
      <c r="I187" s="1"/>
      <c r="J187" s="1"/>
      <c r="K187">
        <f>IF(ISNA(VLOOKUP($A187,'Unit EDL'!$A:$C,3,FALSE)),0,VLOOKUP($A187,'Unit EDL'!$A:$C,3,FALSE))</f>
        <v>4</v>
      </c>
      <c r="L187" s="98">
        <f t="shared" si="8"/>
        <v>9.2479999999999993</v>
      </c>
      <c r="M187" s="99">
        <f t="shared" si="9"/>
        <v>0.128</v>
      </c>
      <c r="O187" s="98">
        <f t="shared" si="10"/>
        <v>2.5951557093425608</v>
      </c>
      <c r="P187" s="99">
        <f t="shared" si="11"/>
        <v>187.5</v>
      </c>
    </row>
    <row r="188" spans="1:16" x14ac:dyDescent="0.2">
      <c r="A188" s="10" t="s">
        <v>167</v>
      </c>
      <c r="B188" s="112"/>
      <c r="C188" s="8" t="s">
        <v>478</v>
      </c>
      <c r="D188" s="9" t="s">
        <v>479</v>
      </c>
      <c r="E188" s="1">
        <v>0.55200000000000005</v>
      </c>
      <c r="F188" s="1">
        <v>0.01</v>
      </c>
      <c r="G188" s="1">
        <v>5</v>
      </c>
      <c r="H188" s="1"/>
      <c r="I188" s="1"/>
      <c r="J188" s="1"/>
      <c r="K188">
        <f>IF(ISNA(VLOOKUP($A188,'Unit EDL'!$A:$C,3,FALSE)),0,VLOOKUP($A188,'Unit EDL'!$A:$C,3,FALSE))</f>
        <v>4</v>
      </c>
      <c r="L188" s="98">
        <f t="shared" si="8"/>
        <v>2.2080000000000002</v>
      </c>
      <c r="M188" s="99">
        <f t="shared" si="9"/>
        <v>0.04</v>
      </c>
      <c r="O188" s="98">
        <f t="shared" si="10"/>
        <v>9.0579710144927521</v>
      </c>
      <c r="P188" s="99">
        <f t="shared" si="11"/>
        <v>500</v>
      </c>
    </row>
    <row r="189" spans="1:16" x14ac:dyDescent="0.2">
      <c r="A189" s="12"/>
      <c r="K189">
        <f>IF(ISNA(VLOOKUP($A189,'Unit EDL'!$A:$C,3,FALSE)),0,VLOOKUP($A189,'Unit EDL'!$A:$C,3,FALSE))</f>
        <v>0</v>
      </c>
      <c r="L189" s="98">
        <f t="shared" si="8"/>
        <v>0</v>
      </c>
      <c r="M189" s="99">
        <f t="shared" si="9"/>
        <v>0</v>
      </c>
      <c r="O189" s="98">
        <f t="shared" si="10"/>
        <v>0</v>
      </c>
      <c r="P189" s="99">
        <f t="shared" si="11"/>
        <v>0</v>
      </c>
    </row>
    <row r="190" spans="1:16" x14ac:dyDescent="0.2">
      <c r="A190" s="10" t="s">
        <v>168</v>
      </c>
      <c r="B190" s="111" t="s">
        <v>91</v>
      </c>
      <c r="C190" s="8" t="s">
        <v>237</v>
      </c>
      <c r="D190" s="9" t="s">
        <v>238</v>
      </c>
      <c r="E190" s="1">
        <v>6.3150000000000004</v>
      </c>
      <c r="F190" s="1">
        <v>0.52700000000000002</v>
      </c>
      <c r="G190" s="1">
        <v>1480</v>
      </c>
      <c r="H190" s="1"/>
      <c r="I190" s="1"/>
      <c r="J190" s="1"/>
      <c r="K190">
        <f>IF(ISNA(VLOOKUP($A190,'Unit EDL'!$A:$C,3,FALSE)),0,VLOOKUP($A190,'Unit EDL'!$A:$C,3,FALSE))</f>
        <v>1</v>
      </c>
      <c r="L190" s="98">
        <f t="shared" si="8"/>
        <v>6.3150000000000004</v>
      </c>
      <c r="M190" s="99">
        <f t="shared" si="9"/>
        <v>0.52700000000000002</v>
      </c>
      <c r="O190" s="98">
        <f t="shared" si="10"/>
        <v>234.36262866191606</v>
      </c>
      <c r="P190" s="99">
        <f t="shared" si="11"/>
        <v>2808.3491461100566</v>
      </c>
    </row>
    <row r="191" spans="1:16" x14ac:dyDescent="0.2">
      <c r="A191" s="10" t="s">
        <v>168</v>
      </c>
      <c r="B191" s="113"/>
      <c r="C191" s="8" t="s">
        <v>257</v>
      </c>
      <c r="D191" s="9" t="s">
        <v>258</v>
      </c>
      <c r="E191" s="1">
        <v>0</v>
      </c>
      <c r="F191" s="1">
        <v>0</v>
      </c>
      <c r="G191" s="1">
        <v>120</v>
      </c>
      <c r="H191" s="1"/>
      <c r="I191" s="1"/>
      <c r="J191" s="1"/>
      <c r="K191">
        <f>IF(ISNA(VLOOKUP($A191,'Unit EDL'!$A:$C,3,FALSE)),0,VLOOKUP($A191,'Unit EDL'!$A:$C,3,FALSE))</f>
        <v>1</v>
      </c>
      <c r="L191" s="98">
        <f t="shared" si="8"/>
        <v>0</v>
      </c>
      <c r="M191" s="99">
        <f t="shared" si="9"/>
        <v>0</v>
      </c>
      <c r="O191" s="98">
        <f t="shared" si="10"/>
        <v>999</v>
      </c>
      <c r="P191" s="99">
        <f t="shared" si="11"/>
        <v>999</v>
      </c>
    </row>
    <row r="192" spans="1:16" x14ac:dyDescent="0.2">
      <c r="A192" s="10" t="s">
        <v>168</v>
      </c>
      <c r="B192" s="112"/>
      <c r="C192" s="8" t="s">
        <v>361</v>
      </c>
      <c r="D192" s="9" t="s">
        <v>362</v>
      </c>
      <c r="E192" s="1">
        <v>3.51</v>
      </c>
      <c r="F192" s="1">
        <v>1.579</v>
      </c>
      <c r="G192" s="1">
        <v>16</v>
      </c>
      <c r="H192" s="1"/>
      <c r="I192" s="1"/>
      <c r="J192" s="1"/>
      <c r="K192">
        <f>IF(ISNA(VLOOKUP($A192,'Unit EDL'!$A:$C,3,FALSE)),0,VLOOKUP($A192,'Unit EDL'!$A:$C,3,FALSE))</f>
        <v>1</v>
      </c>
      <c r="L192" s="98">
        <f t="shared" si="8"/>
        <v>3.51</v>
      </c>
      <c r="M192" s="99">
        <f t="shared" si="9"/>
        <v>1.579</v>
      </c>
      <c r="O192" s="98">
        <f t="shared" si="10"/>
        <v>4.5584045584045585</v>
      </c>
      <c r="P192" s="99">
        <f t="shared" si="11"/>
        <v>10.13299556681444</v>
      </c>
    </row>
    <row r="193" spans="1:16" x14ac:dyDescent="0.2">
      <c r="A193" s="12"/>
      <c r="K193">
        <f>IF(ISNA(VLOOKUP($A193,'Unit EDL'!$A:$C,3,FALSE)),0,VLOOKUP($A193,'Unit EDL'!$A:$C,3,FALSE))</f>
        <v>0</v>
      </c>
      <c r="L193" s="98">
        <f t="shared" si="8"/>
        <v>0</v>
      </c>
      <c r="M193" s="99">
        <f t="shared" si="9"/>
        <v>0</v>
      </c>
      <c r="O193" s="98">
        <f t="shared" si="10"/>
        <v>0</v>
      </c>
      <c r="P193" s="99">
        <f t="shared" si="11"/>
        <v>0</v>
      </c>
    </row>
    <row r="194" spans="1:16" x14ac:dyDescent="0.2">
      <c r="A194" s="10" t="s">
        <v>169</v>
      </c>
      <c r="B194" s="111" t="s">
        <v>92</v>
      </c>
      <c r="C194" s="8" t="s">
        <v>237</v>
      </c>
      <c r="D194" s="9" t="s">
        <v>238</v>
      </c>
      <c r="E194" s="1">
        <v>813.99800000000005</v>
      </c>
      <c r="F194" s="1">
        <v>75.733999999999995</v>
      </c>
      <c r="G194" s="1">
        <v>1480</v>
      </c>
      <c r="H194" s="1"/>
      <c r="I194" s="1"/>
      <c r="J194" s="1"/>
      <c r="K194">
        <f>IF(ISNA(VLOOKUP($A194,'Unit EDL'!$A:$C,3,FALSE)),0,VLOOKUP($A194,'Unit EDL'!$A:$C,3,FALSE))</f>
        <v>14</v>
      </c>
      <c r="L194" s="98">
        <f t="shared" si="8"/>
        <v>11395.972000000002</v>
      </c>
      <c r="M194" s="99">
        <f t="shared" si="9"/>
        <v>1060.2759999999998</v>
      </c>
      <c r="O194" s="98">
        <f t="shared" si="10"/>
        <v>1.8181862854699888</v>
      </c>
      <c r="P194" s="99">
        <f t="shared" si="11"/>
        <v>19.542081495761483</v>
      </c>
    </row>
    <row r="195" spans="1:16" x14ac:dyDescent="0.2">
      <c r="A195" s="10" t="s">
        <v>169</v>
      </c>
      <c r="B195" s="113"/>
      <c r="C195" s="8" t="s">
        <v>249</v>
      </c>
      <c r="D195" s="9" t="s">
        <v>250</v>
      </c>
      <c r="E195" s="1">
        <v>25.498000000000001</v>
      </c>
      <c r="F195" s="1">
        <v>0.25600000000000001</v>
      </c>
      <c r="G195" s="1">
        <v>84</v>
      </c>
      <c r="H195" s="1"/>
      <c r="I195" s="1"/>
      <c r="J195" s="1"/>
      <c r="K195">
        <f>IF(ISNA(VLOOKUP($A195,'Unit EDL'!$A:$C,3,FALSE)),0,VLOOKUP($A195,'Unit EDL'!$A:$C,3,FALSE))</f>
        <v>14</v>
      </c>
      <c r="L195" s="98">
        <f t="shared" si="8"/>
        <v>356.97200000000004</v>
      </c>
      <c r="M195" s="99">
        <f t="shared" si="9"/>
        <v>3.5840000000000001</v>
      </c>
      <c r="O195" s="98">
        <f t="shared" si="10"/>
        <v>3.2943760294925091</v>
      </c>
      <c r="P195" s="99">
        <f t="shared" si="11"/>
        <v>328.125</v>
      </c>
    </row>
    <row r="196" spans="1:16" x14ac:dyDescent="0.2">
      <c r="A196" s="10" t="s">
        <v>169</v>
      </c>
      <c r="B196" s="113"/>
      <c r="C196" s="8" t="s">
        <v>251</v>
      </c>
      <c r="D196" s="9" t="s">
        <v>252</v>
      </c>
      <c r="E196" s="1">
        <v>82.45</v>
      </c>
      <c r="F196" s="1">
        <v>2.6080000000000001</v>
      </c>
      <c r="G196" s="1">
        <v>300</v>
      </c>
      <c r="H196" s="1"/>
      <c r="I196" s="1"/>
      <c r="J196" s="1"/>
      <c r="K196">
        <f>IF(ISNA(VLOOKUP($A196,'Unit EDL'!$A:$C,3,FALSE)),0,VLOOKUP($A196,'Unit EDL'!$A:$C,3,FALSE))</f>
        <v>14</v>
      </c>
      <c r="L196" s="98">
        <f t="shared" si="8"/>
        <v>1154.3</v>
      </c>
      <c r="M196" s="99">
        <f t="shared" si="9"/>
        <v>36.512</v>
      </c>
      <c r="O196" s="98">
        <f t="shared" si="10"/>
        <v>3.6385688295936931</v>
      </c>
      <c r="P196" s="99">
        <f t="shared" si="11"/>
        <v>115.03067484662576</v>
      </c>
    </row>
    <row r="197" spans="1:16" x14ac:dyDescent="0.2">
      <c r="A197" s="10" t="s">
        <v>169</v>
      </c>
      <c r="B197" s="113"/>
      <c r="C197" s="8" t="s">
        <v>253</v>
      </c>
      <c r="D197" s="9" t="s">
        <v>254</v>
      </c>
      <c r="E197" s="1">
        <v>10.928000000000001</v>
      </c>
      <c r="F197" s="1">
        <v>0.11</v>
      </c>
      <c r="G197" s="1">
        <v>36</v>
      </c>
      <c r="H197" s="1"/>
      <c r="I197" s="1"/>
      <c r="J197" s="1"/>
      <c r="K197">
        <f>IF(ISNA(VLOOKUP($A197,'Unit EDL'!$A:$C,3,FALSE)),0,VLOOKUP($A197,'Unit EDL'!$A:$C,3,FALSE))</f>
        <v>14</v>
      </c>
      <c r="L197" s="98">
        <f t="shared" si="8"/>
        <v>152.99200000000002</v>
      </c>
      <c r="M197" s="99">
        <f t="shared" si="9"/>
        <v>1.54</v>
      </c>
      <c r="O197" s="98">
        <f t="shared" si="10"/>
        <v>3.2942898975109807</v>
      </c>
      <c r="P197" s="99">
        <f t="shared" si="11"/>
        <v>327.27272727272725</v>
      </c>
    </row>
    <row r="198" spans="1:16" x14ac:dyDescent="0.2">
      <c r="A198" s="10" t="s">
        <v>169</v>
      </c>
      <c r="B198" s="113"/>
      <c r="C198" s="8" t="s">
        <v>257</v>
      </c>
      <c r="D198" s="9" t="s">
        <v>258</v>
      </c>
      <c r="E198" s="1">
        <v>65.94</v>
      </c>
      <c r="F198" s="1">
        <v>6.3710000000000004</v>
      </c>
      <c r="G198" s="1">
        <v>120</v>
      </c>
      <c r="H198" s="1"/>
      <c r="I198" s="1"/>
      <c r="J198" s="1"/>
      <c r="K198">
        <f>IF(ISNA(VLOOKUP($A198,'Unit EDL'!$A:$C,3,FALSE)),0,VLOOKUP($A198,'Unit EDL'!$A:$C,3,FALSE))</f>
        <v>14</v>
      </c>
      <c r="L198" s="98">
        <f t="shared" si="8"/>
        <v>923.16</v>
      </c>
      <c r="M198" s="99">
        <f t="shared" si="9"/>
        <v>89.194000000000003</v>
      </c>
      <c r="O198" s="98">
        <f t="shared" si="10"/>
        <v>1.8198362147406735</v>
      </c>
      <c r="P198" s="99">
        <f t="shared" si="11"/>
        <v>18.835347669125724</v>
      </c>
    </row>
    <row r="199" spans="1:16" x14ac:dyDescent="0.2">
      <c r="A199" s="10" t="s">
        <v>169</v>
      </c>
      <c r="B199" s="112"/>
      <c r="C199" s="8" t="s">
        <v>361</v>
      </c>
      <c r="D199" s="9" t="s">
        <v>362</v>
      </c>
      <c r="E199" s="1">
        <v>4.8600000000000003</v>
      </c>
      <c r="F199" s="1">
        <v>1.579</v>
      </c>
      <c r="G199" s="1">
        <v>16</v>
      </c>
      <c r="H199" s="1"/>
      <c r="I199" s="1"/>
      <c r="J199" s="1"/>
      <c r="K199">
        <f>IF(ISNA(VLOOKUP($A199,'Unit EDL'!$A:$C,3,FALSE)),0,VLOOKUP($A199,'Unit EDL'!$A:$C,3,FALSE))</f>
        <v>14</v>
      </c>
      <c r="L199" s="98">
        <f t="shared" si="8"/>
        <v>68.040000000000006</v>
      </c>
      <c r="M199" s="99">
        <f t="shared" si="9"/>
        <v>22.105999999999998</v>
      </c>
      <c r="O199" s="98">
        <f t="shared" si="10"/>
        <v>3.2921810699588474</v>
      </c>
      <c r="P199" s="99">
        <f t="shared" si="11"/>
        <v>10.13299556681444</v>
      </c>
    </row>
    <row r="200" spans="1:16" x14ac:dyDescent="0.2">
      <c r="A200" s="12"/>
      <c r="K200">
        <f>IF(ISNA(VLOOKUP($A200,'Unit EDL'!$A:$C,3,FALSE)),0,VLOOKUP($A200,'Unit EDL'!$A:$C,3,FALSE))</f>
        <v>0</v>
      </c>
      <c r="L200" s="98">
        <f t="shared" ref="L200:L263" si="12">K200*E200</f>
        <v>0</v>
      </c>
      <c r="M200" s="99">
        <f t="shared" ref="M200:M263" si="13">K200*F200</f>
        <v>0</v>
      </c>
      <c r="O200" s="98">
        <f t="shared" si="10"/>
        <v>0</v>
      </c>
      <c r="P200" s="99">
        <f t="shared" si="11"/>
        <v>0</v>
      </c>
    </row>
    <row r="201" spans="1:16" x14ac:dyDescent="0.2">
      <c r="A201" s="10" t="s">
        <v>170</v>
      </c>
      <c r="B201" s="111" t="s">
        <v>93</v>
      </c>
      <c r="C201" s="8" t="s">
        <v>237</v>
      </c>
      <c r="D201" s="9" t="s">
        <v>238</v>
      </c>
      <c r="E201" s="1">
        <v>6.5469999999999997</v>
      </c>
      <c r="F201" s="1">
        <v>0.52700000000000002</v>
      </c>
      <c r="G201" s="1">
        <v>1480</v>
      </c>
      <c r="H201" s="1"/>
      <c r="I201" s="1"/>
      <c r="J201" s="1"/>
      <c r="K201">
        <f>IF(ISNA(VLOOKUP($A201,'Unit EDL'!$A:$C,3,FALSE)),0,VLOOKUP($A201,'Unit EDL'!$A:$C,3,FALSE))</f>
        <v>3</v>
      </c>
      <c r="L201" s="98">
        <f t="shared" si="12"/>
        <v>19.640999999999998</v>
      </c>
      <c r="M201" s="99">
        <f t="shared" si="13"/>
        <v>1.581</v>
      </c>
      <c r="O201" s="98">
        <f t="shared" ref="O201:O264" si="14">IF($K201=0,0,IF(E201=0,999,$G201/E201))</f>
        <v>226.05773636780205</v>
      </c>
      <c r="P201" s="99">
        <f t="shared" ref="P201:P264" si="15">IF($K201=0,0,IF(F201=0,999,$G201/F201))</f>
        <v>2808.3491461100566</v>
      </c>
    </row>
    <row r="202" spans="1:16" x14ac:dyDescent="0.2">
      <c r="A202" s="10" t="s">
        <v>170</v>
      </c>
      <c r="B202" s="113"/>
      <c r="C202" s="8" t="s">
        <v>257</v>
      </c>
      <c r="D202" s="9" t="s">
        <v>258</v>
      </c>
      <c r="E202" s="1">
        <v>0</v>
      </c>
      <c r="F202" s="1">
        <v>0</v>
      </c>
      <c r="G202" s="1">
        <v>120</v>
      </c>
      <c r="H202" s="1"/>
      <c r="I202" s="1"/>
      <c r="J202" s="1"/>
      <c r="K202">
        <f>IF(ISNA(VLOOKUP($A202,'Unit EDL'!$A:$C,3,FALSE)),0,VLOOKUP($A202,'Unit EDL'!$A:$C,3,FALSE))</f>
        <v>3</v>
      </c>
      <c r="L202" s="98">
        <f t="shared" si="12"/>
        <v>0</v>
      </c>
      <c r="M202" s="99">
        <f t="shared" si="13"/>
        <v>0</v>
      </c>
      <c r="O202" s="98">
        <f t="shared" si="14"/>
        <v>999</v>
      </c>
      <c r="P202" s="99">
        <f t="shared" si="15"/>
        <v>999</v>
      </c>
    </row>
    <row r="203" spans="1:16" x14ac:dyDescent="0.2">
      <c r="A203" s="10" t="s">
        <v>170</v>
      </c>
      <c r="B203" s="112"/>
      <c r="C203" s="8" t="s">
        <v>361</v>
      </c>
      <c r="D203" s="9" t="s">
        <v>362</v>
      </c>
      <c r="E203" s="1">
        <v>3.51</v>
      </c>
      <c r="F203" s="1">
        <v>1.579</v>
      </c>
      <c r="G203" s="1">
        <v>16</v>
      </c>
      <c r="H203" s="1"/>
      <c r="I203" s="1"/>
      <c r="J203" s="1"/>
      <c r="K203">
        <f>IF(ISNA(VLOOKUP($A203,'Unit EDL'!$A:$C,3,FALSE)),0,VLOOKUP($A203,'Unit EDL'!$A:$C,3,FALSE))</f>
        <v>3</v>
      </c>
      <c r="L203" s="98">
        <f t="shared" si="12"/>
        <v>10.53</v>
      </c>
      <c r="M203" s="99">
        <f t="shared" si="13"/>
        <v>4.7370000000000001</v>
      </c>
      <c r="O203" s="98">
        <f t="shared" si="14"/>
        <v>4.5584045584045585</v>
      </c>
      <c r="P203" s="99">
        <f t="shared" si="15"/>
        <v>10.13299556681444</v>
      </c>
    </row>
    <row r="204" spans="1:16" x14ac:dyDescent="0.2">
      <c r="A204" s="12"/>
      <c r="K204">
        <f>IF(ISNA(VLOOKUP($A204,'Unit EDL'!$A:$C,3,FALSE)),0,VLOOKUP($A204,'Unit EDL'!$A:$C,3,FALSE))</f>
        <v>0</v>
      </c>
      <c r="L204" s="98">
        <f t="shared" si="12"/>
        <v>0</v>
      </c>
      <c r="M204" s="99">
        <f t="shared" si="13"/>
        <v>0</v>
      </c>
      <c r="O204" s="98">
        <f t="shared" si="14"/>
        <v>0</v>
      </c>
      <c r="P204" s="99">
        <f t="shared" si="15"/>
        <v>0</v>
      </c>
    </row>
    <row r="205" spans="1:16" x14ac:dyDescent="0.2">
      <c r="A205" s="10" t="s">
        <v>171</v>
      </c>
      <c r="B205" s="111" t="s">
        <v>94</v>
      </c>
      <c r="C205" s="8" t="s">
        <v>237</v>
      </c>
      <c r="D205" s="9" t="s">
        <v>238</v>
      </c>
      <c r="E205" s="1">
        <v>498.26</v>
      </c>
      <c r="F205" s="1">
        <v>17.016999999999999</v>
      </c>
      <c r="G205" s="1">
        <v>1480</v>
      </c>
      <c r="H205" s="1"/>
      <c r="I205" s="1"/>
      <c r="J205" s="1"/>
      <c r="K205">
        <f>IF(ISNA(VLOOKUP($A205,'Unit EDL'!$A:$C,3,FALSE)),0,VLOOKUP($A205,'Unit EDL'!$A:$C,3,FALSE))</f>
        <v>2</v>
      </c>
      <c r="L205" s="98">
        <f t="shared" si="12"/>
        <v>996.52</v>
      </c>
      <c r="M205" s="99">
        <f t="shared" si="13"/>
        <v>34.033999999999999</v>
      </c>
      <c r="O205" s="98">
        <f t="shared" si="14"/>
        <v>2.9703367719664433</v>
      </c>
      <c r="P205" s="99">
        <f t="shared" si="15"/>
        <v>86.971851677734037</v>
      </c>
    </row>
    <row r="206" spans="1:16" x14ac:dyDescent="0.2">
      <c r="A206" s="10" t="s">
        <v>171</v>
      </c>
      <c r="B206" s="113"/>
      <c r="C206" s="8" t="s">
        <v>257</v>
      </c>
      <c r="D206" s="9" t="s">
        <v>258</v>
      </c>
      <c r="E206" s="1">
        <v>40.256</v>
      </c>
      <c r="F206" s="1">
        <v>1.268</v>
      </c>
      <c r="G206" s="1">
        <v>120</v>
      </c>
      <c r="H206" s="1"/>
      <c r="I206" s="1"/>
      <c r="J206" s="1"/>
      <c r="K206">
        <f>IF(ISNA(VLOOKUP($A206,'Unit EDL'!$A:$C,3,FALSE)),0,VLOOKUP($A206,'Unit EDL'!$A:$C,3,FALSE))</f>
        <v>2</v>
      </c>
      <c r="L206" s="98">
        <f t="shared" si="12"/>
        <v>80.512</v>
      </c>
      <c r="M206" s="99">
        <f t="shared" si="13"/>
        <v>2.536</v>
      </c>
      <c r="O206" s="98">
        <f t="shared" si="14"/>
        <v>2.9809220985691574</v>
      </c>
      <c r="P206" s="99">
        <f t="shared" si="15"/>
        <v>94.637223974763401</v>
      </c>
    </row>
    <row r="207" spans="1:16" x14ac:dyDescent="0.2">
      <c r="A207" s="10" t="s">
        <v>171</v>
      </c>
      <c r="B207" s="113"/>
      <c r="C207" s="8" t="s">
        <v>307</v>
      </c>
      <c r="D207" s="9" t="s">
        <v>308</v>
      </c>
      <c r="E207" s="1">
        <v>2.661</v>
      </c>
      <c r="F207" s="1">
        <v>0.56599999999999995</v>
      </c>
      <c r="G207" s="1">
        <v>6</v>
      </c>
      <c r="H207" s="1"/>
      <c r="I207" s="1"/>
      <c r="J207" s="1"/>
      <c r="K207">
        <f>IF(ISNA(VLOOKUP($A207,'Unit EDL'!$A:$C,3,FALSE)),0,VLOOKUP($A207,'Unit EDL'!$A:$C,3,FALSE))</f>
        <v>2</v>
      </c>
      <c r="L207" s="98">
        <f t="shared" si="12"/>
        <v>5.3220000000000001</v>
      </c>
      <c r="M207" s="99">
        <f t="shared" si="13"/>
        <v>1.1319999999999999</v>
      </c>
      <c r="O207" s="98">
        <f t="shared" si="14"/>
        <v>2.254791431792559</v>
      </c>
      <c r="P207" s="99">
        <f t="shared" si="15"/>
        <v>10.600706713780919</v>
      </c>
    </row>
    <row r="208" spans="1:16" x14ac:dyDescent="0.2">
      <c r="A208" s="10" t="s">
        <v>171</v>
      </c>
      <c r="B208" s="113"/>
      <c r="C208" s="8" t="s">
        <v>311</v>
      </c>
      <c r="D208" s="9" t="s">
        <v>312</v>
      </c>
      <c r="E208" s="1">
        <v>18.184000000000001</v>
      </c>
      <c r="F208" s="1">
        <v>3.867</v>
      </c>
      <c r="G208" s="1">
        <v>29</v>
      </c>
      <c r="H208" s="1"/>
      <c r="I208" s="1"/>
      <c r="J208" s="1"/>
      <c r="K208">
        <f>IF(ISNA(VLOOKUP($A208,'Unit EDL'!$A:$C,3,FALSE)),0,VLOOKUP($A208,'Unit EDL'!$A:$C,3,FALSE))</f>
        <v>2</v>
      </c>
      <c r="L208" s="98">
        <f t="shared" si="12"/>
        <v>36.368000000000002</v>
      </c>
      <c r="M208" s="99">
        <f t="shared" si="13"/>
        <v>7.734</v>
      </c>
      <c r="O208" s="98">
        <f t="shared" si="14"/>
        <v>1.5948086229652441</v>
      </c>
      <c r="P208" s="99">
        <f t="shared" si="15"/>
        <v>7.4993535040082753</v>
      </c>
    </row>
    <row r="209" spans="1:16" x14ac:dyDescent="0.2">
      <c r="A209" s="10" t="s">
        <v>171</v>
      </c>
      <c r="B209" s="113"/>
      <c r="C209" s="8" t="s">
        <v>313</v>
      </c>
      <c r="D209" s="9" t="s">
        <v>314</v>
      </c>
      <c r="E209" s="1">
        <v>15.676</v>
      </c>
      <c r="F209" s="1">
        <v>3.3340000000000001</v>
      </c>
      <c r="G209" s="1">
        <v>25</v>
      </c>
      <c r="H209" s="1"/>
      <c r="I209" s="1"/>
      <c r="J209" s="1"/>
      <c r="K209">
        <f>IF(ISNA(VLOOKUP($A209,'Unit EDL'!$A:$C,3,FALSE)),0,VLOOKUP($A209,'Unit EDL'!$A:$C,3,FALSE))</f>
        <v>2</v>
      </c>
      <c r="L209" s="98">
        <f t="shared" si="12"/>
        <v>31.352</v>
      </c>
      <c r="M209" s="99">
        <f t="shared" si="13"/>
        <v>6.6680000000000001</v>
      </c>
      <c r="O209" s="98">
        <f t="shared" si="14"/>
        <v>1.5947945904567491</v>
      </c>
      <c r="P209" s="99">
        <f t="shared" si="15"/>
        <v>7.4985002999400114</v>
      </c>
    </row>
    <row r="210" spans="1:16" x14ac:dyDescent="0.2">
      <c r="A210" s="10" t="s">
        <v>171</v>
      </c>
      <c r="B210" s="113"/>
      <c r="C210" s="8" t="s">
        <v>315</v>
      </c>
      <c r="D210" s="9" t="s">
        <v>316</v>
      </c>
      <c r="E210" s="1">
        <v>8.6</v>
      </c>
      <c r="F210" s="1">
        <v>1.829</v>
      </c>
      <c r="G210" s="1">
        <v>18</v>
      </c>
      <c r="H210" s="1"/>
      <c r="I210" s="1"/>
      <c r="J210" s="1"/>
      <c r="K210">
        <f>IF(ISNA(VLOOKUP($A210,'Unit EDL'!$A:$C,3,FALSE)),0,VLOOKUP($A210,'Unit EDL'!$A:$C,3,FALSE))</f>
        <v>2</v>
      </c>
      <c r="L210" s="98">
        <f t="shared" si="12"/>
        <v>17.2</v>
      </c>
      <c r="M210" s="99">
        <f t="shared" si="13"/>
        <v>3.6579999999999999</v>
      </c>
      <c r="O210" s="98">
        <f t="shared" si="14"/>
        <v>2.0930232558139537</v>
      </c>
      <c r="P210" s="99">
        <f t="shared" si="15"/>
        <v>9.8414434117003822</v>
      </c>
    </row>
    <row r="211" spans="1:16" x14ac:dyDescent="0.2">
      <c r="A211" s="10" t="s">
        <v>171</v>
      </c>
      <c r="B211" s="113"/>
      <c r="C211" s="8" t="s">
        <v>317</v>
      </c>
      <c r="D211" s="9" t="s">
        <v>318</v>
      </c>
      <c r="E211" s="1">
        <v>5.7359999999999998</v>
      </c>
      <c r="F211" s="1">
        <v>1.22</v>
      </c>
      <c r="G211" s="1">
        <v>18</v>
      </c>
      <c r="H211" s="1"/>
      <c r="I211" s="1"/>
      <c r="J211" s="1"/>
      <c r="K211">
        <f>IF(ISNA(VLOOKUP($A211,'Unit EDL'!$A:$C,3,FALSE)),0,VLOOKUP($A211,'Unit EDL'!$A:$C,3,FALSE))</f>
        <v>2</v>
      </c>
      <c r="L211" s="98">
        <f t="shared" si="12"/>
        <v>11.472</v>
      </c>
      <c r="M211" s="99">
        <f t="shared" si="13"/>
        <v>2.44</v>
      </c>
      <c r="O211" s="98">
        <f t="shared" si="14"/>
        <v>3.1380753138075317</v>
      </c>
      <c r="P211" s="99">
        <f t="shared" si="15"/>
        <v>14.754098360655737</v>
      </c>
    </row>
    <row r="212" spans="1:16" x14ac:dyDescent="0.2">
      <c r="A212" s="10" t="s">
        <v>171</v>
      </c>
      <c r="B212" s="112"/>
      <c r="C212" s="8" t="s">
        <v>361</v>
      </c>
      <c r="D212" s="9" t="s">
        <v>362</v>
      </c>
      <c r="E212" s="1">
        <v>3.51</v>
      </c>
      <c r="F212" s="1">
        <v>1.579</v>
      </c>
      <c r="G212" s="1">
        <v>16</v>
      </c>
      <c r="H212" s="1"/>
      <c r="I212" s="1"/>
      <c r="J212" s="1"/>
      <c r="K212">
        <f>IF(ISNA(VLOOKUP($A212,'Unit EDL'!$A:$C,3,FALSE)),0,VLOOKUP($A212,'Unit EDL'!$A:$C,3,FALSE))</f>
        <v>2</v>
      </c>
      <c r="L212" s="98">
        <f t="shared" si="12"/>
        <v>7.02</v>
      </c>
      <c r="M212" s="99">
        <f t="shared" si="13"/>
        <v>3.1579999999999999</v>
      </c>
      <c r="O212" s="98">
        <f t="shared" si="14"/>
        <v>4.5584045584045585</v>
      </c>
      <c r="P212" s="99">
        <f t="shared" si="15"/>
        <v>10.13299556681444</v>
      </c>
    </row>
    <row r="213" spans="1:16" x14ac:dyDescent="0.2">
      <c r="A213" s="12"/>
      <c r="K213">
        <f>IF(ISNA(VLOOKUP($A213,'Unit EDL'!$A:$C,3,FALSE)),0,VLOOKUP($A213,'Unit EDL'!$A:$C,3,FALSE))</f>
        <v>0</v>
      </c>
      <c r="L213" s="98">
        <f t="shared" si="12"/>
        <v>0</v>
      </c>
      <c r="M213" s="99">
        <f t="shared" si="13"/>
        <v>0</v>
      </c>
      <c r="O213" s="98">
        <f t="shared" si="14"/>
        <v>0</v>
      </c>
      <c r="P213" s="99">
        <f t="shared" si="15"/>
        <v>0</v>
      </c>
    </row>
    <row r="214" spans="1:16" x14ac:dyDescent="0.2">
      <c r="A214" s="10" t="s">
        <v>172</v>
      </c>
      <c r="B214" s="111" t="s">
        <v>95</v>
      </c>
      <c r="C214" s="8" t="s">
        <v>237</v>
      </c>
      <c r="D214" s="9" t="s">
        <v>238</v>
      </c>
      <c r="E214" s="1">
        <v>6.46</v>
      </c>
      <c r="F214" s="1">
        <v>0.52700000000000002</v>
      </c>
      <c r="G214" s="1">
        <v>1480</v>
      </c>
      <c r="H214" s="1"/>
      <c r="I214" s="1"/>
      <c r="J214" s="1"/>
      <c r="K214">
        <f>IF(ISNA(VLOOKUP($A214,'Unit EDL'!$A:$C,3,FALSE)),0,VLOOKUP($A214,'Unit EDL'!$A:$C,3,FALSE))</f>
        <v>1</v>
      </c>
      <c r="L214" s="98">
        <f t="shared" si="12"/>
        <v>6.46</v>
      </c>
      <c r="M214" s="99">
        <f t="shared" si="13"/>
        <v>0.52700000000000002</v>
      </c>
      <c r="O214" s="98">
        <f t="shared" si="14"/>
        <v>229.10216718266253</v>
      </c>
      <c r="P214" s="99">
        <f t="shared" si="15"/>
        <v>2808.3491461100566</v>
      </c>
    </row>
    <row r="215" spans="1:16" x14ac:dyDescent="0.2">
      <c r="A215" s="10" t="s">
        <v>172</v>
      </c>
      <c r="B215" s="113"/>
      <c r="C215" s="8" t="s">
        <v>257</v>
      </c>
      <c r="D215" s="9" t="s">
        <v>258</v>
      </c>
      <c r="E215" s="1">
        <v>0</v>
      </c>
      <c r="F215" s="1">
        <v>0</v>
      </c>
      <c r="G215" s="1">
        <v>120</v>
      </c>
      <c r="H215" s="1"/>
      <c r="I215" s="1"/>
      <c r="J215" s="1"/>
      <c r="K215">
        <f>IF(ISNA(VLOOKUP($A215,'Unit EDL'!$A:$C,3,FALSE)),0,VLOOKUP($A215,'Unit EDL'!$A:$C,3,FALSE))</f>
        <v>1</v>
      </c>
      <c r="L215" s="98">
        <f t="shared" si="12"/>
        <v>0</v>
      </c>
      <c r="M215" s="99">
        <f t="shared" si="13"/>
        <v>0</v>
      </c>
      <c r="O215" s="98">
        <f t="shared" si="14"/>
        <v>999</v>
      </c>
      <c r="P215" s="99">
        <f t="shared" si="15"/>
        <v>999</v>
      </c>
    </row>
    <row r="216" spans="1:16" x14ac:dyDescent="0.2">
      <c r="A216" s="10" t="s">
        <v>172</v>
      </c>
      <c r="B216" s="112"/>
      <c r="C216" s="8" t="s">
        <v>361</v>
      </c>
      <c r="D216" s="9" t="s">
        <v>362</v>
      </c>
      <c r="E216" s="1">
        <v>3.51</v>
      </c>
      <c r="F216" s="1">
        <v>1.579</v>
      </c>
      <c r="G216" s="1">
        <v>16</v>
      </c>
      <c r="H216" s="1"/>
      <c r="I216" s="1"/>
      <c r="J216" s="1"/>
      <c r="K216">
        <f>IF(ISNA(VLOOKUP($A216,'Unit EDL'!$A:$C,3,FALSE)),0,VLOOKUP($A216,'Unit EDL'!$A:$C,3,FALSE))</f>
        <v>1</v>
      </c>
      <c r="L216" s="98">
        <f t="shared" si="12"/>
        <v>3.51</v>
      </c>
      <c r="M216" s="99">
        <f t="shared" si="13"/>
        <v>1.579</v>
      </c>
      <c r="O216" s="98">
        <f t="shared" si="14"/>
        <v>4.5584045584045585</v>
      </c>
      <c r="P216" s="99">
        <f t="shared" si="15"/>
        <v>10.13299556681444</v>
      </c>
    </row>
    <row r="217" spans="1:16" x14ac:dyDescent="0.2">
      <c r="A217" s="12"/>
      <c r="K217">
        <f>IF(ISNA(VLOOKUP($A217,'Unit EDL'!$A:$C,3,FALSE)),0,VLOOKUP($A217,'Unit EDL'!$A:$C,3,FALSE))</f>
        <v>0</v>
      </c>
      <c r="L217" s="98">
        <f t="shared" si="12"/>
        <v>0</v>
      </c>
      <c r="M217" s="99">
        <f t="shared" si="13"/>
        <v>0</v>
      </c>
      <c r="O217" s="98">
        <f t="shared" si="14"/>
        <v>0</v>
      </c>
      <c r="P217" s="99">
        <f t="shared" si="15"/>
        <v>0</v>
      </c>
    </row>
    <row r="218" spans="1:16" x14ac:dyDescent="0.2">
      <c r="A218" s="6" t="s">
        <v>163</v>
      </c>
      <c r="B218" s="7" t="s">
        <v>86</v>
      </c>
      <c r="C218" s="8" t="s">
        <v>233</v>
      </c>
      <c r="D218" s="9" t="s">
        <v>234</v>
      </c>
      <c r="E218" s="1">
        <v>266.077</v>
      </c>
      <c r="F218" s="1">
        <v>9.359</v>
      </c>
      <c r="G218" s="1">
        <v>800</v>
      </c>
      <c r="H218" s="1">
        <v>5.4109999999999996</v>
      </c>
      <c r="I218" s="1">
        <v>1E-3</v>
      </c>
      <c r="J218" s="1">
        <v>800</v>
      </c>
      <c r="K218">
        <f>IF(ISNA(VLOOKUP($A218,'Unit EDL'!$A:$C,3,FALSE)),0,VLOOKUP($A218,'Unit EDL'!$A:$C,3,FALSE))</f>
        <v>295</v>
      </c>
      <c r="L218" s="98">
        <f t="shared" si="12"/>
        <v>78492.714999999997</v>
      </c>
      <c r="M218" s="99">
        <f t="shared" si="13"/>
        <v>2760.9050000000002</v>
      </c>
      <c r="O218" s="98">
        <f t="shared" si="14"/>
        <v>3.006648451388132</v>
      </c>
      <c r="P218" s="99">
        <f t="shared" si="15"/>
        <v>85.479217865156528</v>
      </c>
    </row>
    <row r="219" spans="1:16" x14ac:dyDescent="0.2">
      <c r="A219" s="12"/>
      <c r="K219">
        <f>IF(ISNA(VLOOKUP($A219,'Unit EDL'!$A:$C,3,FALSE)),0,VLOOKUP($A219,'Unit EDL'!$A:$C,3,FALSE))</f>
        <v>0</v>
      </c>
      <c r="L219" s="98">
        <f t="shared" si="12"/>
        <v>0</v>
      </c>
      <c r="M219" s="99">
        <f t="shared" si="13"/>
        <v>0</v>
      </c>
      <c r="O219" s="98">
        <f t="shared" si="14"/>
        <v>0</v>
      </c>
      <c r="P219" s="99">
        <f t="shared" si="15"/>
        <v>0</v>
      </c>
    </row>
    <row r="220" spans="1:16" x14ac:dyDescent="0.2">
      <c r="A220" s="10" t="s">
        <v>180</v>
      </c>
      <c r="B220" s="111" t="s">
        <v>103</v>
      </c>
      <c r="C220" s="8" t="s">
        <v>243</v>
      </c>
      <c r="D220" s="9" t="s">
        <v>244</v>
      </c>
      <c r="E220" s="1">
        <v>0</v>
      </c>
      <c r="F220" s="1">
        <v>0</v>
      </c>
      <c r="G220" s="1">
        <v>200</v>
      </c>
      <c r="H220" s="1">
        <v>0</v>
      </c>
      <c r="I220" s="1">
        <v>0</v>
      </c>
      <c r="J220" s="1">
        <v>200</v>
      </c>
      <c r="K220">
        <f>IF(ISNA(VLOOKUP($A220,'Unit EDL'!$A:$C,3,FALSE)),0,VLOOKUP($A220,'Unit EDL'!$A:$C,3,FALSE))</f>
        <v>150</v>
      </c>
      <c r="L220" s="98">
        <f t="shared" si="12"/>
        <v>0</v>
      </c>
      <c r="M220" s="99">
        <f t="shared" si="13"/>
        <v>0</v>
      </c>
      <c r="O220" s="98">
        <f t="shared" si="14"/>
        <v>999</v>
      </c>
      <c r="P220" s="99">
        <f t="shared" si="15"/>
        <v>999</v>
      </c>
    </row>
    <row r="221" spans="1:16" x14ac:dyDescent="0.2">
      <c r="A221" s="10" t="s">
        <v>180</v>
      </c>
      <c r="B221" s="112"/>
      <c r="C221" s="8" t="s">
        <v>245</v>
      </c>
      <c r="D221" s="9" t="s">
        <v>246</v>
      </c>
      <c r="E221" s="1">
        <v>200.21799999999999</v>
      </c>
      <c r="F221" s="1">
        <v>15.41</v>
      </c>
      <c r="G221" s="1">
        <v>400</v>
      </c>
      <c r="H221" s="1">
        <v>5.266</v>
      </c>
      <c r="I221" s="1">
        <v>0.371</v>
      </c>
      <c r="J221" s="1">
        <v>400</v>
      </c>
      <c r="K221">
        <f>IF(ISNA(VLOOKUP($A221,'Unit EDL'!$A:$C,3,FALSE)),0,VLOOKUP($A221,'Unit EDL'!$A:$C,3,FALSE))</f>
        <v>150</v>
      </c>
      <c r="L221" s="98">
        <f t="shared" si="12"/>
        <v>30032.699999999997</v>
      </c>
      <c r="M221" s="99">
        <f t="shared" si="13"/>
        <v>2311.5</v>
      </c>
      <c r="O221" s="98">
        <f t="shared" si="14"/>
        <v>1.9978223736127623</v>
      </c>
      <c r="P221" s="99">
        <f t="shared" si="15"/>
        <v>25.957170668397143</v>
      </c>
    </row>
    <row r="222" spans="1:16" x14ac:dyDescent="0.2">
      <c r="A222" s="12"/>
      <c r="K222">
        <f>IF(ISNA(VLOOKUP($A222,'Unit EDL'!$A:$C,3,FALSE)),0,VLOOKUP($A222,'Unit EDL'!$A:$C,3,FALSE))</f>
        <v>0</v>
      </c>
      <c r="L222" s="98">
        <f t="shared" si="12"/>
        <v>0</v>
      </c>
      <c r="M222" s="99">
        <f t="shared" si="13"/>
        <v>0</v>
      </c>
      <c r="O222" s="98">
        <f t="shared" si="14"/>
        <v>0</v>
      </c>
      <c r="P222" s="99">
        <f t="shared" si="15"/>
        <v>0</v>
      </c>
    </row>
    <row r="223" spans="1:16" x14ac:dyDescent="0.2">
      <c r="A223" s="10" t="s">
        <v>173</v>
      </c>
      <c r="B223" s="111" t="s">
        <v>96</v>
      </c>
      <c r="C223" s="8" t="s">
        <v>237</v>
      </c>
      <c r="D223" s="9" t="s">
        <v>238</v>
      </c>
      <c r="E223" s="1">
        <v>283.51499999999999</v>
      </c>
      <c r="F223" s="1">
        <v>8.9320000000000004</v>
      </c>
      <c r="G223" s="1">
        <v>740</v>
      </c>
      <c r="H223" s="1">
        <v>7.8490000000000002</v>
      </c>
      <c r="I223" s="1">
        <v>1.708</v>
      </c>
      <c r="J223" s="1">
        <v>800</v>
      </c>
      <c r="K223">
        <f>IF(ISNA(VLOOKUP($A223,'Unit EDL'!$A:$C,3,FALSE)),0,VLOOKUP($A223,'Unit EDL'!$A:$C,3,FALSE))</f>
        <v>387</v>
      </c>
      <c r="L223" s="98">
        <f t="shared" si="12"/>
        <v>109720.30499999999</v>
      </c>
      <c r="M223" s="99">
        <f t="shared" si="13"/>
        <v>3456.6840000000002</v>
      </c>
      <c r="O223" s="98">
        <f t="shared" si="14"/>
        <v>2.6100911768336772</v>
      </c>
      <c r="P223" s="99">
        <f t="shared" si="15"/>
        <v>82.84818629646216</v>
      </c>
    </row>
    <row r="224" spans="1:16" x14ac:dyDescent="0.2">
      <c r="A224" s="10" t="s">
        <v>173</v>
      </c>
      <c r="B224" s="112"/>
      <c r="C224" s="8" t="s">
        <v>257</v>
      </c>
      <c r="D224" s="9" t="s">
        <v>258</v>
      </c>
      <c r="E224" s="1">
        <v>22.866</v>
      </c>
      <c r="F224" s="1">
        <v>0.79900000000000004</v>
      </c>
      <c r="G224" s="1">
        <v>60</v>
      </c>
      <c r="H224" s="1"/>
      <c r="I224" s="1"/>
      <c r="J224" s="1"/>
      <c r="K224">
        <f>IF(ISNA(VLOOKUP($A224,'Unit EDL'!$A:$C,3,FALSE)),0,VLOOKUP($A224,'Unit EDL'!$A:$C,3,FALSE))</f>
        <v>387</v>
      </c>
      <c r="L224" s="98">
        <f t="shared" si="12"/>
        <v>8849.1419999999998</v>
      </c>
      <c r="M224" s="99">
        <f t="shared" si="13"/>
        <v>309.21300000000002</v>
      </c>
      <c r="O224" s="98">
        <f t="shared" si="14"/>
        <v>2.6239832065074782</v>
      </c>
      <c r="P224" s="99">
        <f t="shared" si="15"/>
        <v>75.093867334167712</v>
      </c>
    </row>
    <row r="225" spans="1:16" x14ac:dyDescent="0.2">
      <c r="A225" s="12"/>
      <c r="K225">
        <f>IF(ISNA(VLOOKUP($A225,'Unit EDL'!$A:$C,3,FALSE)),0,VLOOKUP($A225,'Unit EDL'!$A:$C,3,FALSE))</f>
        <v>0</v>
      </c>
      <c r="L225" s="98">
        <f t="shared" si="12"/>
        <v>0</v>
      </c>
      <c r="M225" s="99">
        <f t="shared" si="13"/>
        <v>0</v>
      </c>
      <c r="O225" s="98">
        <f t="shared" si="14"/>
        <v>0</v>
      </c>
      <c r="P225" s="99">
        <f t="shared" si="15"/>
        <v>0</v>
      </c>
    </row>
    <row r="226" spans="1:16" x14ac:dyDescent="0.2">
      <c r="A226" s="6" t="s">
        <v>191</v>
      </c>
      <c r="B226" s="7" t="s">
        <v>114</v>
      </c>
      <c r="C226" s="8" t="s">
        <v>291</v>
      </c>
      <c r="D226" s="9" t="s">
        <v>292</v>
      </c>
      <c r="E226" s="1">
        <v>55.884999999999998</v>
      </c>
      <c r="F226" s="1">
        <v>1.893</v>
      </c>
      <c r="G226" s="1">
        <v>288</v>
      </c>
      <c r="H226" s="1">
        <v>4.782</v>
      </c>
      <c r="I226" s="1">
        <v>0.189</v>
      </c>
      <c r="J226" s="1">
        <v>288</v>
      </c>
      <c r="K226">
        <f>IF(ISNA(VLOOKUP($A226,'Unit EDL'!$A:$C,3,FALSE)),0,VLOOKUP($A226,'Unit EDL'!$A:$C,3,FALSE))</f>
        <v>106</v>
      </c>
      <c r="L226" s="98">
        <f t="shared" si="12"/>
        <v>5923.8099999999995</v>
      </c>
      <c r="M226" s="99">
        <f t="shared" si="13"/>
        <v>200.65800000000002</v>
      </c>
      <c r="O226" s="98">
        <f t="shared" si="14"/>
        <v>5.1534401002057795</v>
      </c>
      <c r="P226" s="99">
        <f t="shared" si="15"/>
        <v>152.13946117274168</v>
      </c>
    </row>
    <row r="227" spans="1:16" x14ac:dyDescent="0.2">
      <c r="A227" s="12"/>
      <c r="K227">
        <f>IF(ISNA(VLOOKUP($A227,'Unit EDL'!$A:$C,3,FALSE)),0,VLOOKUP($A227,'Unit EDL'!$A:$C,3,FALSE))</f>
        <v>0</v>
      </c>
      <c r="L227" s="98">
        <f t="shared" si="12"/>
        <v>0</v>
      </c>
      <c r="M227" s="99">
        <f t="shared" si="13"/>
        <v>0</v>
      </c>
      <c r="O227" s="98">
        <f t="shared" si="14"/>
        <v>0</v>
      </c>
      <c r="P227" s="99">
        <f t="shared" si="15"/>
        <v>0</v>
      </c>
    </row>
    <row r="228" spans="1:16" x14ac:dyDescent="0.2">
      <c r="A228" s="10" t="s">
        <v>193</v>
      </c>
      <c r="B228" s="111" t="s">
        <v>116</v>
      </c>
      <c r="C228" s="8" t="s">
        <v>297</v>
      </c>
      <c r="D228" s="9" t="s">
        <v>298</v>
      </c>
      <c r="E228" s="1">
        <v>6.7119999999999997</v>
      </c>
      <c r="F228" s="1">
        <v>0.747</v>
      </c>
      <c r="G228" s="1">
        <v>17</v>
      </c>
      <c r="H228" s="1">
        <v>0.28299999999999997</v>
      </c>
      <c r="I228" s="1">
        <v>0.121</v>
      </c>
      <c r="J228" s="1">
        <v>17</v>
      </c>
      <c r="K228">
        <f>IF(ISNA(VLOOKUP($A228,'Unit EDL'!$A:$C,3,FALSE)),0,VLOOKUP($A228,'Unit EDL'!$A:$C,3,FALSE))</f>
        <v>36</v>
      </c>
      <c r="L228" s="98">
        <f t="shared" si="12"/>
        <v>241.63200000000001</v>
      </c>
      <c r="M228" s="99">
        <f t="shared" si="13"/>
        <v>26.891999999999999</v>
      </c>
      <c r="O228" s="98">
        <f t="shared" si="14"/>
        <v>2.5327771156138259</v>
      </c>
      <c r="P228" s="99">
        <f t="shared" si="15"/>
        <v>22.757697456492636</v>
      </c>
    </row>
    <row r="229" spans="1:16" x14ac:dyDescent="0.2">
      <c r="A229" s="10" t="s">
        <v>193</v>
      </c>
      <c r="B229" s="113"/>
      <c r="C229" s="8" t="s">
        <v>299</v>
      </c>
      <c r="D229" s="9" t="s">
        <v>300</v>
      </c>
      <c r="E229" s="1">
        <v>3.5129999999999999</v>
      </c>
      <c r="F229" s="1">
        <v>0.39100000000000001</v>
      </c>
      <c r="G229" s="1">
        <v>8</v>
      </c>
      <c r="H229" s="1">
        <v>0.14799999999999999</v>
      </c>
      <c r="I229" s="1">
        <v>6.3E-2</v>
      </c>
      <c r="J229" s="1">
        <v>8</v>
      </c>
      <c r="K229">
        <f>IF(ISNA(VLOOKUP($A229,'Unit EDL'!$A:$C,3,FALSE)),0,VLOOKUP($A229,'Unit EDL'!$A:$C,3,FALSE))</f>
        <v>36</v>
      </c>
      <c r="L229" s="98">
        <f t="shared" si="12"/>
        <v>126.46799999999999</v>
      </c>
      <c r="M229" s="99">
        <f t="shared" si="13"/>
        <v>14.076000000000001</v>
      </c>
      <c r="O229" s="98">
        <f t="shared" si="14"/>
        <v>2.277255906632508</v>
      </c>
      <c r="P229" s="99">
        <f t="shared" si="15"/>
        <v>20.460358056265985</v>
      </c>
    </row>
    <row r="230" spans="1:16" x14ac:dyDescent="0.2">
      <c r="A230" s="10" t="s">
        <v>193</v>
      </c>
      <c r="B230" s="113"/>
      <c r="C230" s="8" t="s">
        <v>303</v>
      </c>
      <c r="D230" s="9" t="s">
        <v>304</v>
      </c>
      <c r="E230" s="1">
        <v>1.1619999999999999</v>
      </c>
      <c r="F230" s="1">
        <v>0.129</v>
      </c>
      <c r="G230" s="1">
        <v>8</v>
      </c>
      <c r="H230" s="1">
        <v>4.9000000000000002E-2</v>
      </c>
      <c r="I230" s="1">
        <v>2.1000000000000001E-2</v>
      </c>
      <c r="J230" s="1">
        <v>8</v>
      </c>
      <c r="K230">
        <f>IF(ISNA(VLOOKUP($A230,'Unit EDL'!$A:$C,3,FALSE)),0,VLOOKUP($A230,'Unit EDL'!$A:$C,3,FALSE))</f>
        <v>36</v>
      </c>
      <c r="L230" s="98">
        <f t="shared" si="12"/>
        <v>41.831999999999994</v>
      </c>
      <c r="M230" s="99">
        <f t="shared" si="13"/>
        <v>4.6440000000000001</v>
      </c>
      <c r="O230" s="98">
        <f t="shared" si="14"/>
        <v>6.8846815834767643</v>
      </c>
      <c r="P230" s="99">
        <f t="shared" si="15"/>
        <v>62.015503875968989</v>
      </c>
    </row>
    <row r="231" spans="1:16" x14ac:dyDescent="0.2">
      <c r="A231" s="10" t="s">
        <v>193</v>
      </c>
      <c r="B231" s="112"/>
      <c r="C231" s="8" t="s">
        <v>305</v>
      </c>
      <c r="D231" s="9" t="s">
        <v>306</v>
      </c>
      <c r="E231" s="1">
        <v>5.923</v>
      </c>
      <c r="F231" s="1">
        <v>0.65900000000000003</v>
      </c>
      <c r="G231" s="1">
        <v>15</v>
      </c>
      <c r="H231" s="1">
        <v>0.249</v>
      </c>
      <c r="I231" s="1">
        <v>0.107</v>
      </c>
      <c r="J231" s="1">
        <v>15</v>
      </c>
      <c r="K231">
        <f>IF(ISNA(VLOOKUP($A231,'Unit EDL'!$A:$C,3,FALSE)),0,VLOOKUP($A231,'Unit EDL'!$A:$C,3,FALSE))</f>
        <v>36</v>
      </c>
      <c r="L231" s="98">
        <f t="shared" si="12"/>
        <v>213.22800000000001</v>
      </c>
      <c r="M231" s="99">
        <f t="shared" si="13"/>
        <v>23.724</v>
      </c>
      <c r="O231" s="98">
        <f t="shared" si="14"/>
        <v>2.5325004220834035</v>
      </c>
      <c r="P231" s="99">
        <f t="shared" si="15"/>
        <v>22.761760242792107</v>
      </c>
    </row>
    <row r="232" spans="1:16" x14ac:dyDescent="0.2">
      <c r="A232" s="12"/>
      <c r="K232">
        <f>IF(ISNA(VLOOKUP($A232,'Unit EDL'!$A:$C,3,FALSE)),0,VLOOKUP($A232,'Unit EDL'!$A:$C,3,FALSE))</f>
        <v>0</v>
      </c>
      <c r="L232" s="98">
        <f t="shared" si="12"/>
        <v>0</v>
      </c>
      <c r="M232" s="99">
        <f t="shared" si="13"/>
        <v>0</v>
      </c>
      <c r="O232" s="98">
        <f t="shared" si="14"/>
        <v>0</v>
      </c>
      <c r="P232" s="99">
        <f t="shared" si="15"/>
        <v>0</v>
      </c>
    </row>
    <row r="233" spans="1:16" x14ac:dyDescent="0.2">
      <c r="A233" s="10" t="s">
        <v>197</v>
      </c>
      <c r="B233" s="111" t="s">
        <v>120</v>
      </c>
      <c r="C233" s="8" t="s">
        <v>325</v>
      </c>
      <c r="D233" s="9" t="s">
        <v>326</v>
      </c>
      <c r="E233" s="1">
        <v>8.8070000000000004</v>
      </c>
      <c r="F233" s="1">
        <v>2.9350000000000001</v>
      </c>
      <c r="G233" s="1">
        <v>25</v>
      </c>
      <c r="H233" s="1"/>
      <c r="I233" s="1"/>
      <c r="J233" s="1"/>
      <c r="K233">
        <f>IF(ISNA(VLOOKUP($A233,'Unit EDL'!$A:$C,3,FALSE)),0,VLOOKUP($A233,'Unit EDL'!$A:$C,3,FALSE))</f>
        <v>0</v>
      </c>
      <c r="L233" s="98">
        <f t="shared" si="12"/>
        <v>0</v>
      </c>
      <c r="M233" s="99">
        <f t="shared" si="13"/>
        <v>0</v>
      </c>
      <c r="O233" s="98">
        <f t="shared" si="14"/>
        <v>0</v>
      </c>
      <c r="P233" s="99">
        <f t="shared" si="15"/>
        <v>0</v>
      </c>
    </row>
    <row r="234" spans="1:16" x14ac:dyDescent="0.2">
      <c r="A234" s="10" t="s">
        <v>197</v>
      </c>
      <c r="B234" s="113"/>
      <c r="C234" s="8" t="s">
        <v>327</v>
      </c>
      <c r="D234" s="9" t="s">
        <v>328</v>
      </c>
      <c r="E234" s="1">
        <v>0.83799999999999997</v>
      </c>
      <c r="F234" s="1">
        <v>0.26700000000000002</v>
      </c>
      <c r="G234" s="1">
        <v>2</v>
      </c>
      <c r="H234" s="1"/>
      <c r="I234" s="1"/>
      <c r="J234" s="1"/>
      <c r="K234">
        <f>IF(ISNA(VLOOKUP($A234,'Unit EDL'!$A:$C,3,FALSE)),0,VLOOKUP($A234,'Unit EDL'!$A:$C,3,FALSE))</f>
        <v>0</v>
      </c>
      <c r="L234" s="98">
        <f t="shared" si="12"/>
        <v>0</v>
      </c>
      <c r="M234" s="99">
        <f t="shared" si="13"/>
        <v>0</v>
      </c>
      <c r="O234" s="98">
        <f t="shared" si="14"/>
        <v>0</v>
      </c>
      <c r="P234" s="99">
        <f t="shared" si="15"/>
        <v>0</v>
      </c>
    </row>
    <row r="235" spans="1:16" x14ac:dyDescent="0.2">
      <c r="A235" s="10" t="s">
        <v>197</v>
      </c>
      <c r="B235" s="113"/>
      <c r="C235" s="8" t="s">
        <v>29</v>
      </c>
      <c r="D235" s="9" t="s">
        <v>30</v>
      </c>
      <c r="E235" s="1">
        <v>0.745</v>
      </c>
      <c r="F235" s="1">
        <v>0.23699999999999999</v>
      </c>
      <c r="G235" s="1">
        <v>2</v>
      </c>
      <c r="H235" s="1"/>
      <c r="I235" s="1"/>
      <c r="J235" s="1"/>
      <c r="K235">
        <f>IF(ISNA(VLOOKUP($A235,'Unit EDL'!$A:$C,3,FALSE)),0,VLOOKUP($A235,'Unit EDL'!$A:$C,3,FALSE))</f>
        <v>0</v>
      </c>
      <c r="L235" s="98">
        <f t="shared" si="12"/>
        <v>0</v>
      </c>
      <c r="M235" s="99">
        <f t="shared" si="13"/>
        <v>0</v>
      </c>
      <c r="O235" s="98">
        <f t="shared" si="14"/>
        <v>0</v>
      </c>
      <c r="P235" s="99">
        <f t="shared" si="15"/>
        <v>0</v>
      </c>
    </row>
    <row r="236" spans="1:16" x14ac:dyDescent="0.2">
      <c r="A236" s="10" t="s">
        <v>197</v>
      </c>
      <c r="B236" s="113"/>
      <c r="C236" s="8" t="s">
        <v>331</v>
      </c>
      <c r="D236" s="9" t="s">
        <v>332</v>
      </c>
      <c r="E236" s="1">
        <v>0.502</v>
      </c>
      <c r="F236" s="1">
        <v>3.2000000000000001E-2</v>
      </c>
      <c r="G236" s="1">
        <v>9</v>
      </c>
      <c r="H236" s="1"/>
      <c r="I236" s="1"/>
      <c r="J236" s="1"/>
      <c r="K236">
        <f>IF(ISNA(VLOOKUP($A236,'Unit EDL'!$A:$C,3,FALSE)),0,VLOOKUP($A236,'Unit EDL'!$A:$C,3,FALSE))</f>
        <v>0</v>
      </c>
      <c r="L236" s="98">
        <f t="shared" si="12"/>
        <v>0</v>
      </c>
      <c r="M236" s="99">
        <f t="shared" si="13"/>
        <v>0</v>
      </c>
      <c r="O236" s="98">
        <f t="shared" si="14"/>
        <v>0</v>
      </c>
      <c r="P236" s="99">
        <f t="shared" si="15"/>
        <v>0</v>
      </c>
    </row>
    <row r="237" spans="1:16" x14ac:dyDescent="0.2">
      <c r="A237" s="10" t="s">
        <v>197</v>
      </c>
      <c r="B237" s="112"/>
      <c r="C237" s="8" t="s">
        <v>2</v>
      </c>
      <c r="D237" s="9" t="s">
        <v>3</v>
      </c>
      <c r="E237" s="1">
        <v>0.71</v>
      </c>
      <c r="F237" s="1">
        <v>0.247</v>
      </c>
      <c r="G237" s="1">
        <v>2</v>
      </c>
      <c r="H237" s="1"/>
      <c r="I237" s="1"/>
      <c r="J237" s="1"/>
      <c r="K237">
        <f>IF(ISNA(VLOOKUP($A237,'Unit EDL'!$A:$C,3,FALSE)),0,VLOOKUP($A237,'Unit EDL'!$A:$C,3,FALSE))</f>
        <v>0</v>
      </c>
      <c r="L237" s="98">
        <f t="shared" si="12"/>
        <v>0</v>
      </c>
      <c r="M237" s="99">
        <f t="shared" si="13"/>
        <v>0</v>
      </c>
      <c r="O237" s="98">
        <f t="shared" si="14"/>
        <v>0</v>
      </c>
      <c r="P237" s="99">
        <f t="shared" si="15"/>
        <v>0</v>
      </c>
    </row>
    <row r="238" spans="1:16" x14ac:dyDescent="0.2">
      <c r="A238" s="12"/>
      <c r="K238">
        <f>IF(ISNA(VLOOKUP($A238,'Unit EDL'!$A:$C,3,FALSE)),0,VLOOKUP($A238,'Unit EDL'!$A:$C,3,FALSE))</f>
        <v>0</v>
      </c>
      <c r="L238" s="98">
        <f t="shared" si="12"/>
        <v>0</v>
      </c>
      <c r="M238" s="99">
        <f t="shared" si="13"/>
        <v>0</v>
      </c>
      <c r="O238" s="98">
        <f t="shared" si="14"/>
        <v>0</v>
      </c>
      <c r="P238" s="99">
        <f t="shared" si="15"/>
        <v>0</v>
      </c>
    </row>
    <row r="239" spans="1:16" x14ac:dyDescent="0.2">
      <c r="A239" s="10" t="s">
        <v>194</v>
      </c>
      <c r="B239" s="111" t="s">
        <v>117</v>
      </c>
      <c r="C239" s="8" t="s">
        <v>307</v>
      </c>
      <c r="D239" s="9" t="s">
        <v>308</v>
      </c>
      <c r="E239" s="1">
        <v>1.823</v>
      </c>
      <c r="F239" s="1">
        <v>0.17199999999999999</v>
      </c>
      <c r="G239" s="1">
        <v>6</v>
      </c>
      <c r="H239" s="1"/>
      <c r="I239" s="1"/>
      <c r="J239" s="1"/>
      <c r="K239">
        <f>IF(ISNA(VLOOKUP($A239,'Unit EDL'!$A:$C,3,FALSE)),0,VLOOKUP($A239,'Unit EDL'!$A:$C,3,FALSE))</f>
        <v>26</v>
      </c>
      <c r="L239" s="98">
        <f t="shared" si="12"/>
        <v>47.397999999999996</v>
      </c>
      <c r="M239" s="99">
        <f t="shared" si="13"/>
        <v>4.4719999999999995</v>
      </c>
      <c r="O239" s="98">
        <f t="shared" si="14"/>
        <v>3.2912781130005486</v>
      </c>
      <c r="P239" s="99">
        <f t="shared" si="15"/>
        <v>34.883720930232563</v>
      </c>
    </row>
    <row r="240" spans="1:16" x14ac:dyDescent="0.2">
      <c r="A240" s="10" t="s">
        <v>194</v>
      </c>
      <c r="B240" s="113"/>
      <c r="C240" s="8" t="s">
        <v>311</v>
      </c>
      <c r="D240" s="9" t="s">
        <v>312</v>
      </c>
      <c r="E240" s="1">
        <v>12.369</v>
      </c>
      <c r="F240" s="1">
        <v>1.1659999999999999</v>
      </c>
      <c r="G240" s="1">
        <v>32</v>
      </c>
      <c r="H240" s="1"/>
      <c r="I240" s="1"/>
      <c r="J240" s="1"/>
      <c r="K240">
        <f>IF(ISNA(VLOOKUP($A240,'Unit EDL'!$A:$C,3,FALSE)),0,VLOOKUP($A240,'Unit EDL'!$A:$C,3,FALSE))</f>
        <v>26</v>
      </c>
      <c r="L240" s="98">
        <f t="shared" si="12"/>
        <v>321.59399999999999</v>
      </c>
      <c r="M240" s="99">
        <f t="shared" si="13"/>
        <v>30.315999999999999</v>
      </c>
      <c r="O240" s="98">
        <f t="shared" si="14"/>
        <v>2.5871129436494464</v>
      </c>
      <c r="P240" s="99">
        <f t="shared" si="15"/>
        <v>27.444253859348201</v>
      </c>
    </row>
    <row r="241" spans="1:16" x14ac:dyDescent="0.2">
      <c r="A241" s="10" t="s">
        <v>194</v>
      </c>
      <c r="B241" s="113"/>
      <c r="C241" s="8" t="s">
        <v>313</v>
      </c>
      <c r="D241" s="9" t="s">
        <v>314</v>
      </c>
      <c r="E241" s="1">
        <v>10.823</v>
      </c>
      <c r="F241" s="1">
        <v>1.0209999999999999</v>
      </c>
      <c r="G241" s="1">
        <v>28</v>
      </c>
      <c r="H241" s="1"/>
      <c r="I241" s="1"/>
      <c r="J241" s="1"/>
      <c r="K241">
        <f>IF(ISNA(VLOOKUP($A241,'Unit EDL'!$A:$C,3,FALSE)),0,VLOOKUP($A241,'Unit EDL'!$A:$C,3,FALSE))</f>
        <v>26</v>
      </c>
      <c r="L241" s="98">
        <f t="shared" si="12"/>
        <v>281.39800000000002</v>
      </c>
      <c r="M241" s="99">
        <f t="shared" si="13"/>
        <v>26.545999999999999</v>
      </c>
      <c r="O241" s="98">
        <f t="shared" si="14"/>
        <v>2.587083063845514</v>
      </c>
      <c r="P241" s="99">
        <f t="shared" si="15"/>
        <v>27.424094025465234</v>
      </c>
    </row>
    <row r="242" spans="1:16" x14ac:dyDescent="0.2">
      <c r="A242" s="10" t="s">
        <v>194</v>
      </c>
      <c r="B242" s="113"/>
      <c r="C242" s="8" t="s">
        <v>315</v>
      </c>
      <c r="D242" s="9" t="s">
        <v>316</v>
      </c>
      <c r="E242" s="1">
        <v>5.891</v>
      </c>
      <c r="F242" s="1">
        <v>0.55500000000000005</v>
      </c>
      <c r="G242" s="1">
        <v>6</v>
      </c>
      <c r="H242" s="1"/>
      <c r="I242" s="1"/>
      <c r="J242" s="1"/>
      <c r="K242">
        <f>IF(ISNA(VLOOKUP($A242,'Unit EDL'!$A:$C,3,FALSE)),0,VLOOKUP($A242,'Unit EDL'!$A:$C,3,FALSE))</f>
        <v>26</v>
      </c>
      <c r="L242" s="98">
        <f t="shared" si="12"/>
        <v>153.166</v>
      </c>
      <c r="M242" s="99">
        <f t="shared" si="13"/>
        <v>14.430000000000001</v>
      </c>
      <c r="O242" s="98">
        <f t="shared" si="14"/>
        <v>1.0185028008827024</v>
      </c>
      <c r="P242" s="99">
        <f t="shared" si="15"/>
        <v>10.810810810810811</v>
      </c>
    </row>
    <row r="243" spans="1:16" x14ac:dyDescent="0.2">
      <c r="A243" s="10" t="s">
        <v>194</v>
      </c>
      <c r="B243" s="112"/>
      <c r="C243" s="8" t="s">
        <v>317</v>
      </c>
      <c r="D243" s="9" t="s">
        <v>318</v>
      </c>
      <c r="E243" s="1">
        <v>3.9289999999999998</v>
      </c>
      <c r="F243" s="1">
        <v>0.37</v>
      </c>
      <c r="G243" s="1">
        <v>6</v>
      </c>
      <c r="H243" s="1"/>
      <c r="I243" s="1"/>
      <c r="J243" s="1"/>
      <c r="K243">
        <f>IF(ISNA(VLOOKUP($A243,'Unit EDL'!$A:$C,3,FALSE)),0,VLOOKUP($A243,'Unit EDL'!$A:$C,3,FALSE))</f>
        <v>26</v>
      </c>
      <c r="L243" s="98">
        <f t="shared" si="12"/>
        <v>102.154</v>
      </c>
      <c r="M243" s="99">
        <f t="shared" si="13"/>
        <v>9.6199999999999992</v>
      </c>
      <c r="O243" s="98">
        <f t="shared" si="14"/>
        <v>1.5271061338763046</v>
      </c>
      <c r="P243" s="99">
        <f t="shared" si="15"/>
        <v>16.216216216216218</v>
      </c>
    </row>
    <row r="244" spans="1:16" x14ac:dyDescent="0.2">
      <c r="A244" s="12"/>
      <c r="K244">
        <f>IF(ISNA(VLOOKUP($A244,'Unit EDL'!$A:$C,3,FALSE)),0,VLOOKUP($A244,'Unit EDL'!$A:$C,3,FALSE))</f>
        <v>0</v>
      </c>
      <c r="L244" s="98">
        <f t="shared" si="12"/>
        <v>0</v>
      </c>
      <c r="M244" s="99">
        <f t="shared" si="13"/>
        <v>0</v>
      </c>
      <c r="O244" s="98">
        <f t="shared" si="14"/>
        <v>0</v>
      </c>
      <c r="P244" s="99">
        <f t="shared" si="15"/>
        <v>0</v>
      </c>
    </row>
    <row r="245" spans="1:16" x14ac:dyDescent="0.2">
      <c r="A245" s="6" t="s">
        <v>175</v>
      </c>
      <c r="B245" s="7" t="s">
        <v>98</v>
      </c>
      <c r="C245" s="8" t="s">
        <v>239</v>
      </c>
      <c r="D245" s="9" t="s">
        <v>240</v>
      </c>
      <c r="E245" s="1">
        <v>3.488</v>
      </c>
      <c r="F245" s="1">
        <v>3.488</v>
      </c>
      <c r="G245" s="1">
        <v>30</v>
      </c>
      <c r="H245" s="1">
        <v>3.77</v>
      </c>
      <c r="I245" s="1">
        <v>3.488</v>
      </c>
      <c r="J245" s="1">
        <v>30</v>
      </c>
      <c r="K245">
        <f>IF(ISNA(VLOOKUP($A245,'Unit EDL'!$A:$C,3,FALSE)),0,VLOOKUP($A245,'Unit EDL'!$A:$C,3,FALSE))</f>
        <v>870</v>
      </c>
      <c r="L245" s="98">
        <f t="shared" si="12"/>
        <v>3034.56</v>
      </c>
      <c r="M245" s="99">
        <f t="shared" si="13"/>
        <v>3034.56</v>
      </c>
      <c r="O245" s="98">
        <f t="shared" si="14"/>
        <v>8.6009174311926611</v>
      </c>
      <c r="P245" s="99">
        <f t="shared" si="15"/>
        <v>8.6009174311926611</v>
      </c>
    </row>
    <row r="246" spans="1:16" x14ac:dyDescent="0.2">
      <c r="A246" s="12"/>
      <c r="K246">
        <f>IF(ISNA(VLOOKUP($A246,'Unit EDL'!$A:$C,3,FALSE)),0,VLOOKUP($A246,'Unit EDL'!$A:$C,3,FALSE))</f>
        <v>0</v>
      </c>
      <c r="L246" s="98">
        <f t="shared" si="12"/>
        <v>0</v>
      </c>
      <c r="M246" s="99">
        <f t="shared" si="13"/>
        <v>0</v>
      </c>
      <c r="O246" s="98">
        <f t="shared" si="14"/>
        <v>0</v>
      </c>
      <c r="P246" s="99">
        <f t="shared" si="15"/>
        <v>0</v>
      </c>
    </row>
    <row r="247" spans="1:16" x14ac:dyDescent="0.2">
      <c r="A247" s="6" t="s">
        <v>176</v>
      </c>
      <c r="B247" s="7" t="s">
        <v>99</v>
      </c>
      <c r="C247" s="8" t="s">
        <v>241</v>
      </c>
      <c r="D247" s="9" t="s">
        <v>242</v>
      </c>
      <c r="E247" s="1">
        <v>54</v>
      </c>
      <c r="F247" s="1">
        <v>54</v>
      </c>
      <c r="G247" s="1">
        <v>54</v>
      </c>
      <c r="H247" s="1"/>
      <c r="I247" s="1"/>
      <c r="J247" s="1"/>
      <c r="K247">
        <f>IF(ISNA(VLOOKUP($A247,'Unit EDL'!$A:$C,3,FALSE)),0,VLOOKUP($A247,'Unit EDL'!$A:$C,3,FALSE))</f>
        <v>0</v>
      </c>
      <c r="L247" s="98">
        <f t="shared" si="12"/>
        <v>0</v>
      </c>
      <c r="M247" s="99">
        <f t="shared" si="13"/>
        <v>0</v>
      </c>
      <c r="O247" s="98">
        <f t="shared" si="14"/>
        <v>0</v>
      </c>
      <c r="P247" s="99">
        <f t="shared" si="15"/>
        <v>0</v>
      </c>
    </row>
    <row r="248" spans="1:16" x14ac:dyDescent="0.2">
      <c r="A248" s="12"/>
      <c r="K248">
        <f>IF(ISNA(VLOOKUP($A248,'Unit EDL'!$A:$C,3,FALSE)),0,VLOOKUP($A248,'Unit EDL'!$A:$C,3,FALSE))</f>
        <v>0</v>
      </c>
      <c r="L248" s="98">
        <f t="shared" si="12"/>
        <v>0</v>
      </c>
      <c r="M248" s="99">
        <f t="shared" si="13"/>
        <v>0</v>
      </c>
      <c r="O248" s="98">
        <f t="shared" si="14"/>
        <v>0</v>
      </c>
      <c r="P248" s="99">
        <f t="shared" si="15"/>
        <v>0</v>
      </c>
    </row>
    <row r="249" spans="1:16" x14ac:dyDescent="0.2">
      <c r="A249" s="10" t="s">
        <v>181</v>
      </c>
      <c r="B249" s="111" t="s">
        <v>104</v>
      </c>
      <c r="C249" s="8" t="s">
        <v>243</v>
      </c>
      <c r="D249" s="9" t="s">
        <v>244</v>
      </c>
      <c r="E249" s="1">
        <v>0</v>
      </c>
      <c r="F249" s="1">
        <v>0</v>
      </c>
      <c r="G249" s="1">
        <v>400</v>
      </c>
      <c r="H249" s="1">
        <v>0</v>
      </c>
      <c r="I249" s="1">
        <v>0</v>
      </c>
      <c r="J249" s="1">
        <v>400</v>
      </c>
      <c r="K249">
        <f>IF(ISNA(VLOOKUP($A249,'Unit EDL'!$A:$C,3,FALSE)),0,VLOOKUP($A249,'Unit EDL'!$A:$C,3,FALSE))</f>
        <v>16</v>
      </c>
      <c r="L249" s="98">
        <f t="shared" si="12"/>
        <v>0</v>
      </c>
      <c r="M249" s="99">
        <f t="shared" si="13"/>
        <v>0</v>
      </c>
      <c r="O249" s="98">
        <f t="shared" si="14"/>
        <v>999</v>
      </c>
      <c r="P249" s="99">
        <f t="shared" si="15"/>
        <v>999</v>
      </c>
    </row>
    <row r="250" spans="1:16" x14ac:dyDescent="0.2">
      <c r="A250" s="10" t="s">
        <v>181</v>
      </c>
      <c r="B250" s="113"/>
      <c r="C250" s="8" t="s">
        <v>245</v>
      </c>
      <c r="D250" s="9" t="s">
        <v>246</v>
      </c>
      <c r="E250" s="1">
        <v>0.877</v>
      </c>
      <c r="F250" s="1">
        <v>0.38400000000000001</v>
      </c>
      <c r="G250" s="1">
        <v>400</v>
      </c>
      <c r="H250" s="1">
        <v>4.01</v>
      </c>
      <c r="I250" s="1">
        <v>0.63400000000000001</v>
      </c>
      <c r="J250" s="1">
        <v>400</v>
      </c>
      <c r="K250">
        <f>IF(ISNA(VLOOKUP($A250,'Unit EDL'!$A:$C,3,FALSE)),0,VLOOKUP($A250,'Unit EDL'!$A:$C,3,FALSE))</f>
        <v>16</v>
      </c>
      <c r="L250" s="98">
        <f t="shared" si="12"/>
        <v>14.032</v>
      </c>
      <c r="M250" s="99">
        <f t="shared" si="13"/>
        <v>6.1440000000000001</v>
      </c>
      <c r="O250" s="98">
        <f t="shared" si="14"/>
        <v>456.10034207525655</v>
      </c>
      <c r="P250" s="99">
        <f t="shared" si="15"/>
        <v>1041.6666666666667</v>
      </c>
    </row>
    <row r="251" spans="1:16" x14ac:dyDescent="0.2">
      <c r="A251" s="10" t="s">
        <v>181</v>
      </c>
      <c r="B251" s="113"/>
      <c r="C251" s="8" t="s">
        <v>343</v>
      </c>
      <c r="D251" s="9" t="s">
        <v>344</v>
      </c>
      <c r="E251" s="1">
        <v>0</v>
      </c>
      <c r="F251" s="1">
        <v>0</v>
      </c>
      <c r="G251" s="1">
        <v>4</v>
      </c>
      <c r="H251" s="1">
        <v>1.546</v>
      </c>
      <c r="I251" s="1">
        <v>0.28100000000000003</v>
      </c>
      <c r="J251" s="1">
        <v>4</v>
      </c>
      <c r="K251">
        <f>IF(ISNA(VLOOKUP($A251,'Unit EDL'!$A:$C,3,FALSE)),0,VLOOKUP($A251,'Unit EDL'!$A:$C,3,FALSE))</f>
        <v>16</v>
      </c>
      <c r="L251" s="98">
        <f t="shared" si="12"/>
        <v>0</v>
      </c>
      <c r="M251" s="99">
        <f t="shared" si="13"/>
        <v>0</v>
      </c>
      <c r="O251" s="98">
        <f t="shared" si="14"/>
        <v>999</v>
      </c>
      <c r="P251" s="99">
        <f t="shared" si="15"/>
        <v>999</v>
      </c>
    </row>
    <row r="252" spans="1:16" x14ac:dyDescent="0.2">
      <c r="A252" s="10" t="s">
        <v>181</v>
      </c>
      <c r="B252" s="113"/>
      <c r="C252" s="8" t="s">
        <v>361</v>
      </c>
      <c r="D252" s="9" t="s">
        <v>362</v>
      </c>
      <c r="E252" s="1">
        <v>2.835</v>
      </c>
      <c r="F252" s="1">
        <v>1.4430000000000001</v>
      </c>
      <c r="G252" s="1">
        <v>16</v>
      </c>
      <c r="H252" s="1">
        <v>2.6030000000000002</v>
      </c>
      <c r="I252" s="1">
        <v>1.4430000000000001</v>
      </c>
      <c r="J252" s="1">
        <v>16</v>
      </c>
      <c r="K252">
        <f>IF(ISNA(VLOOKUP($A252,'Unit EDL'!$A:$C,3,FALSE)),0,VLOOKUP($A252,'Unit EDL'!$A:$C,3,FALSE))</f>
        <v>16</v>
      </c>
      <c r="L252" s="98">
        <f t="shared" si="12"/>
        <v>45.36</v>
      </c>
      <c r="M252" s="99">
        <f t="shared" si="13"/>
        <v>23.088000000000001</v>
      </c>
      <c r="O252" s="98">
        <f t="shared" si="14"/>
        <v>5.6437389770723101</v>
      </c>
      <c r="P252" s="99">
        <f t="shared" si="15"/>
        <v>11.088011088011088</v>
      </c>
    </row>
    <row r="253" spans="1:16" x14ac:dyDescent="0.2">
      <c r="A253" s="10" t="s">
        <v>181</v>
      </c>
      <c r="B253" s="112"/>
      <c r="C253" s="8" t="s">
        <v>363</v>
      </c>
      <c r="D253" s="9" t="s">
        <v>364</v>
      </c>
      <c r="E253" s="1">
        <v>0</v>
      </c>
      <c r="F253" s="1">
        <v>0</v>
      </c>
      <c r="G253" s="1">
        <v>4</v>
      </c>
      <c r="H253" s="1">
        <v>0</v>
      </c>
      <c r="I253" s="1">
        <v>0</v>
      </c>
      <c r="J253" s="1">
        <v>4</v>
      </c>
      <c r="K253">
        <f>IF(ISNA(VLOOKUP($A253,'Unit EDL'!$A:$C,3,FALSE)),0,VLOOKUP($A253,'Unit EDL'!$A:$C,3,FALSE))</f>
        <v>16</v>
      </c>
      <c r="L253" s="98">
        <f t="shared" si="12"/>
        <v>0</v>
      </c>
      <c r="M253" s="99">
        <f t="shared" si="13"/>
        <v>0</v>
      </c>
      <c r="O253" s="98">
        <f t="shared" si="14"/>
        <v>999</v>
      </c>
      <c r="P253" s="99">
        <f t="shared" si="15"/>
        <v>999</v>
      </c>
    </row>
    <row r="254" spans="1:16" x14ac:dyDescent="0.2">
      <c r="A254" s="12"/>
      <c r="K254">
        <f>IF(ISNA(VLOOKUP($A254,'Unit EDL'!$A:$C,3,FALSE)),0,VLOOKUP($A254,'Unit EDL'!$A:$C,3,FALSE))</f>
        <v>0</v>
      </c>
      <c r="L254" s="98">
        <f t="shared" si="12"/>
        <v>0</v>
      </c>
      <c r="M254" s="99">
        <f t="shared" si="13"/>
        <v>0</v>
      </c>
      <c r="O254" s="98">
        <f t="shared" si="14"/>
        <v>0</v>
      </c>
      <c r="P254" s="99">
        <f t="shared" si="15"/>
        <v>0</v>
      </c>
    </row>
    <row r="255" spans="1:16" x14ac:dyDescent="0.2">
      <c r="A255" s="10" t="s">
        <v>156</v>
      </c>
      <c r="B255" s="111" t="s">
        <v>79</v>
      </c>
      <c r="C255" s="8" t="s">
        <v>229</v>
      </c>
      <c r="D255" s="9" t="s">
        <v>230</v>
      </c>
      <c r="E255" s="1">
        <v>40.896999999999998</v>
      </c>
      <c r="F255" s="1">
        <v>1.071</v>
      </c>
      <c r="G255" s="1">
        <v>300</v>
      </c>
      <c r="H255" s="1">
        <v>3.5609999999999999</v>
      </c>
      <c r="I255" s="1">
        <v>0.61099999999999999</v>
      </c>
      <c r="J255" s="1">
        <v>160</v>
      </c>
      <c r="K255">
        <f>IF(ISNA(VLOOKUP($A255,'Unit EDL'!$A:$C,3,FALSE)),0,VLOOKUP($A255,'Unit EDL'!$A:$C,3,FALSE))</f>
        <v>2869</v>
      </c>
      <c r="L255" s="98">
        <f t="shared" si="12"/>
        <v>117333.493</v>
      </c>
      <c r="M255" s="99">
        <f t="shared" si="13"/>
        <v>3072.6990000000001</v>
      </c>
      <c r="O255" s="98">
        <f t="shared" si="14"/>
        <v>7.3355013815194274</v>
      </c>
      <c r="P255" s="99">
        <f t="shared" si="15"/>
        <v>280.1120448179272</v>
      </c>
    </row>
    <row r="256" spans="1:16" x14ac:dyDescent="0.2">
      <c r="A256" s="10" t="s">
        <v>156</v>
      </c>
      <c r="B256" s="112"/>
      <c r="C256" s="8" t="s">
        <v>231</v>
      </c>
      <c r="D256" s="9" t="s">
        <v>232</v>
      </c>
      <c r="E256" s="1">
        <v>5.085</v>
      </c>
      <c r="F256" s="1">
        <v>7.5999999999999998E-2</v>
      </c>
      <c r="G256" s="1">
        <v>40</v>
      </c>
      <c r="H256" s="1">
        <v>3.5000000000000003E-2</v>
      </c>
      <c r="I256" s="1">
        <v>7.0000000000000001E-3</v>
      </c>
      <c r="J256" s="1">
        <v>20</v>
      </c>
      <c r="K256">
        <f>IF(ISNA(VLOOKUP($A256,'Unit EDL'!$A:$C,3,FALSE)),0,VLOOKUP($A256,'Unit EDL'!$A:$C,3,FALSE))</f>
        <v>2869</v>
      </c>
      <c r="L256" s="98">
        <f t="shared" si="12"/>
        <v>14588.865</v>
      </c>
      <c r="M256" s="99">
        <f t="shared" si="13"/>
        <v>218.04399999999998</v>
      </c>
      <c r="O256" s="98">
        <f t="shared" si="14"/>
        <v>7.8662733529990172</v>
      </c>
      <c r="P256" s="99">
        <f t="shared" si="15"/>
        <v>526.31578947368428</v>
      </c>
    </row>
    <row r="257" spans="1:16" x14ac:dyDescent="0.2">
      <c r="A257" s="12"/>
      <c r="K257">
        <f>IF(ISNA(VLOOKUP($A257,'Unit EDL'!$A:$C,3,FALSE)),0,VLOOKUP($A257,'Unit EDL'!$A:$C,3,FALSE))</f>
        <v>0</v>
      </c>
      <c r="L257" s="98">
        <f t="shared" si="12"/>
        <v>0</v>
      </c>
      <c r="M257" s="99">
        <f t="shared" si="13"/>
        <v>0</v>
      </c>
      <c r="O257" s="98">
        <f t="shared" si="14"/>
        <v>0</v>
      </c>
      <c r="P257" s="99">
        <f t="shared" si="15"/>
        <v>0</v>
      </c>
    </row>
    <row r="258" spans="1:16" x14ac:dyDescent="0.2">
      <c r="A258" s="10" t="s">
        <v>160</v>
      </c>
      <c r="B258" s="111" t="s">
        <v>83</v>
      </c>
      <c r="C258" s="8" t="s">
        <v>231</v>
      </c>
      <c r="D258" s="9" t="s">
        <v>232</v>
      </c>
      <c r="E258" s="1">
        <v>5.085</v>
      </c>
      <c r="F258" s="1">
        <v>7.5999999999999998E-2</v>
      </c>
      <c r="G258" s="1">
        <v>20</v>
      </c>
      <c r="H258" s="1">
        <v>3.5000000000000003E-2</v>
      </c>
      <c r="I258" s="1">
        <v>7.0000000000000001E-3</v>
      </c>
      <c r="J258" s="1">
        <v>20</v>
      </c>
      <c r="K258">
        <f>IF(ISNA(VLOOKUP($A258,'Unit EDL'!$A:$C,3,FALSE)),0,VLOOKUP($A258,'Unit EDL'!$A:$C,3,FALSE))</f>
        <v>0</v>
      </c>
      <c r="L258" s="98">
        <f t="shared" si="12"/>
        <v>0</v>
      </c>
      <c r="M258" s="99">
        <f t="shared" si="13"/>
        <v>0</v>
      </c>
      <c r="O258" s="98">
        <f t="shared" si="14"/>
        <v>0</v>
      </c>
      <c r="P258" s="99">
        <f t="shared" si="15"/>
        <v>0</v>
      </c>
    </row>
    <row r="259" spans="1:16" x14ac:dyDescent="0.2">
      <c r="A259" s="10" t="s">
        <v>160</v>
      </c>
      <c r="B259" s="112"/>
      <c r="C259" s="8" t="s">
        <v>263</v>
      </c>
      <c r="D259" s="9" t="s">
        <v>264</v>
      </c>
      <c r="E259" s="1">
        <v>40.896999999999998</v>
      </c>
      <c r="F259" s="1">
        <v>1.071</v>
      </c>
      <c r="G259" s="1">
        <v>350</v>
      </c>
      <c r="H259" s="1">
        <v>3.5609999999999999</v>
      </c>
      <c r="I259" s="1">
        <v>0.61099999999999999</v>
      </c>
      <c r="J259" s="1">
        <v>160</v>
      </c>
      <c r="K259">
        <f>IF(ISNA(VLOOKUP($A259,'Unit EDL'!$A:$C,3,FALSE)),0,VLOOKUP($A259,'Unit EDL'!$A:$C,3,FALSE))</f>
        <v>0</v>
      </c>
      <c r="L259" s="98">
        <f t="shared" si="12"/>
        <v>0</v>
      </c>
      <c r="M259" s="99">
        <f t="shared" si="13"/>
        <v>0</v>
      </c>
      <c r="O259" s="98">
        <f t="shared" si="14"/>
        <v>0</v>
      </c>
      <c r="P259" s="99">
        <f t="shared" si="15"/>
        <v>0</v>
      </c>
    </row>
    <row r="260" spans="1:16" x14ac:dyDescent="0.2">
      <c r="A260" s="12"/>
      <c r="K260">
        <f>IF(ISNA(VLOOKUP($A260,'Unit EDL'!$A:$C,3,FALSE)),0,VLOOKUP($A260,'Unit EDL'!$A:$C,3,FALSE))</f>
        <v>0</v>
      </c>
      <c r="L260" s="98">
        <f t="shared" si="12"/>
        <v>0</v>
      </c>
      <c r="M260" s="99">
        <f t="shared" si="13"/>
        <v>0</v>
      </c>
      <c r="O260" s="98">
        <f t="shared" si="14"/>
        <v>0</v>
      </c>
      <c r="P260" s="99">
        <f t="shared" si="15"/>
        <v>0</v>
      </c>
    </row>
    <row r="261" spans="1:16" x14ac:dyDescent="0.2">
      <c r="A261" s="10" t="s">
        <v>184</v>
      </c>
      <c r="B261" s="111" t="s">
        <v>107</v>
      </c>
      <c r="C261" s="8" t="s">
        <v>255</v>
      </c>
      <c r="D261" s="9" t="s">
        <v>256</v>
      </c>
      <c r="E261" s="1">
        <v>17.442</v>
      </c>
      <c r="F261" s="1">
        <v>6.6779999999999999</v>
      </c>
      <c r="G261" s="1">
        <v>80</v>
      </c>
      <c r="H261" s="1">
        <v>0</v>
      </c>
      <c r="I261" s="1">
        <v>0</v>
      </c>
      <c r="J261" s="1">
        <v>40</v>
      </c>
      <c r="K261">
        <f>IF(ISNA(VLOOKUP($A261,'Unit EDL'!$A:$C,3,FALSE)),0,VLOOKUP($A261,'Unit EDL'!$A:$C,3,FALSE))</f>
        <v>32</v>
      </c>
      <c r="L261" s="98">
        <f t="shared" si="12"/>
        <v>558.14400000000001</v>
      </c>
      <c r="M261" s="99">
        <f t="shared" si="13"/>
        <v>213.696</v>
      </c>
      <c r="O261" s="98">
        <f t="shared" si="14"/>
        <v>4.5866299736268772</v>
      </c>
      <c r="P261" s="99">
        <f t="shared" si="15"/>
        <v>11.979634621144056</v>
      </c>
    </row>
    <row r="262" spans="1:16" x14ac:dyDescent="0.2">
      <c r="A262" s="10" t="s">
        <v>184</v>
      </c>
      <c r="B262" s="112"/>
      <c r="C262" s="8" t="s">
        <v>259</v>
      </c>
      <c r="D262" s="9" t="s">
        <v>260</v>
      </c>
      <c r="E262" s="1">
        <v>4.9429999999999996</v>
      </c>
      <c r="F262" s="1">
        <v>1.827</v>
      </c>
      <c r="G262" s="1">
        <v>20</v>
      </c>
      <c r="H262" s="1">
        <v>10</v>
      </c>
      <c r="I262" s="1">
        <v>9.4710000000000001</v>
      </c>
      <c r="J262" s="1">
        <v>10</v>
      </c>
      <c r="K262">
        <f>IF(ISNA(VLOOKUP($A262,'Unit EDL'!$A:$C,3,FALSE)),0,VLOOKUP($A262,'Unit EDL'!$A:$C,3,FALSE))</f>
        <v>32</v>
      </c>
      <c r="L262" s="98">
        <f t="shared" si="12"/>
        <v>158.17599999999999</v>
      </c>
      <c r="M262" s="99">
        <f t="shared" si="13"/>
        <v>58.463999999999999</v>
      </c>
      <c r="O262" s="98">
        <f t="shared" si="14"/>
        <v>4.0461258345134539</v>
      </c>
      <c r="P262" s="99">
        <f t="shared" si="15"/>
        <v>10.946907498631637</v>
      </c>
    </row>
    <row r="263" spans="1:16" x14ac:dyDescent="0.2">
      <c r="A263" s="12"/>
      <c r="K263">
        <f>IF(ISNA(VLOOKUP($A263,'Unit EDL'!$A:$C,3,FALSE)),0,VLOOKUP($A263,'Unit EDL'!$A:$C,3,FALSE))</f>
        <v>0</v>
      </c>
      <c r="L263" s="98">
        <f t="shared" si="12"/>
        <v>0</v>
      </c>
      <c r="M263" s="99">
        <f t="shared" si="13"/>
        <v>0</v>
      </c>
      <c r="O263" s="98">
        <f t="shared" si="14"/>
        <v>0</v>
      </c>
      <c r="P263" s="99">
        <f t="shared" si="15"/>
        <v>0</v>
      </c>
    </row>
    <row r="264" spans="1:16" x14ac:dyDescent="0.2">
      <c r="A264" s="6" t="s">
        <v>182</v>
      </c>
      <c r="B264" s="7" t="s">
        <v>105</v>
      </c>
      <c r="C264" s="8" t="s">
        <v>247</v>
      </c>
      <c r="D264" s="9" t="s">
        <v>248</v>
      </c>
      <c r="E264" s="1">
        <v>15.154999999999999</v>
      </c>
      <c r="F264" s="1">
        <v>6.2039999999999997</v>
      </c>
      <c r="G264" s="1">
        <v>50</v>
      </c>
      <c r="H264" s="1">
        <v>15.116</v>
      </c>
      <c r="I264" s="1">
        <v>5.8140000000000001</v>
      </c>
      <c r="J264" s="1">
        <v>50</v>
      </c>
      <c r="K264">
        <f>IF(ISNA(VLOOKUP($A264,'Unit EDL'!$A:$C,3,FALSE)),0,VLOOKUP($A264,'Unit EDL'!$A:$C,3,FALSE))</f>
        <v>19</v>
      </c>
      <c r="L264" s="98">
        <f t="shared" ref="L264:L301" si="16">K264*E264</f>
        <v>287.94499999999999</v>
      </c>
      <c r="M264" s="99">
        <f t="shared" ref="M264:M301" si="17">K264*F264</f>
        <v>117.87599999999999</v>
      </c>
      <c r="O264" s="98">
        <f t="shared" si="14"/>
        <v>3.2992411745298584</v>
      </c>
      <c r="P264" s="99">
        <f t="shared" si="15"/>
        <v>8.0593165699548681</v>
      </c>
    </row>
    <row r="265" spans="1:16" x14ac:dyDescent="0.2">
      <c r="A265" s="12"/>
      <c r="K265">
        <f>IF(ISNA(VLOOKUP($A265,'Unit EDL'!$A:$C,3,FALSE)),0,VLOOKUP($A265,'Unit EDL'!$A:$C,3,FALSE))</f>
        <v>0</v>
      </c>
      <c r="L265" s="98">
        <f t="shared" si="16"/>
        <v>0</v>
      </c>
      <c r="M265" s="99">
        <f t="shared" si="17"/>
        <v>0</v>
      </c>
      <c r="O265" s="98">
        <f t="shared" ref="O265:O328" si="18">IF($K265=0,0,IF(E265=0,999,$G265/E265))</f>
        <v>0</v>
      </c>
      <c r="P265" s="99">
        <f t="shared" ref="P265:P328" si="19">IF($K265=0,0,IF(F265=0,999,$G265/F265))</f>
        <v>0</v>
      </c>
    </row>
    <row r="266" spans="1:16" x14ac:dyDescent="0.2">
      <c r="A266" s="10" t="s">
        <v>204</v>
      </c>
      <c r="B266" s="111" t="s">
        <v>127</v>
      </c>
      <c r="C266" s="8" t="s">
        <v>367</v>
      </c>
      <c r="D266" s="9" t="s">
        <v>482</v>
      </c>
      <c r="E266" s="1">
        <v>0.54300000000000004</v>
      </c>
      <c r="F266" s="1">
        <v>3.5999999999999997E-2</v>
      </c>
      <c r="G266" s="1">
        <v>30</v>
      </c>
      <c r="H266" s="1"/>
      <c r="I266" s="1"/>
      <c r="J266" s="1"/>
      <c r="K266">
        <f>IF(ISNA(VLOOKUP($A266,'Unit EDL'!$A:$C,3,FALSE)),0,VLOOKUP($A266,'Unit EDL'!$A:$C,3,FALSE))</f>
        <v>6</v>
      </c>
      <c r="L266" s="98">
        <f t="shared" si="16"/>
        <v>3.258</v>
      </c>
      <c r="M266" s="99">
        <f t="shared" si="17"/>
        <v>0.21599999999999997</v>
      </c>
      <c r="O266" s="98">
        <f t="shared" si="18"/>
        <v>55.248618784530386</v>
      </c>
      <c r="P266" s="99">
        <f t="shared" si="19"/>
        <v>833.33333333333337</v>
      </c>
    </row>
    <row r="267" spans="1:16" x14ac:dyDescent="0.2">
      <c r="A267" s="10" t="s">
        <v>204</v>
      </c>
      <c r="B267" s="112"/>
      <c r="C267" s="8" t="s">
        <v>483</v>
      </c>
      <c r="D267" s="9" t="s">
        <v>484</v>
      </c>
      <c r="E267" s="1">
        <v>1.369</v>
      </c>
      <c r="F267" s="1">
        <v>9.4E-2</v>
      </c>
      <c r="G267" s="1">
        <v>24</v>
      </c>
      <c r="H267" s="1"/>
      <c r="I267" s="1"/>
      <c r="J267" s="1"/>
      <c r="K267">
        <f>IF(ISNA(VLOOKUP($A267,'Unit EDL'!$A:$C,3,FALSE)),0,VLOOKUP($A267,'Unit EDL'!$A:$C,3,FALSE))</f>
        <v>6</v>
      </c>
      <c r="L267" s="98">
        <f t="shared" si="16"/>
        <v>8.2140000000000004</v>
      </c>
      <c r="M267" s="99">
        <f t="shared" si="17"/>
        <v>0.56400000000000006</v>
      </c>
      <c r="O267" s="98">
        <f t="shared" si="18"/>
        <v>17.531044558071585</v>
      </c>
      <c r="P267" s="99">
        <f t="shared" si="19"/>
        <v>255.31914893617022</v>
      </c>
    </row>
    <row r="268" spans="1:16" x14ac:dyDescent="0.2">
      <c r="A268" s="12"/>
      <c r="K268">
        <f>IF(ISNA(VLOOKUP($A268,'Unit EDL'!$A:$C,3,FALSE)),0,VLOOKUP($A268,'Unit EDL'!$A:$C,3,FALSE))</f>
        <v>0</v>
      </c>
      <c r="L268" s="98">
        <f t="shared" si="16"/>
        <v>0</v>
      </c>
      <c r="M268" s="99">
        <f t="shared" si="17"/>
        <v>0</v>
      </c>
      <c r="O268" s="98">
        <f t="shared" si="18"/>
        <v>0</v>
      </c>
      <c r="P268" s="99">
        <f t="shared" si="19"/>
        <v>0</v>
      </c>
    </row>
    <row r="269" spans="1:16" x14ac:dyDescent="0.2">
      <c r="A269" s="6" t="s">
        <v>219</v>
      </c>
      <c r="B269" s="7" t="s">
        <v>142</v>
      </c>
      <c r="C269" s="8" t="s">
        <v>470</v>
      </c>
      <c r="D269" s="9" t="s">
        <v>471</v>
      </c>
      <c r="E269" s="1">
        <v>0.71099999999999997</v>
      </c>
      <c r="F269" s="1">
        <v>2.4E-2</v>
      </c>
      <c r="G269" s="1">
        <v>9</v>
      </c>
      <c r="H269" s="1"/>
      <c r="I269" s="1"/>
      <c r="J269" s="1"/>
      <c r="K269">
        <f>IF(ISNA(VLOOKUP($A269,'Unit EDL'!$A:$C,3,FALSE)),0,VLOOKUP($A269,'Unit EDL'!$A:$C,3,FALSE))</f>
        <v>0</v>
      </c>
      <c r="L269" s="98">
        <f t="shared" si="16"/>
        <v>0</v>
      </c>
      <c r="M269" s="99">
        <f t="shared" si="17"/>
        <v>0</v>
      </c>
      <c r="O269" s="98">
        <f t="shared" si="18"/>
        <v>0</v>
      </c>
      <c r="P269" s="99">
        <f t="shared" si="19"/>
        <v>0</v>
      </c>
    </row>
    <row r="270" spans="1:16" x14ac:dyDescent="0.2">
      <c r="A270" s="12"/>
      <c r="K270">
        <f>IF(ISNA(VLOOKUP($A270,'Unit EDL'!$A:$C,3,FALSE)),0,VLOOKUP($A270,'Unit EDL'!$A:$C,3,FALSE))</f>
        <v>0</v>
      </c>
      <c r="L270" s="98">
        <f t="shared" si="16"/>
        <v>0</v>
      </c>
      <c r="M270" s="99">
        <f t="shared" si="17"/>
        <v>0</v>
      </c>
      <c r="O270" s="98">
        <f t="shared" si="18"/>
        <v>0</v>
      </c>
      <c r="P270" s="99">
        <f t="shared" si="19"/>
        <v>0</v>
      </c>
    </row>
    <row r="271" spans="1:16" x14ac:dyDescent="0.2">
      <c r="A271" s="10" t="s">
        <v>185</v>
      </c>
      <c r="B271" s="111" t="s">
        <v>108</v>
      </c>
      <c r="C271" s="8" t="s">
        <v>265</v>
      </c>
      <c r="D271" s="9" t="s">
        <v>266</v>
      </c>
      <c r="E271" s="1">
        <v>5</v>
      </c>
      <c r="F271" s="1">
        <v>5</v>
      </c>
      <c r="G271" s="1">
        <v>5</v>
      </c>
      <c r="H271" s="1">
        <v>11.628</v>
      </c>
      <c r="I271" s="1">
        <v>11.628</v>
      </c>
      <c r="J271" s="1">
        <v>0</v>
      </c>
      <c r="K271">
        <f>IF(ISNA(VLOOKUP($A271,'Unit EDL'!$A:$C,3,FALSE)),0,VLOOKUP($A271,'Unit EDL'!$A:$C,3,FALSE))</f>
        <v>18</v>
      </c>
      <c r="L271" s="98">
        <f t="shared" si="16"/>
        <v>90</v>
      </c>
      <c r="M271" s="99">
        <f t="shared" si="17"/>
        <v>90</v>
      </c>
      <c r="O271" s="98">
        <f t="shared" si="18"/>
        <v>1</v>
      </c>
      <c r="P271" s="99">
        <f t="shared" si="19"/>
        <v>1</v>
      </c>
    </row>
    <row r="272" spans="1:16" x14ac:dyDescent="0.2">
      <c r="A272" s="10" t="s">
        <v>185</v>
      </c>
      <c r="B272" s="112"/>
      <c r="C272" s="8" t="s">
        <v>267</v>
      </c>
      <c r="D272" s="9" t="s">
        <v>268</v>
      </c>
      <c r="E272" s="1">
        <v>18.605</v>
      </c>
      <c r="F272" s="1">
        <v>18.605</v>
      </c>
      <c r="G272" s="1">
        <v>30</v>
      </c>
      <c r="H272" s="1">
        <v>18.655999999999999</v>
      </c>
      <c r="I272" s="1">
        <v>18.623000000000001</v>
      </c>
      <c r="J272" s="1">
        <v>30</v>
      </c>
      <c r="K272">
        <f>IF(ISNA(VLOOKUP($A272,'Unit EDL'!$A:$C,3,FALSE)),0,VLOOKUP($A272,'Unit EDL'!$A:$C,3,FALSE))</f>
        <v>18</v>
      </c>
      <c r="L272" s="98">
        <f t="shared" si="16"/>
        <v>334.89</v>
      </c>
      <c r="M272" s="99">
        <f t="shared" si="17"/>
        <v>334.89</v>
      </c>
      <c r="O272" s="98">
        <f t="shared" si="18"/>
        <v>1.6124697661918839</v>
      </c>
      <c r="P272" s="99">
        <f t="shared" si="19"/>
        <v>1.6124697661918839</v>
      </c>
    </row>
    <row r="273" spans="1:16" x14ac:dyDescent="0.2">
      <c r="A273" s="12"/>
      <c r="K273">
        <f>IF(ISNA(VLOOKUP($A273,'Unit EDL'!$A:$C,3,FALSE)),0,VLOOKUP($A273,'Unit EDL'!$A:$C,3,FALSE))</f>
        <v>0</v>
      </c>
      <c r="L273" s="98">
        <f t="shared" si="16"/>
        <v>0</v>
      </c>
      <c r="M273" s="99">
        <f t="shared" si="17"/>
        <v>0</v>
      </c>
      <c r="O273" s="98">
        <f t="shared" si="18"/>
        <v>0</v>
      </c>
      <c r="P273" s="99">
        <f t="shared" si="19"/>
        <v>0</v>
      </c>
    </row>
    <row r="274" spans="1:16" x14ac:dyDescent="0.2">
      <c r="A274" s="10" t="s">
        <v>152</v>
      </c>
      <c r="B274" s="111" t="s">
        <v>75</v>
      </c>
      <c r="C274" s="8" t="s">
        <v>227</v>
      </c>
      <c r="D274" s="9" t="s">
        <v>228</v>
      </c>
      <c r="E274" s="1">
        <v>18.605</v>
      </c>
      <c r="F274" s="1">
        <v>18.605</v>
      </c>
      <c r="G274" s="1">
        <v>30</v>
      </c>
      <c r="H274" s="1">
        <v>18.605</v>
      </c>
      <c r="I274" s="1">
        <v>18.605</v>
      </c>
      <c r="J274" s="1">
        <v>30</v>
      </c>
      <c r="K274">
        <f>IF(ISNA(VLOOKUP($A274,'Unit EDL'!$A:$C,3,FALSE)),0,VLOOKUP($A274,'Unit EDL'!$A:$C,3,FALSE))</f>
        <v>96</v>
      </c>
      <c r="L274" s="98">
        <f t="shared" si="16"/>
        <v>1786.08</v>
      </c>
      <c r="M274" s="99">
        <f t="shared" si="17"/>
        <v>1786.08</v>
      </c>
      <c r="O274" s="98">
        <f t="shared" si="18"/>
        <v>1.6124697661918839</v>
      </c>
      <c r="P274" s="99">
        <f t="shared" si="19"/>
        <v>1.6124697661918839</v>
      </c>
    </row>
    <row r="275" spans="1:16" x14ac:dyDescent="0.2">
      <c r="A275" s="10" t="s">
        <v>152</v>
      </c>
      <c r="B275" s="112"/>
      <c r="C275" s="8" t="s">
        <v>265</v>
      </c>
      <c r="D275" s="9" t="s">
        <v>266</v>
      </c>
      <c r="E275" s="1">
        <v>5</v>
      </c>
      <c r="F275" s="1">
        <v>5</v>
      </c>
      <c r="G275" s="1">
        <v>5</v>
      </c>
      <c r="H275" s="1">
        <v>11.628</v>
      </c>
      <c r="I275" s="1">
        <v>11.628</v>
      </c>
      <c r="J275" s="1">
        <v>0</v>
      </c>
      <c r="K275">
        <f>IF(ISNA(VLOOKUP($A275,'Unit EDL'!$A:$C,3,FALSE)),0,VLOOKUP($A275,'Unit EDL'!$A:$C,3,FALSE))</f>
        <v>96</v>
      </c>
      <c r="L275" s="98">
        <f t="shared" si="16"/>
        <v>480</v>
      </c>
      <c r="M275" s="99">
        <f t="shared" si="17"/>
        <v>480</v>
      </c>
      <c r="O275" s="98">
        <f t="shared" si="18"/>
        <v>1</v>
      </c>
      <c r="P275" s="99">
        <f t="shared" si="19"/>
        <v>1</v>
      </c>
    </row>
    <row r="276" spans="1:16" x14ac:dyDescent="0.2">
      <c r="A276" s="12"/>
      <c r="K276">
        <f>IF(ISNA(VLOOKUP($A276,'Unit EDL'!$A:$C,3,FALSE)),0,VLOOKUP($A276,'Unit EDL'!$A:$C,3,FALSE))</f>
        <v>0</v>
      </c>
      <c r="L276" s="98">
        <f t="shared" si="16"/>
        <v>0</v>
      </c>
      <c r="M276" s="99">
        <f t="shared" si="17"/>
        <v>0</v>
      </c>
      <c r="O276" s="98">
        <f t="shared" si="18"/>
        <v>0</v>
      </c>
      <c r="P276" s="99">
        <f t="shared" si="19"/>
        <v>0</v>
      </c>
    </row>
    <row r="277" spans="1:16" x14ac:dyDescent="0.2">
      <c r="A277" s="10" t="s">
        <v>174</v>
      </c>
      <c r="B277" s="111" t="s">
        <v>97</v>
      </c>
      <c r="C277" s="8" t="s">
        <v>237</v>
      </c>
      <c r="D277" s="9" t="s">
        <v>238</v>
      </c>
      <c r="E277" s="1">
        <v>0</v>
      </c>
      <c r="F277" s="1">
        <v>0</v>
      </c>
      <c r="G277" s="1">
        <v>1200</v>
      </c>
      <c r="H277" s="1">
        <v>5.8140000000000001</v>
      </c>
      <c r="I277" s="1">
        <v>0.58099999999999996</v>
      </c>
      <c r="J277" s="1">
        <v>1200</v>
      </c>
      <c r="K277">
        <f>IF(ISNA(VLOOKUP($A277,'Unit EDL'!$A:$C,3,FALSE)),0,VLOOKUP($A277,'Unit EDL'!$A:$C,3,FALSE))</f>
        <v>0</v>
      </c>
      <c r="L277" s="98">
        <f t="shared" si="16"/>
        <v>0</v>
      </c>
      <c r="M277" s="99">
        <f t="shared" si="17"/>
        <v>0</v>
      </c>
      <c r="O277" s="98">
        <f t="shared" si="18"/>
        <v>0</v>
      </c>
      <c r="P277" s="99">
        <f t="shared" si="19"/>
        <v>0</v>
      </c>
    </row>
    <row r="278" spans="1:16" x14ac:dyDescent="0.2">
      <c r="A278" s="10" t="s">
        <v>174</v>
      </c>
      <c r="B278" s="113"/>
      <c r="C278" s="8" t="s">
        <v>245</v>
      </c>
      <c r="D278" s="9" t="s">
        <v>246</v>
      </c>
      <c r="E278" s="1">
        <v>0</v>
      </c>
      <c r="F278" s="1">
        <v>0</v>
      </c>
      <c r="G278" s="1">
        <v>200</v>
      </c>
      <c r="H278" s="1">
        <v>12.163</v>
      </c>
      <c r="I278" s="1">
        <v>0.68100000000000005</v>
      </c>
      <c r="J278" s="1">
        <v>200</v>
      </c>
      <c r="K278">
        <f>IF(ISNA(VLOOKUP($A278,'Unit EDL'!$A:$C,3,FALSE)),0,VLOOKUP($A278,'Unit EDL'!$A:$C,3,FALSE))</f>
        <v>0</v>
      </c>
      <c r="L278" s="98">
        <f t="shared" si="16"/>
        <v>0</v>
      </c>
      <c r="M278" s="99">
        <f t="shared" si="17"/>
        <v>0</v>
      </c>
      <c r="O278" s="98">
        <f t="shared" si="18"/>
        <v>0</v>
      </c>
      <c r="P278" s="99">
        <f t="shared" si="19"/>
        <v>0</v>
      </c>
    </row>
    <row r="279" spans="1:16" x14ac:dyDescent="0.2">
      <c r="A279" s="10" t="s">
        <v>174</v>
      </c>
      <c r="B279" s="113"/>
      <c r="C279" s="8" t="s">
        <v>71</v>
      </c>
      <c r="D279" s="9" t="s">
        <v>72</v>
      </c>
      <c r="E279" s="1">
        <v>0</v>
      </c>
      <c r="F279" s="1">
        <v>0</v>
      </c>
      <c r="G279" s="1">
        <v>4</v>
      </c>
      <c r="H279" s="1">
        <v>0.35599999999999998</v>
      </c>
      <c r="I279" s="1">
        <v>0</v>
      </c>
      <c r="J279" s="1">
        <v>4</v>
      </c>
      <c r="K279">
        <f>IF(ISNA(VLOOKUP($A279,'Unit EDL'!$A:$C,3,FALSE)),0,VLOOKUP($A279,'Unit EDL'!$A:$C,3,FALSE))</f>
        <v>0</v>
      </c>
      <c r="L279" s="98">
        <f t="shared" si="16"/>
        <v>0</v>
      </c>
      <c r="M279" s="99">
        <f t="shared" si="17"/>
        <v>0</v>
      </c>
      <c r="O279" s="98">
        <f t="shared" si="18"/>
        <v>0</v>
      </c>
      <c r="P279" s="99">
        <f t="shared" si="19"/>
        <v>0</v>
      </c>
    </row>
    <row r="280" spans="1:16" x14ac:dyDescent="0.2">
      <c r="A280" s="10" t="s">
        <v>174</v>
      </c>
      <c r="B280" s="112"/>
      <c r="C280" s="8" t="s">
        <v>61</v>
      </c>
      <c r="D280" s="9" t="s">
        <v>62</v>
      </c>
      <c r="E280" s="1">
        <v>0</v>
      </c>
      <c r="F280" s="1">
        <v>0</v>
      </c>
      <c r="G280" s="1">
        <v>3</v>
      </c>
      <c r="H280" s="1">
        <v>0.11700000000000001</v>
      </c>
      <c r="I280" s="1">
        <v>0</v>
      </c>
      <c r="J280" s="1">
        <v>3</v>
      </c>
      <c r="K280">
        <f>IF(ISNA(VLOOKUP($A280,'Unit EDL'!$A:$C,3,FALSE)),0,VLOOKUP($A280,'Unit EDL'!$A:$C,3,FALSE))</f>
        <v>0</v>
      </c>
      <c r="L280" s="98">
        <f t="shared" si="16"/>
        <v>0</v>
      </c>
      <c r="M280" s="99">
        <f t="shared" si="17"/>
        <v>0</v>
      </c>
      <c r="O280" s="98">
        <f t="shared" si="18"/>
        <v>0</v>
      </c>
      <c r="P280" s="99">
        <f t="shared" si="19"/>
        <v>0</v>
      </c>
    </row>
    <row r="281" spans="1:16" x14ac:dyDescent="0.2">
      <c r="A281" s="12"/>
      <c r="K281">
        <f>IF(ISNA(VLOOKUP($A281,'Unit EDL'!$A:$C,3,FALSE)),0,VLOOKUP($A281,'Unit EDL'!$A:$C,3,FALSE))</f>
        <v>0</v>
      </c>
      <c r="L281" s="98">
        <f t="shared" si="16"/>
        <v>0</v>
      </c>
      <c r="M281" s="99">
        <f t="shared" si="17"/>
        <v>0</v>
      </c>
      <c r="O281" s="98">
        <f t="shared" si="18"/>
        <v>0</v>
      </c>
      <c r="P281" s="99">
        <f t="shared" si="19"/>
        <v>0</v>
      </c>
    </row>
    <row r="282" spans="1:16" x14ac:dyDescent="0.2">
      <c r="A282" s="10" t="s">
        <v>161</v>
      </c>
      <c r="B282" s="111" t="s">
        <v>84</v>
      </c>
      <c r="C282" s="8" t="s">
        <v>231</v>
      </c>
      <c r="D282" s="9" t="s">
        <v>232</v>
      </c>
      <c r="E282" s="1">
        <v>0</v>
      </c>
      <c r="F282" s="1">
        <v>0</v>
      </c>
      <c r="G282" s="1">
        <v>20</v>
      </c>
      <c r="H282" s="1"/>
      <c r="I282" s="1"/>
      <c r="J282" s="1"/>
      <c r="K282">
        <f>IF(ISNA(VLOOKUP($A282,'Unit EDL'!$A:$C,3,FALSE)),0,VLOOKUP($A282,'Unit EDL'!$A:$C,3,FALSE))</f>
        <v>58</v>
      </c>
      <c r="L282" s="98">
        <f t="shared" si="16"/>
        <v>0</v>
      </c>
      <c r="M282" s="99">
        <f t="shared" si="17"/>
        <v>0</v>
      </c>
      <c r="O282" s="98">
        <f t="shared" si="18"/>
        <v>999</v>
      </c>
      <c r="P282" s="99">
        <f t="shared" si="19"/>
        <v>999</v>
      </c>
    </row>
    <row r="283" spans="1:16" x14ac:dyDescent="0.2">
      <c r="A283" s="10" t="s">
        <v>161</v>
      </c>
      <c r="B283" s="113"/>
      <c r="C283" s="8" t="s">
        <v>237</v>
      </c>
      <c r="D283" s="9" t="s">
        <v>238</v>
      </c>
      <c r="E283" s="1">
        <v>379.262</v>
      </c>
      <c r="F283" s="1">
        <v>31.25</v>
      </c>
      <c r="G283" s="1">
        <v>10800</v>
      </c>
      <c r="H283" s="1"/>
      <c r="I283" s="1"/>
      <c r="J283" s="1"/>
      <c r="K283">
        <f>IF(ISNA(VLOOKUP($A283,'Unit EDL'!$A:$C,3,FALSE)),0,VLOOKUP($A283,'Unit EDL'!$A:$C,3,FALSE))</f>
        <v>58</v>
      </c>
      <c r="L283" s="98">
        <f t="shared" si="16"/>
        <v>21997.196</v>
      </c>
      <c r="M283" s="99">
        <f t="shared" si="17"/>
        <v>1812.5</v>
      </c>
      <c r="O283" s="98">
        <f t="shared" si="18"/>
        <v>28.476356713828434</v>
      </c>
      <c r="P283" s="99">
        <f t="shared" si="19"/>
        <v>345.6</v>
      </c>
    </row>
    <row r="284" spans="1:16" x14ac:dyDescent="0.2">
      <c r="A284" s="10" t="s">
        <v>161</v>
      </c>
      <c r="B284" s="113"/>
      <c r="C284" s="8" t="s">
        <v>245</v>
      </c>
      <c r="D284" s="9" t="s">
        <v>246</v>
      </c>
      <c r="E284" s="1">
        <v>267.87900000000002</v>
      </c>
      <c r="F284" s="1">
        <v>45.222000000000001</v>
      </c>
      <c r="G284" s="1">
        <v>1000</v>
      </c>
      <c r="H284" s="1"/>
      <c r="I284" s="1"/>
      <c r="J284" s="1"/>
      <c r="K284">
        <f>IF(ISNA(VLOOKUP($A284,'Unit EDL'!$A:$C,3,FALSE)),0,VLOOKUP($A284,'Unit EDL'!$A:$C,3,FALSE))</f>
        <v>58</v>
      </c>
      <c r="L284" s="98">
        <f t="shared" si="16"/>
        <v>15536.982000000002</v>
      </c>
      <c r="M284" s="99">
        <f t="shared" si="17"/>
        <v>2622.8760000000002</v>
      </c>
      <c r="O284" s="98">
        <f t="shared" si="18"/>
        <v>3.7330287181899289</v>
      </c>
      <c r="P284" s="99">
        <f t="shared" si="19"/>
        <v>22.113130777055414</v>
      </c>
    </row>
    <row r="285" spans="1:16" x14ac:dyDescent="0.2">
      <c r="A285" s="10" t="s">
        <v>161</v>
      </c>
      <c r="B285" s="113"/>
      <c r="C285" s="8" t="s">
        <v>263</v>
      </c>
      <c r="D285" s="9" t="s">
        <v>264</v>
      </c>
      <c r="E285" s="1">
        <v>0</v>
      </c>
      <c r="F285" s="1">
        <v>0</v>
      </c>
      <c r="G285" s="1">
        <v>160</v>
      </c>
      <c r="H285" s="1"/>
      <c r="I285" s="1"/>
      <c r="J285" s="1"/>
      <c r="K285">
        <f>IF(ISNA(VLOOKUP($A285,'Unit EDL'!$A:$C,3,FALSE)),0,VLOOKUP($A285,'Unit EDL'!$A:$C,3,FALSE))</f>
        <v>58</v>
      </c>
      <c r="L285" s="98">
        <f t="shared" si="16"/>
        <v>0</v>
      </c>
      <c r="M285" s="99">
        <f t="shared" si="17"/>
        <v>0</v>
      </c>
      <c r="O285" s="98">
        <f t="shared" si="18"/>
        <v>999</v>
      </c>
      <c r="P285" s="99">
        <f t="shared" si="19"/>
        <v>999</v>
      </c>
    </row>
    <row r="286" spans="1:16" x14ac:dyDescent="0.2">
      <c r="A286" s="10" t="s">
        <v>161</v>
      </c>
      <c r="B286" s="113"/>
      <c r="C286" s="8" t="s">
        <v>309</v>
      </c>
      <c r="D286" s="9" t="s">
        <v>310</v>
      </c>
      <c r="E286" s="1">
        <v>1.26</v>
      </c>
      <c r="F286" s="1">
        <v>3.6999999999999998E-2</v>
      </c>
      <c r="G286" s="1">
        <v>10</v>
      </c>
      <c r="H286" s="1"/>
      <c r="I286" s="1"/>
      <c r="J286" s="1"/>
      <c r="K286">
        <f>IF(ISNA(VLOOKUP($A286,'Unit EDL'!$A:$C,3,FALSE)),0,VLOOKUP($A286,'Unit EDL'!$A:$C,3,FALSE))</f>
        <v>58</v>
      </c>
      <c r="L286" s="98">
        <f t="shared" si="16"/>
        <v>73.08</v>
      </c>
      <c r="M286" s="99">
        <f t="shared" si="17"/>
        <v>2.1459999999999999</v>
      </c>
      <c r="O286" s="98">
        <f t="shared" si="18"/>
        <v>7.9365079365079367</v>
      </c>
      <c r="P286" s="99">
        <f t="shared" si="19"/>
        <v>270.27027027027026</v>
      </c>
    </row>
    <row r="287" spans="1:16" x14ac:dyDescent="0.2">
      <c r="A287" s="10" t="s">
        <v>161</v>
      </c>
      <c r="B287" s="113"/>
      <c r="C287" s="8" t="s">
        <v>321</v>
      </c>
      <c r="D287" s="9" t="s">
        <v>322</v>
      </c>
      <c r="E287" s="1">
        <v>0.51200000000000001</v>
      </c>
      <c r="F287" s="1">
        <v>4.0000000000000001E-3</v>
      </c>
      <c r="G287" s="1">
        <v>26</v>
      </c>
      <c r="H287" s="1"/>
      <c r="I287" s="1"/>
      <c r="J287" s="1"/>
      <c r="K287">
        <f>IF(ISNA(VLOOKUP($A287,'Unit EDL'!$A:$C,3,FALSE)),0,VLOOKUP($A287,'Unit EDL'!$A:$C,3,FALSE))</f>
        <v>58</v>
      </c>
      <c r="L287" s="98">
        <f t="shared" si="16"/>
        <v>29.696000000000002</v>
      </c>
      <c r="M287" s="99">
        <f t="shared" si="17"/>
        <v>0.23200000000000001</v>
      </c>
      <c r="O287" s="98">
        <f t="shared" si="18"/>
        <v>50.78125</v>
      </c>
      <c r="P287" s="99">
        <f t="shared" si="19"/>
        <v>6500</v>
      </c>
    </row>
    <row r="288" spans="1:16" x14ac:dyDescent="0.2">
      <c r="A288" s="10" t="s">
        <v>161</v>
      </c>
      <c r="B288" s="113"/>
      <c r="C288" s="8" t="s">
        <v>323</v>
      </c>
      <c r="D288" s="9" t="s">
        <v>324</v>
      </c>
      <c r="E288" s="1">
        <v>0</v>
      </c>
      <c r="F288" s="1">
        <v>0</v>
      </c>
      <c r="G288" s="1">
        <v>4</v>
      </c>
      <c r="H288" s="1"/>
      <c r="I288" s="1"/>
      <c r="J288" s="1"/>
      <c r="K288">
        <f>IF(ISNA(VLOOKUP($A288,'Unit EDL'!$A:$C,3,FALSE)),0,VLOOKUP($A288,'Unit EDL'!$A:$C,3,FALSE))</f>
        <v>58</v>
      </c>
      <c r="L288" s="98">
        <f t="shared" si="16"/>
        <v>0</v>
      </c>
      <c r="M288" s="99">
        <f t="shared" si="17"/>
        <v>0</v>
      </c>
      <c r="O288" s="98">
        <f t="shared" si="18"/>
        <v>999</v>
      </c>
      <c r="P288" s="99">
        <f t="shared" si="19"/>
        <v>999</v>
      </c>
    </row>
    <row r="289" spans="1:16" x14ac:dyDescent="0.2">
      <c r="A289" s="10" t="s">
        <v>161</v>
      </c>
      <c r="B289" s="113"/>
      <c r="C289" s="8" t="s">
        <v>329</v>
      </c>
      <c r="D289" s="9" t="s">
        <v>330</v>
      </c>
      <c r="E289" s="1">
        <v>1.5289999999999999</v>
      </c>
      <c r="F289" s="1">
        <v>8.1000000000000003E-2</v>
      </c>
      <c r="G289" s="1">
        <v>0</v>
      </c>
      <c r="H289" s="1"/>
      <c r="I289" s="1"/>
      <c r="J289" s="1"/>
      <c r="K289">
        <f>IF(ISNA(VLOOKUP($A289,'Unit EDL'!$A:$C,3,FALSE)),0,VLOOKUP($A289,'Unit EDL'!$A:$C,3,FALSE))</f>
        <v>58</v>
      </c>
      <c r="L289" s="98">
        <f t="shared" si="16"/>
        <v>88.681999999999988</v>
      </c>
      <c r="M289" s="99">
        <f t="shared" si="17"/>
        <v>4.6980000000000004</v>
      </c>
      <c r="O289" s="98">
        <f t="shared" si="18"/>
        <v>0</v>
      </c>
      <c r="P289" s="99">
        <f t="shared" si="19"/>
        <v>0</v>
      </c>
    </row>
    <row r="290" spans="1:16" x14ac:dyDescent="0.2">
      <c r="A290" s="10" t="s">
        <v>161</v>
      </c>
      <c r="B290" s="113"/>
      <c r="C290" s="8" t="s">
        <v>343</v>
      </c>
      <c r="D290" s="9" t="s">
        <v>344</v>
      </c>
      <c r="E290" s="1">
        <v>0</v>
      </c>
      <c r="F290" s="1">
        <v>0</v>
      </c>
      <c r="G290" s="1">
        <v>2</v>
      </c>
      <c r="H290" s="1"/>
      <c r="I290" s="1"/>
      <c r="J290" s="1"/>
      <c r="K290">
        <f>IF(ISNA(VLOOKUP($A290,'Unit EDL'!$A:$C,3,FALSE)),0,VLOOKUP($A290,'Unit EDL'!$A:$C,3,FALSE))</f>
        <v>58</v>
      </c>
      <c r="L290" s="98">
        <f t="shared" si="16"/>
        <v>0</v>
      </c>
      <c r="M290" s="99">
        <f t="shared" si="17"/>
        <v>0</v>
      </c>
      <c r="O290" s="98">
        <f t="shared" si="18"/>
        <v>999</v>
      </c>
      <c r="P290" s="99">
        <f t="shared" si="19"/>
        <v>999</v>
      </c>
    </row>
    <row r="291" spans="1:16" x14ac:dyDescent="0.2">
      <c r="A291" s="10" t="s">
        <v>161</v>
      </c>
      <c r="B291" s="112"/>
      <c r="C291" s="8" t="s">
        <v>361</v>
      </c>
      <c r="D291" s="9" t="s">
        <v>362</v>
      </c>
      <c r="E291" s="1">
        <v>14.949</v>
      </c>
      <c r="F291" s="1">
        <v>2.1240000000000001</v>
      </c>
      <c r="G291" s="1">
        <v>24</v>
      </c>
      <c r="H291" s="1"/>
      <c r="I291" s="1"/>
      <c r="J291" s="1"/>
      <c r="K291">
        <f>IF(ISNA(VLOOKUP($A291,'Unit EDL'!$A:$C,3,FALSE)),0,VLOOKUP($A291,'Unit EDL'!$A:$C,3,FALSE))</f>
        <v>58</v>
      </c>
      <c r="L291" s="98">
        <f t="shared" si="16"/>
        <v>867.04200000000003</v>
      </c>
      <c r="M291" s="99">
        <f t="shared" si="17"/>
        <v>123.19200000000001</v>
      </c>
      <c r="O291" s="98">
        <f t="shared" si="18"/>
        <v>1.6054585591009431</v>
      </c>
      <c r="P291" s="99">
        <f t="shared" si="19"/>
        <v>11.299435028248586</v>
      </c>
    </row>
    <row r="292" spans="1:16" x14ac:dyDescent="0.2">
      <c r="A292" s="12"/>
      <c r="K292">
        <f>IF(ISNA(VLOOKUP($A292,'Unit EDL'!$A:$C,3,FALSE)),0,VLOOKUP($A292,'Unit EDL'!$A:$C,3,FALSE))</f>
        <v>0</v>
      </c>
      <c r="L292" s="98">
        <f t="shared" si="16"/>
        <v>0</v>
      </c>
      <c r="M292" s="99">
        <f t="shared" si="17"/>
        <v>0</v>
      </c>
      <c r="O292" s="98">
        <f t="shared" si="18"/>
        <v>0</v>
      </c>
      <c r="P292" s="99">
        <f t="shared" si="19"/>
        <v>0</v>
      </c>
    </row>
    <row r="293" spans="1:16" x14ac:dyDescent="0.2">
      <c r="A293" s="10" t="s">
        <v>162</v>
      </c>
      <c r="B293" s="111" t="s">
        <v>85</v>
      </c>
      <c r="C293" s="8" t="s">
        <v>231</v>
      </c>
      <c r="D293" s="9" t="s">
        <v>232</v>
      </c>
      <c r="E293" s="1">
        <v>0</v>
      </c>
      <c r="F293" s="1">
        <v>0</v>
      </c>
      <c r="G293" s="1">
        <v>20</v>
      </c>
      <c r="H293" s="1"/>
      <c r="I293" s="1"/>
      <c r="J293" s="1"/>
      <c r="K293">
        <f>IF(ISNA(VLOOKUP($A293,'Unit EDL'!$A:$C,3,FALSE)),0,VLOOKUP($A293,'Unit EDL'!$A:$C,3,FALSE))</f>
        <v>0</v>
      </c>
      <c r="L293" s="98">
        <f t="shared" si="16"/>
        <v>0</v>
      </c>
      <c r="M293" s="99">
        <f t="shared" si="17"/>
        <v>0</v>
      </c>
      <c r="O293" s="98">
        <f t="shared" si="18"/>
        <v>0</v>
      </c>
      <c r="P293" s="99">
        <f t="shared" si="19"/>
        <v>0</v>
      </c>
    </row>
    <row r="294" spans="1:16" x14ac:dyDescent="0.2">
      <c r="A294" s="10" t="s">
        <v>162</v>
      </c>
      <c r="B294" s="113"/>
      <c r="C294" s="8" t="s">
        <v>237</v>
      </c>
      <c r="D294" s="9" t="s">
        <v>238</v>
      </c>
      <c r="E294" s="1">
        <v>379.262</v>
      </c>
      <c r="F294" s="1">
        <v>31.25</v>
      </c>
      <c r="G294" s="1">
        <v>10800</v>
      </c>
      <c r="H294" s="1"/>
      <c r="I294" s="1"/>
      <c r="J294" s="1"/>
      <c r="K294">
        <f>IF(ISNA(VLOOKUP($A294,'Unit EDL'!$A:$C,3,FALSE)),0,VLOOKUP($A294,'Unit EDL'!$A:$C,3,FALSE))</f>
        <v>0</v>
      </c>
      <c r="L294" s="98">
        <f t="shared" si="16"/>
        <v>0</v>
      </c>
      <c r="M294" s="99">
        <f t="shared" si="17"/>
        <v>0</v>
      </c>
      <c r="O294" s="98">
        <f t="shared" si="18"/>
        <v>0</v>
      </c>
      <c r="P294" s="99">
        <f t="shared" si="19"/>
        <v>0</v>
      </c>
    </row>
    <row r="295" spans="1:16" x14ac:dyDescent="0.2">
      <c r="A295" s="10" t="s">
        <v>162</v>
      </c>
      <c r="B295" s="113"/>
      <c r="C295" s="8" t="s">
        <v>245</v>
      </c>
      <c r="D295" s="9" t="s">
        <v>246</v>
      </c>
      <c r="E295" s="1">
        <v>267.87900000000002</v>
      </c>
      <c r="F295" s="1">
        <v>45.222000000000001</v>
      </c>
      <c r="G295" s="1">
        <v>1000</v>
      </c>
      <c r="H295" s="1"/>
      <c r="I295" s="1"/>
      <c r="J295" s="1"/>
      <c r="K295">
        <f>IF(ISNA(VLOOKUP($A295,'Unit EDL'!$A:$C,3,FALSE)),0,VLOOKUP($A295,'Unit EDL'!$A:$C,3,FALSE))</f>
        <v>0</v>
      </c>
      <c r="L295" s="98">
        <f t="shared" si="16"/>
        <v>0</v>
      </c>
      <c r="M295" s="99">
        <f t="shared" si="17"/>
        <v>0</v>
      </c>
      <c r="O295" s="98">
        <f t="shared" si="18"/>
        <v>0</v>
      </c>
      <c r="P295" s="99">
        <f t="shared" si="19"/>
        <v>0</v>
      </c>
    </row>
    <row r="296" spans="1:16" x14ac:dyDescent="0.2">
      <c r="A296" s="10" t="s">
        <v>162</v>
      </c>
      <c r="B296" s="113"/>
      <c r="C296" s="8" t="s">
        <v>263</v>
      </c>
      <c r="D296" s="9" t="s">
        <v>264</v>
      </c>
      <c r="E296" s="1">
        <v>0</v>
      </c>
      <c r="F296" s="1">
        <v>0</v>
      </c>
      <c r="G296" s="1">
        <v>160</v>
      </c>
      <c r="H296" s="1"/>
      <c r="I296" s="1"/>
      <c r="J296" s="1"/>
      <c r="K296">
        <f>IF(ISNA(VLOOKUP($A296,'Unit EDL'!$A:$C,3,FALSE)),0,VLOOKUP($A296,'Unit EDL'!$A:$C,3,FALSE))</f>
        <v>0</v>
      </c>
      <c r="L296" s="98">
        <f t="shared" si="16"/>
        <v>0</v>
      </c>
      <c r="M296" s="99">
        <f t="shared" si="17"/>
        <v>0</v>
      </c>
      <c r="O296" s="98">
        <f t="shared" si="18"/>
        <v>0</v>
      </c>
      <c r="P296" s="99">
        <f t="shared" si="19"/>
        <v>0</v>
      </c>
    </row>
    <row r="297" spans="1:16" x14ac:dyDescent="0.2">
      <c r="A297" s="10" t="s">
        <v>162</v>
      </c>
      <c r="B297" s="113"/>
      <c r="C297" s="8" t="s">
        <v>309</v>
      </c>
      <c r="D297" s="9" t="s">
        <v>310</v>
      </c>
      <c r="E297" s="1">
        <v>1.26</v>
      </c>
      <c r="F297" s="1">
        <v>3.6999999999999998E-2</v>
      </c>
      <c r="G297" s="1">
        <v>8</v>
      </c>
      <c r="H297" s="1"/>
      <c r="I297" s="1"/>
      <c r="J297" s="1"/>
      <c r="K297">
        <f>IF(ISNA(VLOOKUP($A297,'Unit EDL'!$A:$C,3,FALSE)),0,VLOOKUP($A297,'Unit EDL'!$A:$C,3,FALSE))</f>
        <v>0</v>
      </c>
      <c r="L297" s="98">
        <f t="shared" si="16"/>
        <v>0</v>
      </c>
      <c r="M297" s="99">
        <f t="shared" si="17"/>
        <v>0</v>
      </c>
      <c r="O297" s="98">
        <f t="shared" si="18"/>
        <v>0</v>
      </c>
      <c r="P297" s="99">
        <f t="shared" si="19"/>
        <v>0</v>
      </c>
    </row>
    <row r="298" spans="1:16" x14ac:dyDescent="0.2">
      <c r="A298" s="10" t="s">
        <v>162</v>
      </c>
      <c r="B298" s="113"/>
      <c r="C298" s="8" t="s">
        <v>321</v>
      </c>
      <c r="D298" s="9" t="s">
        <v>322</v>
      </c>
      <c r="E298" s="1">
        <v>0.51200000000000001</v>
      </c>
      <c r="F298" s="1">
        <v>4.0000000000000001E-3</v>
      </c>
      <c r="G298" s="1">
        <v>26</v>
      </c>
      <c r="H298" s="1"/>
      <c r="I298" s="1"/>
      <c r="J298" s="1"/>
      <c r="K298">
        <f>IF(ISNA(VLOOKUP($A298,'Unit EDL'!$A:$C,3,FALSE)),0,VLOOKUP($A298,'Unit EDL'!$A:$C,3,FALSE))</f>
        <v>0</v>
      </c>
      <c r="L298" s="98">
        <f t="shared" si="16"/>
        <v>0</v>
      </c>
      <c r="M298" s="99">
        <f t="shared" si="17"/>
        <v>0</v>
      </c>
      <c r="O298" s="98">
        <f t="shared" si="18"/>
        <v>0</v>
      </c>
      <c r="P298" s="99">
        <f t="shared" si="19"/>
        <v>0</v>
      </c>
    </row>
    <row r="299" spans="1:16" x14ac:dyDescent="0.2">
      <c r="A299" s="10" t="s">
        <v>162</v>
      </c>
      <c r="B299" s="113"/>
      <c r="C299" s="8" t="s">
        <v>329</v>
      </c>
      <c r="D299" s="9" t="s">
        <v>330</v>
      </c>
      <c r="E299" s="1">
        <v>1.5289999999999999</v>
      </c>
      <c r="F299" s="1">
        <v>8.1000000000000003E-2</v>
      </c>
      <c r="G299" s="1">
        <v>6</v>
      </c>
      <c r="H299" s="1"/>
      <c r="I299" s="1"/>
      <c r="J299" s="1"/>
      <c r="K299">
        <f>IF(ISNA(VLOOKUP($A299,'Unit EDL'!$A:$C,3,FALSE)),0,VLOOKUP($A299,'Unit EDL'!$A:$C,3,FALSE))</f>
        <v>0</v>
      </c>
      <c r="L299" s="98">
        <f t="shared" si="16"/>
        <v>0</v>
      </c>
      <c r="M299" s="99">
        <f t="shared" si="17"/>
        <v>0</v>
      </c>
      <c r="O299" s="98">
        <f t="shared" si="18"/>
        <v>0</v>
      </c>
      <c r="P299" s="99">
        <f t="shared" si="19"/>
        <v>0</v>
      </c>
    </row>
    <row r="300" spans="1:16" x14ac:dyDescent="0.2">
      <c r="A300" s="10" t="s">
        <v>162</v>
      </c>
      <c r="B300" s="113"/>
      <c r="C300" s="8" t="s">
        <v>343</v>
      </c>
      <c r="D300" s="9" t="s">
        <v>344</v>
      </c>
      <c r="E300" s="1">
        <v>0</v>
      </c>
      <c r="F300" s="1">
        <v>0</v>
      </c>
      <c r="G300" s="1">
        <v>2</v>
      </c>
      <c r="H300" s="1"/>
      <c r="I300" s="1"/>
      <c r="J300" s="1"/>
      <c r="K300">
        <f>IF(ISNA(VLOOKUP($A300,'Unit EDL'!$A:$C,3,FALSE)),0,VLOOKUP($A300,'Unit EDL'!$A:$C,3,FALSE))</f>
        <v>0</v>
      </c>
      <c r="L300" s="98">
        <f t="shared" si="16"/>
        <v>0</v>
      </c>
      <c r="M300" s="99">
        <f t="shared" si="17"/>
        <v>0</v>
      </c>
      <c r="O300" s="98">
        <f t="shared" si="18"/>
        <v>0</v>
      </c>
      <c r="P300" s="99">
        <f t="shared" si="19"/>
        <v>0</v>
      </c>
    </row>
    <row r="301" spans="1:16" x14ac:dyDescent="0.2">
      <c r="A301" s="10" t="s">
        <v>162</v>
      </c>
      <c r="B301" s="112"/>
      <c r="C301" s="8" t="s">
        <v>361</v>
      </c>
      <c r="D301" s="9" t="s">
        <v>362</v>
      </c>
      <c r="E301" s="1">
        <v>14.949</v>
      </c>
      <c r="F301" s="1">
        <v>2.1240000000000001</v>
      </c>
      <c r="G301" s="1">
        <v>24</v>
      </c>
      <c r="H301" s="1"/>
      <c r="I301" s="1"/>
      <c r="J301" s="1"/>
      <c r="K301">
        <f>IF(ISNA(VLOOKUP($A301,'Unit EDL'!$A:$C,3,FALSE)),0,VLOOKUP($A301,'Unit EDL'!$A:$C,3,FALSE))</f>
        <v>0</v>
      </c>
      <c r="L301" s="98">
        <f t="shared" si="16"/>
        <v>0</v>
      </c>
      <c r="M301" s="99">
        <f t="shared" si="17"/>
        <v>0</v>
      </c>
      <c r="O301" s="98">
        <f t="shared" si="18"/>
        <v>0</v>
      </c>
      <c r="P301" s="99">
        <f t="shared" si="19"/>
        <v>0</v>
      </c>
    </row>
    <row r="302" spans="1:16" x14ac:dyDescent="0.2">
      <c r="A302" s="12"/>
      <c r="L302" s="98"/>
      <c r="M302" s="99"/>
      <c r="O302" s="98">
        <f t="shared" si="18"/>
        <v>0</v>
      </c>
      <c r="P302" s="99">
        <f t="shared" si="19"/>
        <v>0</v>
      </c>
    </row>
    <row r="303" spans="1:16" x14ac:dyDescent="0.2">
      <c r="A303" s="10" t="s">
        <v>195</v>
      </c>
      <c r="B303" s="111" t="s">
        <v>118</v>
      </c>
      <c r="C303" s="8" t="s">
        <v>319</v>
      </c>
      <c r="D303" s="9" t="s">
        <v>320</v>
      </c>
      <c r="E303" s="1">
        <v>0.14899999999999999</v>
      </c>
      <c r="F303" s="1">
        <v>0.14899999999999999</v>
      </c>
      <c r="G303" s="1">
        <v>14</v>
      </c>
      <c r="H303" s="1">
        <v>8.5000000000000006E-2</v>
      </c>
      <c r="I303" s="1">
        <v>8.5000000000000006E-2</v>
      </c>
      <c r="J303" s="1">
        <v>8</v>
      </c>
      <c r="K303" t="s">
        <v>805</v>
      </c>
      <c r="L303" s="102">
        <f>E303*$K$304</f>
        <v>0</v>
      </c>
      <c r="M303" s="103">
        <f>F303*$K$304</f>
        <v>0</v>
      </c>
      <c r="O303" s="98">
        <f t="shared" si="18"/>
        <v>93.959731543624159</v>
      </c>
      <c r="P303" s="99">
        <f t="shared" si="19"/>
        <v>93.959731543624159</v>
      </c>
    </row>
    <row r="304" spans="1:16" x14ac:dyDescent="0.2">
      <c r="A304" s="10" t="s">
        <v>195</v>
      </c>
      <c r="B304" s="113"/>
      <c r="C304" s="8" t="s">
        <v>341</v>
      </c>
      <c r="D304" s="9" t="s">
        <v>342</v>
      </c>
      <c r="E304" s="1">
        <v>30.928000000000001</v>
      </c>
      <c r="F304" s="1">
        <v>30.928000000000001</v>
      </c>
      <c r="G304" s="1">
        <v>300</v>
      </c>
      <c r="H304" s="1">
        <v>12.371</v>
      </c>
      <c r="I304" s="1">
        <v>6.1859999999999999</v>
      </c>
      <c r="J304" s="1">
        <v>120</v>
      </c>
      <c r="K304" s="77">
        <v>0</v>
      </c>
      <c r="L304" s="102">
        <f t="shared" ref="L304:M335" si="20">E304*$K$304</f>
        <v>0</v>
      </c>
      <c r="M304" s="103">
        <f t="shared" si="20"/>
        <v>0</v>
      </c>
      <c r="O304" s="98">
        <f t="shared" si="18"/>
        <v>0</v>
      </c>
      <c r="P304" s="99">
        <f t="shared" si="19"/>
        <v>0</v>
      </c>
    </row>
    <row r="305" spans="1:16" x14ac:dyDescent="0.2">
      <c r="A305" s="10" t="s">
        <v>195</v>
      </c>
      <c r="B305" s="113"/>
      <c r="C305" s="8" t="s">
        <v>343</v>
      </c>
      <c r="D305" s="9" t="s">
        <v>344</v>
      </c>
      <c r="E305" s="1">
        <v>1.649</v>
      </c>
      <c r="F305" s="1">
        <v>1.649</v>
      </c>
      <c r="G305" s="1">
        <v>16</v>
      </c>
      <c r="H305" s="1">
        <v>12.371</v>
      </c>
      <c r="I305" s="1">
        <v>6.1859999999999999</v>
      </c>
      <c r="J305" s="1">
        <v>120</v>
      </c>
      <c r="L305" s="102">
        <f t="shared" si="20"/>
        <v>0</v>
      </c>
      <c r="M305" s="103">
        <f t="shared" si="20"/>
        <v>0</v>
      </c>
      <c r="O305" s="98">
        <f t="shared" si="18"/>
        <v>0</v>
      </c>
      <c r="P305" s="99">
        <f t="shared" si="19"/>
        <v>0</v>
      </c>
    </row>
    <row r="306" spans="1:16" x14ac:dyDescent="0.2">
      <c r="A306" s="10" t="s">
        <v>195</v>
      </c>
      <c r="B306" s="113"/>
      <c r="C306" s="8" t="s">
        <v>347</v>
      </c>
      <c r="D306" s="9" t="s">
        <v>348</v>
      </c>
      <c r="E306" s="1">
        <v>4.9480000000000004</v>
      </c>
      <c r="F306" s="1">
        <v>4.9480000000000004</v>
      </c>
      <c r="G306" s="1">
        <v>48</v>
      </c>
      <c r="H306" s="1">
        <v>9.8970000000000002</v>
      </c>
      <c r="I306" s="1">
        <v>4.9480000000000004</v>
      </c>
      <c r="J306" s="1">
        <v>96</v>
      </c>
      <c r="L306" s="102">
        <f t="shared" si="20"/>
        <v>0</v>
      </c>
      <c r="M306" s="103">
        <f t="shared" si="20"/>
        <v>0</v>
      </c>
      <c r="O306" s="98">
        <f t="shared" si="18"/>
        <v>0</v>
      </c>
      <c r="P306" s="99">
        <f t="shared" si="19"/>
        <v>0</v>
      </c>
    </row>
    <row r="307" spans="1:16" x14ac:dyDescent="0.2">
      <c r="A307" s="10" t="s">
        <v>195</v>
      </c>
      <c r="B307" s="113"/>
      <c r="C307" s="8" t="s">
        <v>349</v>
      </c>
      <c r="D307" s="9" t="s">
        <v>350</v>
      </c>
      <c r="E307" s="1">
        <v>4.9480000000000004</v>
      </c>
      <c r="F307" s="1">
        <v>4.9480000000000004</v>
      </c>
      <c r="G307" s="1">
        <v>48</v>
      </c>
      <c r="H307" s="1">
        <v>9.8970000000000002</v>
      </c>
      <c r="I307" s="1">
        <v>4.9480000000000004</v>
      </c>
      <c r="J307" s="1">
        <v>96</v>
      </c>
      <c r="L307" s="102">
        <f t="shared" si="20"/>
        <v>0</v>
      </c>
      <c r="M307" s="103">
        <f t="shared" si="20"/>
        <v>0</v>
      </c>
      <c r="O307" s="98">
        <f t="shared" si="18"/>
        <v>0</v>
      </c>
      <c r="P307" s="99">
        <f t="shared" si="19"/>
        <v>0</v>
      </c>
    </row>
    <row r="308" spans="1:16" x14ac:dyDescent="0.2">
      <c r="A308" s="10" t="s">
        <v>195</v>
      </c>
      <c r="B308" s="113"/>
      <c r="C308" s="8" t="s">
        <v>351</v>
      </c>
      <c r="D308" s="9" t="s">
        <v>352</v>
      </c>
      <c r="E308" s="1">
        <v>0.495</v>
      </c>
      <c r="F308" s="1">
        <v>0.495</v>
      </c>
      <c r="G308" s="1">
        <v>48</v>
      </c>
      <c r="H308" s="1">
        <v>0.99</v>
      </c>
      <c r="I308" s="1">
        <v>0.495</v>
      </c>
      <c r="J308" s="1">
        <v>96</v>
      </c>
      <c r="L308" s="102">
        <f t="shared" si="20"/>
        <v>0</v>
      </c>
      <c r="M308" s="103">
        <f t="shared" si="20"/>
        <v>0</v>
      </c>
      <c r="O308" s="98">
        <f t="shared" si="18"/>
        <v>0</v>
      </c>
      <c r="P308" s="99">
        <f t="shared" si="19"/>
        <v>0</v>
      </c>
    </row>
    <row r="309" spans="1:16" x14ac:dyDescent="0.2">
      <c r="A309" s="10" t="s">
        <v>195</v>
      </c>
      <c r="B309" s="113"/>
      <c r="C309" s="8" t="s">
        <v>353</v>
      </c>
      <c r="D309" s="9" t="s">
        <v>354</v>
      </c>
      <c r="E309" s="1">
        <v>4.9480000000000004</v>
      </c>
      <c r="F309" s="1">
        <v>4.9480000000000004</v>
      </c>
      <c r="G309" s="1">
        <v>48</v>
      </c>
      <c r="H309" s="1">
        <v>9.8970000000000002</v>
      </c>
      <c r="I309" s="1">
        <v>4.9480000000000004</v>
      </c>
      <c r="J309" s="1">
        <v>96</v>
      </c>
      <c r="L309" s="102">
        <f t="shared" si="20"/>
        <v>0</v>
      </c>
      <c r="M309" s="103">
        <f t="shared" si="20"/>
        <v>0</v>
      </c>
      <c r="O309" s="98">
        <f t="shared" si="18"/>
        <v>0</v>
      </c>
      <c r="P309" s="99">
        <f t="shared" si="19"/>
        <v>0</v>
      </c>
    </row>
    <row r="310" spans="1:16" x14ac:dyDescent="0.2">
      <c r="A310" s="10" t="s">
        <v>195</v>
      </c>
      <c r="B310" s="113"/>
      <c r="C310" s="8" t="s">
        <v>357</v>
      </c>
      <c r="D310" s="9" t="s">
        <v>358</v>
      </c>
      <c r="E310" s="1">
        <v>4.9480000000000004</v>
      </c>
      <c r="F310" s="1">
        <v>4.9480000000000004</v>
      </c>
      <c r="G310" s="1">
        <v>48</v>
      </c>
      <c r="H310" s="1">
        <v>9.8970000000000002</v>
      </c>
      <c r="I310" s="1">
        <v>4.9480000000000004</v>
      </c>
      <c r="J310" s="1">
        <v>96</v>
      </c>
      <c r="L310" s="102">
        <f t="shared" si="20"/>
        <v>0</v>
      </c>
      <c r="M310" s="103">
        <f t="shared" si="20"/>
        <v>0</v>
      </c>
      <c r="O310" s="98">
        <f t="shared" si="18"/>
        <v>0</v>
      </c>
      <c r="P310" s="99">
        <f t="shared" si="19"/>
        <v>0</v>
      </c>
    </row>
    <row r="311" spans="1:16" x14ac:dyDescent="0.2">
      <c r="A311" s="10" t="s">
        <v>195</v>
      </c>
      <c r="B311" s="113"/>
      <c r="C311" s="8" t="s">
        <v>363</v>
      </c>
      <c r="D311" s="9" t="s">
        <v>364</v>
      </c>
      <c r="E311" s="1">
        <v>0.23400000000000001</v>
      </c>
      <c r="F311" s="1">
        <v>0.23400000000000001</v>
      </c>
      <c r="G311" s="1">
        <v>22</v>
      </c>
      <c r="H311" s="1">
        <v>0.128</v>
      </c>
      <c r="I311" s="1">
        <v>0.128</v>
      </c>
      <c r="J311" s="1">
        <v>12</v>
      </c>
      <c r="L311" s="102">
        <f t="shared" si="20"/>
        <v>0</v>
      </c>
      <c r="M311" s="103">
        <f t="shared" si="20"/>
        <v>0</v>
      </c>
      <c r="O311" s="98">
        <f t="shared" si="18"/>
        <v>0</v>
      </c>
      <c r="P311" s="99">
        <f t="shared" si="19"/>
        <v>0</v>
      </c>
    </row>
    <row r="312" spans="1:16" x14ac:dyDescent="0.2">
      <c r="A312" s="10" t="s">
        <v>195</v>
      </c>
      <c r="B312" s="113"/>
      <c r="C312" s="8" t="s">
        <v>372</v>
      </c>
      <c r="D312" s="9" t="s">
        <v>373</v>
      </c>
      <c r="E312" s="1">
        <v>0</v>
      </c>
      <c r="F312" s="1">
        <v>0</v>
      </c>
      <c r="G312" s="1">
        <v>48</v>
      </c>
      <c r="H312" s="1"/>
      <c r="I312" s="1"/>
      <c r="J312" s="1"/>
      <c r="L312" s="102">
        <f t="shared" si="20"/>
        <v>0</v>
      </c>
      <c r="M312" s="103">
        <f t="shared" si="20"/>
        <v>0</v>
      </c>
      <c r="O312" s="98">
        <f t="shared" si="18"/>
        <v>0</v>
      </c>
      <c r="P312" s="99">
        <f t="shared" si="19"/>
        <v>0</v>
      </c>
    </row>
    <row r="313" spans="1:16" x14ac:dyDescent="0.2">
      <c r="A313" s="10" t="s">
        <v>195</v>
      </c>
      <c r="B313" s="113"/>
      <c r="C313" s="8" t="s">
        <v>374</v>
      </c>
      <c r="D313" s="9" t="s">
        <v>375</v>
      </c>
      <c r="E313" s="1">
        <v>0.61899999999999999</v>
      </c>
      <c r="F313" s="1">
        <v>0.61899999999999999</v>
      </c>
      <c r="G313" s="1">
        <v>6</v>
      </c>
      <c r="H313" s="1">
        <v>0.41199999999999998</v>
      </c>
      <c r="I313" s="1">
        <v>3.6999999999999998E-2</v>
      </c>
      <c r="J313" s="1">
        <v>4</v>
      </c>
      <c r="L313" s="102">
        <f t="shared" si="20"/>
        <v>0</v>
      </c>
      <c r="M313" s="103">
        <f t="shared" si="20"/>
        <v>0</v>
      </c>
      <c r="O313" s="98">
        <f t="shared" si="18"/>
        <v>0</v>
      </c>
      <c r="P313" s="99">
        <f t="shared" si="19"/>
        <v>0</v>
      </c>
    </row>
    <row r="314" spans="1:16" x14ac:dyDescent="0.2">
      <c r="A314" s="10" t="s">
        <v>195</v>
      </c>
      <c r="B314" s="113"/>
      <c r="C314" s="8" t="s">
        <v>378</v>
      </c>
      <c r="D314" s="9" t="s">
        <v>379</v>
      </c>
      <c r="E314" s="1">
        <v>4.9480000000000004</v>
      </c>
      <c r="F314" s="1">
        <v>4.9480000000000004</v>
      </c>
      <c r="G314" s="1">
        <v>48</v>
      </c>
      <c r="H314" s="1">
        <v>12.371</v>
      </c>
      <c r="I314" s="1">
        <v>6.1859999999999999</v>
      </c>
      <c r="J314" s="1">
        <v>120</v>
      </c>
      <c r="L314" s="102">
        <f t="shared" si="20"/>
        <v>0</v>
      </c>
      <c r="M314" s="103">
        <f t="shared" si="20"/>
        <v>0</v>
      </c>
      <c r="O314" s="98">
        <f t="shared" si="18"/>
        <v>0</v>
      </c>
      <c r="P314" s="99">
        <f t="shared" si="19"/>
        <v>0</v>
      </c>
    </row>
    <row r="315" spans="1:16" x14ac:dyDescent="0.2">
      <c r="A315" s="10" t="s">
        <v>195</v>
      </c>
      <c r="B315" s="113"/>
      <c r="C315" s="8" t="s">
        <v>380</v>
      </c>
      <c r="D315" s="9" t="s">
        <v>381</v>
      </c>
      <c r="E315" s="1">
        <v>4.9480000000000004</v>
      </c>
      <c r="F315" s="1">
        <v>4.9480000000000004</v>
      </c>
      <c r="G315" s="1">
        <v>48</v>
      </c>
      <c r="H315" s="1">
        <v>12.371</v>
      </c>
      <c r="I315" s="1">
        <v>6.1859999999999999</v>
      </c>
      <c r="J315" s="1">
        <v>120</v>
      </c>
      <c r="L315" s="102">
        <f t="shared" si="20"/>
        <v>0</v>
      </c>
      <c r="M315" s="103">
        <f t="shared" si="20"/>
        <v>0</v>
      </c>
      <c r="O315" s="98">
        <f t="shared" si="18"/>
        <v>0</v>
      </c>
      <c r="P315" s="99">
        <f t="shared" si="19"/>
        <v>0</v>
      </c>
    </row>
    <row r="316" spans="1:16" x14ac:dyDescent="0.2">
      <c r="A316" s="10" t="s">
        <v>195</v>
      </c>
      <c r="B316" s="113"/>
      <c r="C316" s="8" t="s">
        <v>382</v>
      </c>
      <c r="D316" s="9" t="s">
        <v>383</v>
      </c>
      <c r="E316" s="1">
        <v>4.9480000000000004</v>
      </c>
      <c r="F316" s="1">
        <v>4.9480000000000004</v>
      </c>
      <c r="G316" s="1">
        <v>48</v>
      </c>
      <c r="H316" s="1">
        <v>12.371</v>
      </c>
      <c r="I316" s="1">
        <v>6.1859999999999999</v>
      </c>
      <c r="J316" s="1">
        <v>120</v>
      </c>
      <c r="L316" s="102">
        <f t="shared" si="20"/>
        <v>0</v>
      </c>
      <c r="M316" s="103">
        <f t="shared" si="20"/>
        <v>0</v>
      </c>
      <c r="O316" s="98">
        <f t="shared" si="18"/>
        <v>0</v>
      </c>
      <c r="P316" s="99">
        <f t="shared" si="19"/>
        <v>0</v>
      </c>
    </row>
    <row r="317" spans="1:16" x14ac:dyDescent="0.2">
      <c r="A317" s="10" t="s">
        <v>195</v>
      </c>
      <c r="B317" s="113"/>
      <c r="C317" s="8" t="s">
        <v>384</v>
      </c>
      <c r="D317" s="9" t="s">
        <v>385</v>
      </c>
      <c r="E317" s="1">
        <v>0.99</v>
      </c>
      <c r="F317" s="1">
        <v>0.99</v>
      </c>
      <c r="G317" s="1">
        <v>96</v>
      </c>
      <c r="H317" s="1">
        <v>2.4740000000000002</v>
      </c>
      <c r="I317" s="1">
        <v>1.2370000000000001</v>
      </c>
      <c r="J317" s="1">
        <v>240</v>
      </c>
      <c r="L317" s="102">
        <f t="shared" si="20"/>
        <v>0</v>
      </c>
      <c r="M317" s="103">
        <f t="shared" si="20"/>
        <v>0</v>
      </c>
      <c r="O317" s="98">
        <f t="shared" si="18"/>
        <v>0</v>
      </c>
      <c r="P317" s="99">
        <f t="shared" si="19"/>
        <v>0</v>
      </c>
    </row>
    <row r="318" spans="1:16" x14ac:dyDescent="0.2">
      <c r="A318" s="10" t="s">
        <v>195</v>
      </c>
      <c r="B318" s="113"/>
      <c r="C318" s="8" t="s">
        <v>386</v>
      </c>
      <c r="D318" s="9" t="s">
        <v>387</v>
      </c>
      <c r="E318" s="1">
        <v>9.8970000000000002</v>
      </c>
      <c r="F318" s="1">
        <v>9.8970000000000002</v>
      </c>
      <c r="G318" s="1">
        <v>96</v>
      </c>
      <c r="H318" s="1">
        <v>12.371</v>
      </c>
      <c r="I318" s="1">
        <v>6.1859999999999999</v>
      </c>
      <c r="J318" s="1">
        <v>120</v>
      </c>
      <c r="L318" s="102">
        <f t="shared" si="20"/>
        <v>0</v>
      </c>
      <c r="M318" s="103">
        <f t="shared" si="20"/>
        <v>0</v>
      </c>
      <c r="O318" s="98">
        <f t="shared" si="18"/>
        <v>0</v>
      </c>
      <c r="P318" s="99">
        <f t="shared" si="19"/>
        <v>0</v>
      </c>
    </row>
    <row r="319" spans="1:16" x14ac:dyDescent="0.2">
      <c r="A319" s="10" t="s">
        <v>195</v>
      </c>
      <c r="B319" s="113"/>
      <c r="C319" s="8" t="s">
        <v>388</v>
      </c>
      <c r="D319" s="9" t="s">
        <v>389</v>
      </c>
      <c r="E319" s="1">
        <v>4.9480000000000004</v>
      </c>
      <c r="F319" s="1">
        <v>4.9480000000000004</v>
      </c>
      <c r="G319" s="1">
        <v>48</v>
      </c>
      <c r="H319" s="1">
        <v>12.371</v>
      </c>
      <c r="I319" s="1">
        <v>6.1859999999999999</v>
      </c>
      <c r="J319" s="1">
        <v>120</v>
      </c>
      <c r="L319" s="102">
        <f t="shared" si="20"/>
        <v>0</v>
      </c>
      <c r="M319" s="103">
        <f t="shared" si="20"/>
        <v>0</v>
      </c>
      <c r="O319" s="98">
        <f t="shared" si="18"/>
        <v>0</v>
      </c>
      <c r="P319" s="99">
        <f t="shared" si="19"/>
        <v>0</v>
      </c>
    </row>
    <row r="320" spans="1:16" x14ac:dyDescent="0.2">
      <c r="A320" s="10" t="s">
        <v>195</v>
      </c>
      <c r="B320" s="113"/>
      <c r="C320" s="8" t="s">
        <v>390</v>
      </c>
      <c r="D320" s="9" t="s">
        <v>391</v>
      </c>
      <c r="E320" s="1">
        <v>13.196</v>
      </c>
      <c r="F320" s="1">
        <v>13.196</v>
      </c>
      <c r="G320" s="1">
        <v>128</v>
      </c>
      <c r="H320" s="1"/>
      <c r="I320" s="1"/>
      <c r="J320" s="1"/>
      <c r="L320" s="102">
        <f t="shared" si="20"/>
        <v>0</v>
      </c>
      <c r="M320" s="103">
        <f t="shared" si="20"/>
        <v>0</v>
      </c>
      <c r="O320" s="98">
        <f t="shared" si="18"/>
        <v>0</v>
      </c>
      <c r="P320" s="99">
        <f t="shared" si="19"/>
        <v>0</v>
      </c>
    </row>
    <row r="321" spans="1:16" x14ac:dyDescent="0.2">
      <c r="A321" s="10" t="s">
        <v>195</v>
      </c>
      <c r="B321" s="113"/>
      <c r="C321" s="8" t="s">
        <v>394</v>
      </c>
      <c r="D321" s="9" t="s">
        <v>395</v>
      </c>
      <c r="E321" s="1">
        <v>0</v>
      </c>
      <c r="F321" s="1">
        <v>0</v>
      </c>
      <c r="G321" s="1">
        <v>144</v>
      </c>
      <c r="H321" s="1">
        <v>0</v>
      </c>
      <c r="I321" s="1">
        <v>0</v>
      </c>
      <c r="J321" s="1">
        <v>288</v>
      </c>
      <c r="L321" s="102">
        <f t="shared" si="20"/>
        <v>0</v>
      </c>
      <c r="M321" s="103">
        <f t="shared" si="20"/>
        <v>0</v>
      </c>
      <c r="O321" s="98">
        <f t="shared" si="18"/>
        <v>0</v>
      </c>
      <c r="P321" s="99">
        <f t="shared" si="19"/>
        <v>0</v>
      </c>
    </row>
    <row r="322" spans="1:16" x14ac:dyDescent="0.2">
      <c r="A322" s="10" t="s">
        <v>195</v>
      </c>
      <c r="B322" s="113"/>
      <c r="C322" s="8" t="s">
        <v>396</v>
      </c>
      <c r="D322" s="9" t="s">
        <v>397</v>
      </c>
      <c r="E322" s="1">
        <v>0</v>
      </c>
      <c r="F322" s="1">
        <v>0</v>
      </c>
      <c r="G322" s="1">
        <v>12</v>
      </c>
      <c r="H322" s="1">
        <v>0</v>
      </c>
      <c r="I322" s="1">
        <v>0</v>
      </c>
      <c r="J322" s="1">
        <v>18</v>
      </c>
      <c r="L322" s="102">
        <f t="shared" si="20"/>
        <v>0</v>
      </c>
      <c r="M322" s="103">
        <f t="shared" si="20"/>
        <v>0</v>
      </c>
      <c r="O322" s="98">
        <f t="shared" si="18"/>
        <v>0</v>
      </c>
      <c r="P322" s="99">
        <f t="shared" si="19"/>
        <v>0</v>
      </c>
    </row>
    <row r="323" spans="1:16" x14ac:dyDescent="0.2">
      <c r="A323" s="10" t="s">
        <v>195</v>
      </c>
      <c r="B323" s="113"/>
      <c r="C323" s="8" t="s">
        <v>398</v>
      </c>
      <c r="D323" s="9" t="s">
        <v>399</v>
      </c>
      <c r="E323" s="1">
        <v>0</v>
      </c>
      <c r="F323" s="1">
        <v>0</v>
      </c>
      <c r="G323" s="1">
        <v>140</v>
      </c>
      <c r="H323" s="1">
        <v>25.773</v>
      </c>
      <c r="I323" s="1">
        <v>2.0139999999999998</v>
      </c>
      <c r="J323" s="1">
        <v>500</v>
      </c>
      <c r="L323" s="102">
        <f t="shared" si="20"/>
        <v>0</v>
      </c>
      <c r="M323" s="103">
        <f t="shared" si="20"/>
        <v>0</v>
      </c>
      <c r="O323" s="98">
        <f t="shared" si="18"/>
        <v>0</v>
      </c>
      <c r="P323" s="99">
        <f t="shared" si="19"/>
        <v>0</v>
      </c>
    </row>
    <row r="324" spans="1:16" x14ac:dyDescent="0.2">
      <c r="A324" s="10" t="s">
        <v>195</v>
      </c>
      <c r="B324" s="113"/>
      <c r="C324" s="8" t="s">
        <v>400</v>
      </c>
      <c r="D324" s="9" t="s">
        <v>401</v>
      </c>
      <c r="E324" s="1">
        <v>0</v>
      </c>
      <c r="F324" s="1">
        <v>0</v>
      </c>
      <c r="G324" s="1">
        <v>160</v>
      </c>
      <c r="H324" s="1">
        <v>0</v>
      </c>
      <c r="I324" s="1">
        <v>0</v>
      </c>
      <c r="J324" s="1">
        <v>250</v>
      </c>
      <c r="L324" s="102">
        <f t="shared" si="20"/>
        <v>0</v>
      </c>
      <c r="M324" s="103">
        <f t="shared" si="20"/>
        <v>0</v>
      </c>
      <c r="O324" s="98">
        <f t="shared" si="18"/>
        <v>0</v>
      </c>
      <c r="P324" s="99">
        <f t="shared" si="19"/>
        <v>0</v>
      </c>
    </row>
    <row r="325" spans="1:16" x14ac:dyDescent="0.2">
      <c r="A325" s="10" t="s">
        <v>195</v>
      </c>
      <c r="B325" s="113"/>
      <c r="C325" s="8" t="s">
        <v>404</v>
      </c>
      <c r="D325" s="9" t="s">
        <v>405</v>
      </c>
      <c r="E325" s="1">
        <v>0.51500000000000001</v>
      </c>
      <c r="F325" s="1">
        <v>9.7000000000000003E-2</v>
      </c>
      <c r="G325" s="1">
        <v>5</v>
      </c>
      <c r="H325" s="1">
        <v>0.73899999999999999</v>
      </c>
      <c r="I325" s="1">
        <v>0.121</v>
      </c>
      <c r="J325" s="1">
        <v>10</v>
      </c>
      <c r="L325" s="102">
        <f t="shared" si="20"/>
        <v>0</v>
      </c>
      <c r="M325" s="103">
        <f t="shared" si="20"/>
        <v>0</v>
      </c>
      <c r="O325" s="98">
        <f t="shared" si="18"/>
        <v>0</v>
      </c>
      <c r="P325" s="99">
        <f t="shared" si="19"/>
        <v>0</v>
      </c>
    </row>
    <row r="326" spans="1:16" x14ac:dyDescent="0.2">
      <c r="A326" s="10" t="s">
        <v>195</v>
      </c>
      <c r="B326" s="113"/>
      <c r="C326" s="8" t="s">
        <v>406</v>
      </c>
      <c r="D326" s="9" t="s">
        <v>407</v>
      </c>
      <c r="E326" s="1">
        <v>0</v>
      </c>
      <c r="F326" s="1">
        <v>0</v>
      </c>
      <c r="G326" s="1">
        <v>22</v>
      </c>
      <c r="H326" s="1">
        <v>0</v>
      </c>
      <c r="I326" s="1">
        <v>0</v>
      </c>
      <c r="J326" s="1">
        <v>35</v>
      </c>
      <c r="L326" s="102">
        <f t="shared" si="20"/>
        <v>0</v>
      </c>
      <c r="M326" s="103">
        <f t="shared" si="20"/>
        <v>0</v>
      </c>
      <c r="O326" s="98">
        <f t="shared" si="18"/>
        <v>0</v>
      </c>
      <c r="P326" s="99">
        <f t="shared" si="19"/>
        <v>0</v>
      </c>
    </row>
    <row r="327" spans="1:16" x14ac:dyDescent="0.2">
      <c r="A327" s="10" t="s">
        <v>195</v>
      </c>
      <c r="B327" s="113"/>
      <c r="C327" s="8" t="s">
        <v>408</v>
      </c>
      <c r="D327" s="9" t="s">
        <v>409</v>
      </c>
      <c r="E327" s="1">
        <v>0</v>
      </c>
      <c r="F327" s="1">
        <v>0</v>
      </c>
      <c r="G327" s="1">
        <v>2000</v>
      </c>
      <c r="H327" s="1">
        <v>0</v>
      </c>
      <c r="I327" s="1">
        <v>0</v>
      </c>
      <c r="J327" s="1">
        <v>4000</v>
      </c>
      <c r="L327" s="102">
        <f t="shared" si="20"/>
        <v>0</v>
      </c>
      <c r="M327" s="103">
        <f t="shared" si="20"/>
        <v>0</v>
      </c>
      <c r="O327" s="98">
        <f t="shared" si="18"/>
        <v>0</v>
      </c>
      <c r="P327" s="99">
        <f t="shared" si="19"/>
        <v>0</v>
      </c>
    </row>
    <row r="328" spans="1:16" x14ac:dyDescent="0.2">
      <c r="A328" s="10" t="s">
        <v>195</v>
      </c>
      <c r="B328" s="113"/>
      <c r="C328" s="8" t="s">
        <v>412</v>
      </c>
      <c r="D328" s="9" t="s">
        <v>413</v>
      </c>
      <c r="E328" s="1"/>
      <c r="F328" s="1"/>
      <c r="G328" s="1"/>
      <c r="H328" s="1">
        <v>10.308999999999999</v>
      </c>
      <c r="I328" s="1">
        <v>0.80500000000000005</v>
      </c>
      <c r="J328" s="1">
        <v>200</v>
      </c>
      <c r="L328" s="102">
        <f t="shared" si="20"/>
        <v>0</v>
      </c>
      <c r="M328" s="103">
        <f t="shared" si="20"/>
        <v>0</v>
      </c>
      <c r="O328" s="98">
        <f t="shared" si="18"/>
        <v>0</v>
      </c>
      <c r="P328" s="99">
        <f t="shared" si="19"/>
        <v>0</v>
      </c>
    </row>
    <row r="329" spans="1:16" x14ac:dyDescent="0.2">
      <c r="A329" s="10" t="s">
        <v>195</v>
      </c>
      <c r="B329" s="113"/>
      <c r="C329" s="8" t="s">
        <v>414</v>
      </c>
      <c r="D329" s="9" t="s">
        <v>415</v>
      </c>
      <c r="E329" s="1">
        <v>0</v>
      </c>
      <c r="F329" s="1">
        <v>0</v>
      </c>
      <c r="G329" s="1">
        <v>500</v>
      </c>
      <c r="H329" s="1">
        <v>0</v>
      </c>
      <c r="I329" s="1">
        <v>0</v>
      </c>
      <c r="J329" s="1">
        <v>1000</v>
      </c>
      <c r="L329" s="102">
        <f t="shared" si="20"/>
        <v>0</v>
      </c>
      <c r="M329" s="103">
        <f t="shared" si="20"/>
        <v>0</v>
      </c>
      <c r="O329" s="98">
        <f t="shared" ref="O329:O392" si="21">IF($K329=0,0,IF(E329=0,999,$G329/E329))</f>
        <v>0</v>
      </c>
      <c r="P329" s="99">
        <f t="shared" ref="P329:P392" si="22">IF($K329=0,0,IF(F329=0,999,$G329/F329))</f>
        <v>0</v>
      </c>
    </row>
    <row r="330" spans="1:16" x14ac:dyDescent="0.2">
      <c r="A330" s="10" t="s">
        <v>195</v>
      </c>
      <c r="B330" s="113"/>
      <c r="C330" s="8" t="s">
        <v>416</v>
      </c>
      <c r="D330" s="9" t="s">
        <v>417</v>
      </c>
      <c r="E330" s="1">
        <v>0</v>
      </c>
      <c r="F330" s="1">
        <v>0</v>
      </c>
      <c r="G330" s="1">
        <v>25</v>
      </c>
      <c r="H330" s="1">
        <v>0</v>
      </c>
      <c r="I330" s="1">
        <v>0</v>
      </c>
      <c r="J330" s="1">
        <v>50</v>
      </c>
      <c r="L330" s="102">
        <f t="shared" si="20"/>
        <v>0</v>
      </c>
      <c r="M330" s="103">
        <f t="shared" si="20"/>
        <v>0</v>
      </c>
      <c r="O330" s="98">
        <f t="shared" si="21"/>
        <v>0</v>
      </c>
      <c r="P330" s="99">
        <f t="shared" si="22"/>
        <v>0</v>
      </c>
    </row>
    <row r="331" spans="1:16" x14ac:dyDescent="0.2">
      <c r="A331" s="10" t="s">
        <v>195</v>
      </c>
      <c r="B331" s="113"/>
      <c r="C331" s="8" t="s">
        <v>426</v>
      </c>
      <c r="D331" s="9" t="s">
        <v>427</v>
      </c>
      <c r="E331" s="1">
        <v>0</v>
      </c>
      <c r="F331" s="1">
        <v>0</v>
      </c>
      <c r="G331" s="1">
        <v>252</v>
      </c>
      <c r="H331" s="1">
        <v>2.073</v>
      </c>
      <c r="I331" s="1">
        <v>0.156</v>
      </c>
      <c r="J331" s="1">
        <v>252</v>
      </c>
      <c r="L331" s="102">
        <f t="shared" si="20"/>
        <v>0</v>
      </c>
      <c r="M331" s="103">
        <f t="shared" si="20"/>
        <v>0</v>
      </c>
      <c r="O331" s="98">
        <f t="shared" si="21"/>
        <v>0</v>
      </c>
      <c r="P331" s="99">
        <f t="shared" si="22"/>
        <v>0</v>
      </c>
    </row>
    <row r="332" spans="1:16" x14ac:dyDescent="0.2">
      <c r="A332" s="10" t="s">
        <v>195</v>
      </c>
      <c r="B332" s="113"/>
      <c r="C332" s="8" t="s">
        <v>456</v>
      </c>
      <c r="D332" s="9" t="s">
        <v>457</v>
      </c>
      <c r="E332" s="1">
        <v>0</v>
      </c>
      <c r="F332" s="1">
        <v>0</v>
      </c>
      <c r="G332" s="1">
        <v>310</v>
      </c>
      <c r="H332" s="1">
        <v>0</v>
      </c>
      <c r="I332" s="1">
        <v>0</v>
      </c>
      <c r="J332" s="1">
        <v>500</v>
      </c>
      <c r="L332" s="102">
        <f t="shared" si="20"/>
        <v>0</v>
      </c>
      <c r="M332" s="103">
        <f t="shared" si="20"/>
        <v>0</v>
      </c>
      <c r="O332" s="98">
        <f t="shared" si="21"/>
        <v>0</v>
      </c>
      <c r="P332" s="99">
        <f t="shared" si="22"/>
        <v>0</v>
      </c>
    </row>
    <row r="333" spans="1:16" x14ac:dyDescent="0.2">
      <c r="A333" s="10" t="s">
        <v>195</v>
      </c>
      <c r="B333" s="113"/>
      <c r="C333" s="8" t="s">
        <v>59</v>
      </c>
      <c r="D333" s="9" t="s">
        <v>60</v>
      </c>
      <c r="E333" s="1">
        <v>0</v>
      </c>
      <c r="F333" s="1">
        <v>0</v>
      </c>
      <c r="G333" s="1">
        <v>1</v>
      </c>
      <c r="H333" s="1">
        <v>0</v>
      </c>
      <c r="I333" s="1">
        <v>0</v>
      </c>
      <c r="J333" s="1">
        <v>1</v>
      </c>
      <c r="L333" s="102">
        <f t="shared" si="20"/>
        <v>0</v>
      </c>
      <c r="M333" s="103">
        <f t="shared" si="20"/>
        <v>0</v>
      </c>
      <c r="O333" s="98">
        <f t="shared" si="21"/>
        <v>0</v>
      </c>
      <c r="P333" s="99">
        <f t="shared" si="22"/>
        <v>0</v>
      </c>
    </row>
    <row r="334" spans="1:16" x14ac:dyDescent="0.2">
      <c r="A334" s="10" t="s">
        <v>195</v>
      </c>
      <c r="B334" s="113"/>
      <c r="C334" s="8" t="s">
        <v>69</v>
      </c>
      <c r="D334" s="9" t="s">
        <v>70</v>
      </c>
      <c r="E334" s="1">
        <v>0</v>
      </c>
      <c r="F334" s="1">
        <v>0</v>
      </c>
      <c r="G334" s="1">
        <v>150</v>
      </c>
      <c r="H334" s="1">
        <v>0</v>
      </c>
      <c r="I334" s="1">
        <v>0</v>
      </c>
      <c r="J334" s="1">
        <v>250</v>
      </c>
      <c r="L334" s="102">
        <f t="shared" si="20"/>
        <v>0</v>
      </c>
      <c r="M334" s="103">
        <f t="shared" si="20"/>
        <v>0</v>
      </c>
      <c r="O334" s="98">
        <f t="shared" si="21"/>
        <v>0</v>
      </c>
      <c r="P334" s="99">
        <f t="shared" si="22"/>
        <v>0</v>
      </c>
    </row>
    <row r="335" spans="1:16" x14ac:dyDescent="0.2">
      <c r="A335" s="10" t="s">
        <v>195</v>
      </c>
      <c r="B335" s="112"/>
      <c r="C335" s="8" t="s">
        <v>460</v>
      </c>
      <c r="D335" s="9" t="s">
        <v>461</v>
      </c>
      <c r="E335" s="1"/>
      <c r="F335" s="1"/>
      <c r="G335" s="1"/>
      <c r="H335" s="1">
        <v>0</v>
      </c>
      <c r="I335" s="1">
        <v>0</v>
      </c>
      <c r="J335" s="1">
        <v>4</v>
      </c>
      <c r="L335" s="102">
        <f t="shared" si="20"/>
        <v>0</v>
      </c>
      <c r="M335" s="103">
        <f t="shared" si="20"/>
        <v>0</v>
      </c>
      <c r="O335" s="98">
        <f t="shared" si="21"/>
        <v>0</v>
      </c>
      <c r="P335" s="99">
        <f t="shared" si="22"/>
        <v>0</v>
      </c>
    </row>
    <row r="336" spans="1:16" x14ac:dyDescent="0.2">
      <c r="A336" s="12"/>
      <c r="L336" s="98"/>
      <c r="M336" s="99"/>
      <c r="O336" s="98">
        <f t="shared" si="21"/>
        <v>0</v>
      </c>
      <c r="P336" s="99">
        <f t="shared" si="22"/>
        <v>0</v>
      </c>
    </row>
    <row r="337" spans="1:16" x14ac:dyDescent="0.2">
      <c r="A337" s="10" t="s">
        <v>205</v>
      </c>
      <c r="B337" s="111" t="s">
        <v>128</v>
      </c>
      <c r="C337" s="8" t="s">
        <v>372</v>
      </c>
      <c r="D337" s="9" t="s">
        <v>373</v>
      </c>
      <c r="E337" s="1">
        <v>0</v>
      </c>
      <c r="F337" s="1">
        <v>0</v>
      </c>
      <c r="G337" s="1">
        <v>50</v>
      </c>
      <c r="H337" s="1">
        <v>4.1239999999999997</v>
      </c>
      <c r="I337" s="1">
        <v>0.93700000000000006</v>
      </c>
      <c r="J337" s="1">
        <v>40</v>
      </c>
      <c r="K337" t="s">
        <v>806</v>
      </c>
      <c r="L337" s="98">
        <f>E337*$K$338</f>
        <v>0</v>
      </c>
      <c r="M337" s="99">
        <f>F337*$K$338</f>
        <v>0</v>
      </c>
      <c r="O337" s="98">
        <f t="shared" si="21"/>
        <v>999</v>
      </c>
      <c r="P337" s="99">
        <f t="shared" si="22"/>
        <v>999</v>
      </c>
    </row>
    <row r="338" spans="1:16" x14ac:dyDescent="0.2">
      <c r="A338" s="10" t="s">
        <v>205</v>
      </c>
      <c r="B338" s="113"/>
      <c r="C338" s="8" t="s">
        <v>392</v>
      </c>
      <c r="D338" s="9" t="s">
        <v>393</v>
      </c>
      <c r="E338" s="1">
        <v>0</v>
      </c>
      <c r="F338" s="1">
        <v>0</v>
      </c>
      <c r="G338" s="1">
        <v>4</v>
      </c>
      <c r="H338" s="1"/>
      <c r="I338" s="1"/>
      <c r="J338" s="1"/>
      <c r="K338" s="77">
        <v>0</v>
      </c>
      <c r="L338" s="98">
        <f t="shared" ref="L338:M341" si="23">E338*$K$338</f>
        <v>0</v>
      </c>
      <c r="M338" s="99">
        <f t="shared" si="23"/>
        <v>0</v>
      </c>
      <c r="O338" s="98">
        <f t="shared" si="21"/>
        <v>0</v>
      </c>
      <c r="P338" s="99">
        <f t="shared" si="22"/>
        <v>0</v>
      </c>
    </row>
    <row r="339" spans="1:16" x14ac:dyDescent="0.2">
      <c r="A339" s="10" t="s">
        <v>205</v>
      </c>
      <c r="B339" s="113"/>
      <c r="C339" s="8" t="s">
        <v>396</v>
      </c>
      <c r="D339" s="9" t="s">
        <v>397</v>
      </c>
      <c r="E339" s="1">
        <v>0.20599999999999999</v>
      </c>
      <c r="F339" s="1">
        <v>0.20599999999999999</v>
      </c>
      <c r="G339" s="1">
        <v>2</v>
      </c>
      <c r="H339" s="1"/>
      <c r="I339" s="1"/>
      <c r="J339" s="1"/>
      <c r="L339" s="98">
        <f t="shared" si="23"/>
        <v>0</v>
      </c>
      <c r="M339" s="99">
        <f t="shared" si="23"/>
        <v>0</v>
      </c>
      <c r="O339" s="98">
        <f t="shared" si="21"/>
        <v>0</v>
      </c>
      <c r="P339" s="99">
        <f t="shared" si="22"/>
        <v>0</v>
      </c>
    </row>
    <row r="340" spans="1:16" x14ac:dyDescent="0.2">
      <c r="A340" s="10" t="s">
        <v>205</v>
      </c>
      <c r="B340" s="113"/>
      <c r="C340" s="8" t="s">
        <v>406</v>
      </c>
      <c r="D340" s="9" t="s">
        <v>407</v>
      </c>
      <c r="E340" s="1">
        <v>0.20599999999999999</v>
      </c>
      <c r="F340" s="1">
        <v>0.20599999999999999</v>
      </c>
      <c r="G340" s="1">
        <v>2</v>
      </c>
      <c r="H340" s="1"/>
      <c r="I340" s="1"/>
      <c r="J340" s="1"/>
      <c r="L340" s="98">
        <f t="shared" si="23"/>
        <v>0</v>
      </c>
      <c r="M340" s="99">
        <f t="shared" si="23"/>
        <v>0</v>
      </c>
      <c r="O340" s="98">
        <f t="shared" si="21"/>
        <v>0</v>
      </c>
      <c r="P340" s="99">
        <f t="shared" si="22"/>
        <v>0</v>
      </c>
    </row>
    <row r="341" spans="1:16" x14ac:dyDescent="0.2">
      <c r="A341" s="10" t="s">
        <v>205</v>
      </c>
      <c r="B341" s="112"/>
      <c r="C341" s="8" t="s">
        <v>426</v>
      </c>
      <c r="D341" s="9" t="s">
        <v>427</v>
      </c>
      <c r="E341" s="1">
        <v>2.0619999999999998</v>
      </c>
      <c r="F341" s="1">
        <v>2.0619999999999998</v>
      </c>
      <c r="G341" s="1">
        <v>20</v>
      </c>
      <c r="H341" s="1">
        <v>0.88200000000000001</v>
      </c>
      <c r="I341" s="1">
        <v>0.59699999999999998</v>
      </c>
      <c r="J341" s="1">
        <v>10</v>
      </c>
      <c r="L341" s="98">
        <f t="shared" si="23"/>
        <v>0</v>
      </c>
      <c r="M341" s="99">
        <f t="shared" si="23"/>
        <v>0</v>
      </c>
      <c r="O341" s="98">
        <f t="shared" si="21"/>
        <v>0</v>
      </c>
      <c r="P341" s="99">
        <f t="shared" si="22"/>
        <v>0</v>
      </c>
    </row>
    <row r="342" spans="1:16" x14ac:dyDescent="0.2">
      <c r="A342" s="12"/>
      <c r="L342" s="98"/>
      <c r="M342" s="99"/>
      <c r="O342" s="98">
        <f t="shared" si="21"/>
        <v>0</v>
      </c>
      <c r="P342" s="99">
        <f t="shared" si="22"/>
        <v>0</v>
      </c>
    </row>
    <row r="343" spans="1:16" x14ac:dyDescent="0.2">
      <c r="A343" s="10" t="s">
        <v>164</v>
      </c>
      <c r="B343" s="111" t="s">
        <v>87</v>
      </c>
      <c r="C343" s="8" t="s">
        <v>235</v>
      </c>
      <c r="D343" s="9" t="s">
        <v>236</v>
      </c>
      <c r="E343" s="1"/>
      <c r="F343" s="1"/>
      <c r="G343" s="1"/>
      <c r="H343" s="1">
        <v>4.5</v>
      </c>
      <c r="I343" s="1">
        <v>4.5</v>
      </c>
      <c r="J343" s="1">
        <v>50</v>
      </c>
      <c r="K343" t="s">
        <v>807</v>
      </c>
      <c r="L343" s="102">
        <f>E343*$K$344</f>
        <v>0</v>
      </c>
      <c r="M343" s="103">
        <f>F343*$K$344</f>
        <v>0</v>
      </c>
      <c r="O343" s="98">
        <f t="shared" si="21"/>
        <v>999</v>
      </c>
      <c r="P343" s="99">
        <f t="shared" si="22"/>
        <v>999</v>
      </c>
    </row>
    <row r="344" spans="1:16" x14ac:dyDescent="0.2">
      <c r="A344" s="10" t="s">
        <v>164</v>
      </c>
      <c r="B344" s="113"/>
      <c r="C344" s="8" t="s">
        <v>239</v>
      </c>
      <c r="D344" s="9" t="s">
        <v>240</v>
      </c>
      <c r="E344" s="1"/>
      <c r="F344" s="1"/>
      <c r="G344" s="1"/>
      <c r="H344" s="1">
        <v>12.942</v>
      </c>
      <c r="I344" s="1">
        <v>12.942</v>
      </c>
      <c r="J344" s="1">
        <v>50</v>
      </c>
      <c r="K344" s="77">
        <v>0</v>
      </c>
      <c r="L344" s="102">
        <f t="shared" ref="L344:M376" si="24">E344*$K$344</f>
        <v>0</v>
      </c>
      <c r="M344" s="103">
        <f t="shared" si="24"/>
        <v>0</v>
      </c>
      <c r="O344" s="98">
        <f t="shared" si="21"/>
        <v>0</v>
      </c>
      <c r="P344" s="99">
        <f t="shared" si="22"/>
        <v>0</v>
      </c>
    </row>
    <row r="345" spans="1:16" x14ac:dyDescent="0.2">
      <c r="A345" s="10" t="s">
        <v>164</v>
      </c>
      <c r="B345" s="113"/>
      <c r="C345" s="8" t="s">
        <v>259</v>
      </c>
      <c r="D345" s="9" t="s">
        <v>260</v>
      </c>
      <c r="E345" s="1"/>
      <c r="F345" s="1"/>
      <c r="G345" s="1"/>
      <c r="H345" s="1">
        <v>151.16300000000001</v>
      </c>
      <c r="I345" s="1">
        <v>151.16300000000001</v>
      </c>
      <c r="J345" s="1">
        <v>920</v>
      </c>
      <c r="L345" s="102">
        <f t="shared" si="24"/>
        <v>0</v>
      </c>
      <c r="M345" s="103">
        <f t="shared" si="24"/>
        <v>0</v>
      </c>
      <c r="O345" s="98">
        <f t="shared" si="21"/>
        <v>0</v>
      </c>
      <c r="P345" s="99">
        <f t="shared" si="22"/>
        <v>0</v>
      </c>
    </row>
    <row r="346" spans="1:16" x14ac:dyDescent="0.2">
      <c r="A346" s="10" t="s">
        <v>164</v>
      </c>
      <c r="B346" s="113"/>
      <c r="C346" s="8" t="s">
        <v>269</v>
      </c>
      <c r="D346" s="9" t="s">
        <v>270</v>
      </c>
      <c r="E346" s="1"/>
      <c r="F346" s="1"/>
      <c r="G346" s="1"/>
      <c r="H346" s="1">
        <v>3.8660000000000001</v>
      </c>
      <c r="I346" s="1">
        <v>3.8660000000000001</v>
      </c>
      <c r="J346" s="1">
        <v>25</v>
      </c>
      <c r="L346" s="102">
        <f t="shared" si="24"/>
        <v>0</v>
      </c>
      <c r="M346" s="103">
        <f t="shared" si="24"/>
        <v>0</v>
      </c>
      <c r="O346" s="98">
        <f t="shared" si="21"/>
        <v>0</v>
      </c>
      <c r="P346" s="99">
        <f t="shared" si="22"/>
        <v>0</v>
      </c>
    </row>
    <row r="347" spans="1:16" x14ac:dyDescent="0.2">
      <c r="A347" s="10" t="s">
        <v>164</v>
      </c>
      <c r="B347" s="113"/>
      <c r="C347" s="8" t="s">
        <v>271</v>
      </c>
      <c r="D347" s="9" t="s">
        <v>272</v>
      </c>
      <c r="E347" s="1"/>
      <c r="F347" s="1"/>
      <c r="G347" s="1"/>
      <c r="H347" s="1">
        <v>0.25800000000000001</v>
      </c>
      <c r="I347" s="1">
        <v>0.25800000000000001</v>
      </c>
      <c r="J347" s="1">
        <v>5</v>
      </c>
      <c r="L347" s="102">
        <f t="shared" si="24"/>
        <v>0</v>
      </c>
      <c r="M347" s="103">
        <f t="shared" si="24"/>
        <v>0</v>
      </c>
      <c r="O347" s="98">
        <f t="shared" si="21"/>
        <v>0</v>
      </c>
      <c r="P347" s="99">
        <f t="shared" si="22"/>
        <v>0</v>
      </c>
    </row>
    <row r="348" spans="1:16" x14ac:dyDescent="0.2">
      <c r="A348" s="10" t="s">
        <v>164</v>
      </c>
      <c r="B348" s="113"/>
      <c r="C348" s="8" t="s">
        <v>273</v>
      </c>
      <c r="D348" s="9" t="s">
        <v>274</v>
      </c>
      <c r="E348" s="1"/>
      <c r="F348" s="1"/>
      <c r="G348" s="1"/>
      <c r="H348" s="1">
        <v>0.25800000000000001</v>
      </c>
      <c r="I348" s="1">
        <v>0.25800000000000001</v>
      </c>
      <c r="J348" s="1">
        <v>5</v>
      </c>
      <c r="L348" s="102">
        <f t="shared" si="24"/>
        <v>0</v>
      </c>
      <c r="M348" s="103">
        <f t="shared" si="24"/>
        <v>0</v>
      </c>
      <c r="O348" s="98">
        <f t="shared" si="21"/>
        <v>0</v>
      </c>
      <c r="P348" s="99">
        <f t="shared" si="22"/>
        <v>0</v>
      </c>
    </row>
    <row r="349" spans="1:16" x14ac:dyDescent="0.2">
      <c r="A349" s="10" t="s">
        <v>164</v>
      </c>
      <c r="B349" s="113"/>
      <c r="C349" s="8" t="s">
        <v>275</v>
      </c>
      <c r="D349" s="9" t="s">
        <v>276</v>
      </c>
      <c r="E349" s="1"/>
      <c r="F349" s="1"/>
      <c r="G349" s="1"/>
      <c r="H349" s="1">
        <v>0.10299999999999999</v>
      </c>
      <c r="I349" s="1">
        <v>0.10299999999999999</v>
      </c>
      <c r="J349" s="1">
        <v>5</v>
      </c>
      <c r="L349" s="102">
        <f t="shared" si="24"/>
        <v>0</v>
      </c>
      <c r="M349" s="103">
        <f t="shared" si="24"/>
        <v>0</v>
      </c>
      <c r="O349" s="98">
        <f t="shared" si="21"/>
        <v>0</v>
      </c>
      <c r="P349" s="99">
        <f t="shared" si="22"/>
        <v>0</v>
      </c>
    </row>
    <row r="350" spans="1:16" x14ac:dyDescent="0.2">
      <c r="A350" s="10" t="s">
        <v>164</v>
      </c>
      <c r="B350" s="113"/>
      <c r="C350" s="8" t="s">
        <v>333</v>
      </c>
      <c r="D350" s="9" t="s">
        <v>334</v>
      </c>
      <c r="E350" s="1"/>
      <c r="F350" s="1"/>
      <c r="G350" s="1"/>
      <c r="H350" s="1">
        <v>1.724</v>
      </c>
      <c r="I350" s="1">
        <v>0.379</v>
      </c>
      <c r="J350" s="1">
        <v>0</v>
      </c>
      <c r="L350" s="102">
        <f t="shared" si="24"/>
        <v>0</v>
      </c>
      <c r="M350" s="103">
        <f t="shared" si="24"/>
        <v>0</v>
      </c>
      <c r="O350" s="98">
        <f t="shared" si="21"/>
        <v>0</v>
      </c>
      <c r="P350" s="99">
        <f t="shared" si="22"/>
        <v>0</v>
      </c>
    </row>
    <row r="351" spans="1:16" x14ac:dyDescent="0.2">
      <c r="A351" s="10" t="s">
        <v>164</v>
      </c>
      <c r="B351" s="113"/>
      <c r="C351" s="8" t="s">
        <v>335</v>
      </c>
      <c r="D351" s="9" t="s">
        <v>336</v>
      </c>
      <c r="E351" s="1"/>
      <c r="F351" s="1"/>
      <c r="G351" s="1"/>
      <c r="H351" s="1">
        <v>0.155</v>
      </c>
      <c r="I351" s="1">
        <v>0.155</v>
      </c>
      <c r="J351" s="1">
        <v>5</v>
      </c>
      <c r="L351" s="102">
        <f t="shared" si="24"/>
        <v>0</v>
      </c>
      <c r="M351" s="103">
        <f t="shared" si="24"/>
        <v>0</v>
      </c>
      <c r="O351" s="98">
        <f t="shared" si="21"/>
        <v>0</v>
      </c>
      <c r="P351" s="99">
        <f t="shared" si="22"/>
        <v>0</v>
      </c>
    </row>
    <row r="352" spans="1:16" x14ac:dyDescent="0.2">
      <c r="A352" s="10" t="s">
        <v>164</v>
      </c>
      <c r="B352" s="113"/>
      <c r="C352" s="8" t="s">
        <v>337</v>
      </c>
      <c r="D352" s="9" t="s">
        <v>338</v>
      </c>
      <c r="E352" s="1"/>
      <c r="F352" s="1"/>
      <c r="G352" s="1"/>
      <c r="H352" s="1">
        <v>0.25800000000000001</v>
      </c>
      <c r="I352" s="1">
        <v>0.25800000000000001</v>
      </c>
      <c r="J352" s="1">
        <v>5</v>
      </c>
      <c r="L352" s="102">
        <f t="shared" si="24"/>
        <v>0</v>
      </c>
      <c r="M352" s="103">
        <f t="shared" si="24"/>
        <v>0</v>
      </c>
      <c r="O352" s="98">
        <f t="shared" si="21"/>
        <v>0</v>
      </c>
      <c r="P352" s="99">
        <f t="shared" si="22"/>
        <v>0</v>
      </c>
    </row>
    <row r="353" spans="1:16" x14ac:dyDescent="0.2">
      <c r="A353" s="10" t="s">
        <v>164</v>
      </c>
      <c r="B353" s="113"/>
      <c r="C353" s="8" t="s">
        <v>339</v>
      </c>
      <c r="D353" s="9" t="s">
        <v>340</v>
      </c>
      <c r="E353" s="1"/>
      <c r="F353" s="1"/>
      <c r="G353" s="1"/>
      <c r="H353" s="1">
        <v>0.25800000000000001</v>
      </c>
      <c r="I353" s="1">
        <v>0.25800000000000001</v>
      </c>
      <c r="J353" s="1">
        <v>5</v>
      </c>
      <c r="L353" s="102">
        <f t="shared" si="24"/>
        <v>0</v>
      </c>
      <c r="M353" s="103">
        <f t="shared" si="24"/>
        <v>0</v>
      </c>
      <c r="O353" s="98">
        <f t="shared" si="21"/>
        <v>0</v>
      </c>
      <c r="P353" s="99">
        <f t="shared" si="22"/>
        <v>0</v>
      </c>
    </row>
    <row r="354" spans="1:16" x14ac:dyDescent="0.2">
      <c r="A354" s="10" t="s">
        <v>164</v>
      </c>
      <c r="B354" s="113"/>
      <c r="C354" s="8" t="s">
        <v>343</v>
      </c>
      <c r="D354" s="9" t="s">
        <v>344</v>
      </c>
      <c r="E354" s="1"/>
      <c r="F354" s="1"/>
      <c r="G354" s="1"/>
      <c r="H354" s="1">
        <v>11.023999999999999</v>
      </c>
      <c r="I354" s="1">
        <v>2.4049999999999998</v>
      </c>
      <c r="J354" s="1">
        <v>32</v>
      </c>
      <c r="L354" s="102">
        <f t="shared" si="24"/>
        <v>0</v>
      </c>
      <c r="M354" s="103">
        <f t="shared" si="24"/>
        <v>0</v>
      </c>
      <c r="O354" s="98">
        <f t="shared" si="21"/>
        <v>0</v>
      </c>
      <c r="P354" s="99">
        <f t="shared" si="22"/>
        <v>0</v>
      </c>
    </row>
    <row r="355" spans="1:16" x14ac:dyDescent="0.2">
      <c r="A355" s="10" t="s">
        <v>164</v>
      </c>
      <c r="B355" s="113"/>
      <c r="C355" s="8" t="s">
        <v>398</v>
      </c>
      <c r="D355" s="9" t="s">
        <v>399</v>
      </c>
      <c r="E355" s="1"/>
      <c r="F355" s="1"/>
      <c r="G355" s="1"/>
      <c r="H355" s="1">
        <v>22.937000000000001</v>
      </c>
      <c r="I355" s="1">
        <v>4.8819999999999997</v>
      </c>
      <c r="J355" s="1">
        <v>100</v>
      </c>
      <c r="L355" s="102">
        <f t="shared" si="24"/>
        <v>0</v>
      </c>
      <c r="M355" s="103">
        <f t="shared" si="24"/>
        <v>0</v>
      </c>
      <c r="O355" s="98">
        <f t="shared" si="21"/>
        <v>0</v>
      </c>
      <c r="P355" s="99">
        <f t="shared" si="22"/>
        <v>0</v>
      </c>
    </row>
    <row r="356" spans="1:16" x14ac:dyDescent="0.2">
      <c r="A356" s="10" t="s">
        <v>164</v>
      </c>
      <c r="B356" s="113"/>
      <c r="C356" s="8" t="s">
        <v>400</v>
      </c>
      <c r="D356" s="9" t="s">
        <v>401</v>
      </c>
      <c r="E356" s="1"/>
      <c r="F356" s="1"/>
      <c r="G356" s="1"/>
      <c r="H356" s="1">
        <v>72.16</v>
      </c>
      <c r="I356" s="1">
        <v>15.302</v>
      </c>
      <c r="J356" s="1">
        <v>300</v>
      </c>
      <c r="L356" s="102">
        <f t="shared" si="24"/>
        <v>0</v>
      </c>
      <c r="M356" s="103">
        <f t="shared" si="24"/>
        <v>0</v>
      </c>
      <c r="O356" s="98">
        <f t="shared" si="21"/>
        <v>0</v>
      </c>
      <c r="P356" s="99">
        <f t="shared" si="22"/>
        <v>0</v>
      </c>
    </row>
    <row r="357" spans="1:16" x14ac:dyDescent="0.2">
      <c r="A357" s="10" t="s">
        <v>164</v>
      </c>
      <c r="B357" s="113"/>
      <c r="C357" s="8" t="s">
        <v>402</v>
      </c>
      <c r="D357" s="9" t="s">
        <v>403</v>
      </c>
      <c r="E357" s="1"/>
      <c r="F357" s="1"/>
      <c r="G357" s="1"/>
      <c r="H357" s="1">
        <v>1.83</v>
      </c>
      <c r="I357" s="1">
        <v>0.40100000000000002</v>
      </c>
      <c r="J357" s="1">
        <v>10</v>
      </c>
      <c r="L357" s="102">
        <f t="shared" si="24"/>
        <v>0</v>
      </c>
      <c r="M357" s="103">
        <f t="shared" si="24"/>
        <v>0</v>
      </c>
      <c r="O357" s="98">
        <f t="shared" si="21"/>
        <v>0</v>
      </c>
      <c r="P357" s="99">
        <f t="shared" si="22"/>
        <v>0</v>
      </c>
    </row>
    <row r="358" spans="1:16" x14ac:dyDescent="0.2">
      <c r="A358" s="10" t="s">
        <v>164</v>
      </c>
      <c r="B358" s="113"/>
      <c r="C358" s="8" t="s">
        <v>404</v>
      </c>
      <c r="D358" s="9" t="s">
        <v>405</v>
      </c>
      <c r="E358" s="1"/>
      <c r="F358" s="1"/>
      <c r="G358" s="1"/>
      <c r="H358" s="1">
        <v>1.073</v>
      </c>
      <c r="I358" s="1">
        <v>0.219</v>
      </c>
      <c r="J358" s="1">
        <v>0</v>
      </c>
      <c r="L358" s="102">
        <f t="shared" si="24"/>
        <v>0</v>
      </c>
      <c r="M358" s="103">
        <f t="shared" si="24"/>
        <v>0</v>
      </c>
      <c r="O358" s="98">
        <f t="shared" si="21"/>
        <v>0</v>
      </c>
      <c r="P358" s="99">
        <f t="shared" si="22"/>
        <v>0</v>
      </c>
    </row>
    <row r="359" spans="1:16" x14ac:dyDescent="0.2">
      <c r="A359" s="10" t="s">
        <v>164</v>
      </c>
      <c r="B359" s="113"/>
      <c r="C359" s="8" t="s">
        <v>408</v>
      </c>
      <c r="D359" s="9" t="s">
        <v>409</v>
      </c>
      <c r="E359" s="1"/>
      <c r="F359" s="1"/>
      <c r="G359" s="1"/>
      <c r="H359" s="1">
        <v>1862.59</v>
      </c>
      <c r="I359" s="1">
        <v>393.48099999999999</v>
      </c>
      <c r="J359" s="1">
        <v>5000</v>
      </c>
      <c r="L359" s="102">
        <f t="shared" si="24"/>
        <v>0</v>
      </c>
      <c r="M359" s="103">
        <f t="shared" si="24"/>
        <v>0</v>
      </c>
      <c r="O359" s="98">
        <f t="shared" si="21"/>
        <v>0</v>
      </c>
      <c r="P359" s="99">
        <f t="shared" si="22"/>
        <v>0</v>
      </c>
    </row>
    <row r="360" spans="1:16" x14ac:dyDescent="0.2">
      <c r="A360" s="10" t="s">
        <v>164</v>
      </c>
      <c r="B360" s="113"/>
      <c r="C360" s="8" t="s">
        <v>414</v>
      </c>
      <c r="D360" s="9" t="s">
        <v>415</v>
      </c>
      <c r="E360" s="1"/>
      <c r="F360" s="1"/>
      <c r="G360" s="1"/>
      <c r="H360" s="1">
        <v>634.91800000000001</v>
      </c>
      <c r="I360" s="1">
        <v>134.804</v>
      </c>
      <c r="J360" s="1">
        <v>1500</v>
      </c>
      <c r="L360" s="102">
        <f t="shared" si="24"/>
        <v>0</v>
      </c>
      <c r="M360" s="103">
        <f t="shared" si="24"/>
        <v>0</v>
      </c>
      <c r="O360" s="98">
        <f t="shared" si="21"/>
        <v>0</v>
      </c>
      <c r="P360" s="99">
        <f t="shared" si="22"/>
        <v>0</v>
      </c>
    </row>
    <row r="361" spans="1:16" x14ac:dyDescent="0.2">
      <c r="A361" s="10" t="s">
        <v>164</v>
      </c>
      <c r="B361" s="113"/>
      <c r="C361" s="8" t="s">
        <v>416</v>
      </c>
      <c r="D361" s="9" t="s">
        <v>417</v>
      </c>
      <c r="E361" s="1"/>
      <c r="F361" s="1"/>
      <c r="G361" s="1"/>
      <c r="H361" s="1">
        <v>9.343</v>
      </c>
      <c r="I361" s="1">
        <v>1.9970000000000001</v>
      </c>
      <c r="J361" s="1">
        <v>16</v>
      </c>
      <c r="L361" s="102">
        <f t="shared" si="24"/>
        <v>0</v>
      </c>
      <c r="M361" s="103">
        <f t="shared" si="24"/>
        <v>0</v>
      </c>
      <c r="O361" s="98">
        <f t="shared" si="21"/>
        <v>0</v>
      </c>
      <c r="P361" s="99">
        <f t="shared" si="22"/>
        <v>0</v>
      </c>
    </row>
    <row r="362" spans="1:16" x14ac:dyDescent="0.2">
      <c r="A362" s="10" t="s">
        <v>164</v>
      </c>
      <c r="B362" s="113"/>
      <c r="C362" s="8" t="s">
        <v>420</v>
      </c>
      <c r="D362" s="9" t="s">
        <v>421</v>
      </c>
      <c r="E362" s="1"/>
      <c r="F362" s="1"/>
      <c r="G362" s="1"/>
      <c r="H362" s="1">
        <v>4.9080000000000004</v>
      </c>
      <c r="I362" s="1">
        <v>1.0640000000000001</v>
      </c>
      <c r="J362" s="1">
        <v>30</v>
      </c>
      <c r="L362" s="102">
        <f t="shared" si="24"/>
        <v>0</v>
      </c>
      <c r="M362" s="103">
        <f t="shared" si="24"/>
        <v>0</v>
      </c>
      <c r="O362" s="98">
        <f t="shared" si="21"/>
        <v>0</v>
      </c>
      <c r="P362" s="99">
        <f t="shared" si="22"/>
        <v>0</v>
      </c>
    </row>
    <row r="363" spans="1:16" x14ac:dyDescent="0.2">
      <c r="A363" s="10" t="s">
        <v>164</v>
      </c>
      <c r="B363" s="113"/>
      <c r="C363" s="8" t="s">
        <v>428</v>
      </c>
      <c r="D363" s="9" t="s">
        <v>429</v>
      </c>
      <c r="E363" s="1"/>
      <c r="F363" s="1"/>
      <c r="G363" s="1"/>
      <c r="H363" s="1">
        <v>0.98399999999999999</v>
      </c>
      <c r="I363" s="1">
        <v>0.20399999999999999</v>
      </c>
      <c r="J363" s="1">
        <v>4</v>
      </c>
      <c r="L363" s="102">
        <f t="shared" si="24"/>
        <v>0</v>
      </c>
      <c r="M363" s="103">
        <f t="shared" si="24"/>
        <v>0</v>
      </c>
      <c r="O363" s="98">
        <f t="shared" si="21"/>
        <v>0</v>
      </c>
      <c r="P363" s="99">
        <f t="shared" si="22"/>
        <v>0</v>
      </c>
    </row>
    <row r="364" spans="1:16" x14ac:dyDescent="0.2">
      <c r="A364" s="10" t="s">
        <v>164</v>
      </c>
      <c r="B364" s="113"/>
      <c r="C364" s="8" t="s">
        <v>430</v>
      </c>
      <c r="D364" s="9" t="s">
        <v>431</v>
      </c>
      <c r="E364" s="1"/>
      <c r="F364" s="1"/>
      <c r="G364" s="1"/>
      <c r="H364" s="1">
        <v>0.98399999999999999</v>
      </c>
      <c r="I364" s="1">
        <v>0.20399999999999999</v>
      </c>
      <c r="J364" s="1">
        <v>4</v>
      </c>
      <c r="L364" s="102">
        <f t="shared" si="24"/>
        <v>0</v>
      </c>
      <c r="M364" s="103">
        <f t="shared" si="24"/>
        <v>0</v>
      </c>
      <c r="O364" s="98">
        <f t="shared" si="21"/>
        <v>0</v>
      </c>
      <c r="P364" s="99">
        <f t="shared" si="22"/>
        <v>0</v>
      </c>
    </row>
    <row r="365" spans="1:16" x14ac:dyDescent="0.2">
      <c r="A365" s="10" t="s">
        <v>164</v>
      </c>
      <c r="B365" s="113"/>
      <c r="C365" s="8" t="s">
        <v>438</v>
      </c>
      <c r="D365" s="9" t="s">
        <v>439</v>
      </c>
      <c r="E365" s="1"/>
      <c r="F365" s="1"/>
      <c r="G365" s="1"/>
      <c r="H365" s="1">
        <v>1</v>
      </c>
      <c r="I365" s="1">
        <v>1</v>
      </c>
      <c r="J365" s="1">
        <v>1</v>
      </c>
      <c r="L365" s="102">
        <f t="shared" si="24"/>
        <v>0</v>
      </c>
      <c r="M365" s="103">
        <f t="shared" si="24"/>
        <v>0</v>
      </c>
      <c r="O365" s="98">
        <f t="shared" si="21"/>
        <v>0</v>
      </c>
      <c r="P365" s="99">
        <f t="shared" si="22"/>
        <v>0</v>
      </c>
    </row>
    <row r="366" spans="1:16" x14ac:dyDescent="0.2">
      <c r="A366" s="10" t="s">
        <v>164</v>
      </c>
      <c r="B366" s="113"/>
      <c r="C366" s="8" t="s">
        <v>440</v>
      </c>
      <c r="D366" s="9" t="s">
        <v>441</v>
      </c>
      <c r="E366" s="1"/>
      <c r="F366" s="1"/>
      <c r="G366" s="1"/>
      <c r="H366" s="1">
        <v>1</v>
      </c>
      <c r="I366" s="1">
        <v>1</v>
      </c>
      <c r="J366" s="1">
        <v>1</v>
      </c>
      <c r="L366" s="102">
        <f t="shared" si="24"/>
        <v>0</v>
      </c>
      <c r="M366" s="103">
        <f t="shared" si="24"/>
        <v>0</v>
      </c>
      <c r="O366" s="98">
        <f t="shared" si="21"/>
        <v>0</v>
      </c>
      <c r="P366" s="99">
        <f t="shared" si="22"/>
        <v>0</v>
      </c>
    </row>
    <row r="367" spans="1:16" x14ac:dyDescent="0.2">
      <c r="A367" s="10" t="s">
        <v>164</v>
      </c>
      <c r="B367" s="113"/>
      <c r="C367" s="8" t="s">
        <v>442</v>
      </c>
      <c r="D367" s="9" t="s">
        <v>443</v>
      </c>
      <c r="E367" s="1"/>
      <c r="F367" s="1"/>
      <c r="G367" s="1"/>
      <c r="H367" s="1">
        <v>1</v>
      </c>
      <c r="I367" s="1">
        <v>1</v>
      </c>
      <c r="J367" s="1">
        <v>1</v>
      </c>
      <c r="L367" s="102">
        <f t="shared" si="24"/>
        <v>0</v>
      </c>
      <c r="M367" s="103">
        <f t="shared" si="24"/>
        <v>0</v>
      </c>
      <c r="O367" s="98">
        <f t="shared" si="21"/>
        <v>0</v>
      </c>
      <c r="P367" s="99">
        <f t="shared" si="22"/>
        <v>0</v>
      </c>
    </row>
    <row r="368" spans="1:16" x14ac:dyDescent="0.2">
      <c r="A368" s="10" t="s">
        <v>164</v>
      </c>
      <c r="B368" s="113"/>
      <c r="C368" s="8" t="s">
        <v>444</v>
      </c>
      <c r="D368" s="9" t="s">
        <v>445</v>
      </c>
      <c r="E368" s="1"/>
      <c r="F368" s="1"/>
      <c r="G368" s="1"/>
      <c r="H368" s="1">
        <v>1</v>
      </c>
      <c r="I368" s="1">
        <v>1</v>
      </c>
      <c r="J368" s="1">
        <v>1</v>
      </c>
      <c r="L368" s="102">
        <f t="shared" si="24"/>
        <v>0</v>
      </c>
      <c r="M368" s="103">
        <f t="shared" si="24"/>
        <v>0</v>
      </c>
      <c r="O368" s="98">
        <f t="shared" si="21"/>
        <v>0</v>
      </c>
      <c r="P368" s="99">
        <f t="shared" si="22"/>
        <v>0</v>
      </c>
    </row>
    <row r="369" spans="1:16" x14ac:dyDescent="0.2">
      <c r="A369" s="10" t="s">
        <v>164</v>
      </c>
      <c r="B369" s="113"/>
      <c r="C369" s="8" t="s">
        <v>446</v>
      </c>
      <c r="D369" s="9" t="s">
        <v>447</v>
      </c>
      <c r="E369" s="1"/>
      <c r="F369" s="1"/>
      <c r="G369" s="1"/>
      <c r="H369" s="1">
        <v>0.44700000000000001</v>
      </c>
      <c r="I369" s="1">
        <v>9.5000000000000001E-2</v>
      </c>
      <c r="J369" s="1">
        <v>2</v>
      </c>
      <c r="L369" s="102">
        <f t="shared" si="24"/>
        <v>0</v>
      </c>
      <c r="M369" s="103">
        <f t="shared" si="24"/>
        <v>0</v>
      </c>
      <c r="O369" s="98">
        <f t="shared" si="21"/>
        <v>0</v>
      </c>
      <c r="P369" s="99">
        <f t="shared" si="22"/>
        <v>0</v>
      </c>
    </row>
    <row r="370" spans="1:16" x14ac:dyDescent="0.2">
      <c r="A370" s="10" t="s">
        <v>164</v>
      </c>
      <c r="B370" s="113"/>
      <c r="C370" s="8" t="s">
        <v>456</v>
      </c>
      <c r="D370" s="9" t="s">
        <v>457</v>
      </c>
      <c r="E370" s="1"/>
      <c r="F370" s="1"/>
      <c r="G370" s="1"/>
      <c r="H370" s="1">
        <v>50.465000000000003</v>
      </c>
      <c r="I370" s="1">
        <v>10.784000000000001</v>
      </c>
      <c r="J370" s="1">
        <v>350</v>
      </c>
      <c r="L370" s="102">
        <f t="shared" si="24"/>
        <v>0</v>
      </c>
      <c r="M370" s="103">
        <f t="shared" si="24"/>
        <v>0</v>
      </c>
      <c r="O370" s="98">
        <f t="shared" si="21"/>
        <v>0</v>
      </c>
      <c r="P370" s="99">
        <f t="shared" si="22"/>
        <v>0</v>
      </c>
    </row>
    <row r="371" spans="1:16" x14ac:dyDescent="0.2">
      <c r="A371" s="10" t="s">
        <v>164</v>
      </c>
      <c r="B371" s="113"/>
      <c r="C371" s="8" t="s">
        <v>59</v>
      </c>
      <c r="D371" s="9" t="s">
        <v>60</v>
      </c>
      <c r="E371" s="1"/>
      <c r="F371" s="1"/>
      <c r="G371" s="1"/>
      <c r="H371" s="1">
        <v>4.0000000000000001E-3</v>
      </c>
      <c r="I371" s="1">
        <v>1E-3</v>
      </c>
      <c r="J371" s="1">
        <v>0</v>
      </c>
      <c r="L371" s="102">
        <f t="shared" si="24"/>
        <v>0</v>
      </c>
      <c r="M371" s="103">
        <f t="shared" si="24"/>
        <v>0</v>
      </c>
      <c r="O371" s="98">
        <f t="shared" si="21"/>
        <v>0</v>
      </c>
      <c r="P371" s="99">
        <f t="shared" si="22"/>
        <v>0</v>
      </c>
    </row>
    <row r="372" spans="1:16" x14ac:dyDescent="0.2">
      <c r="A372" s="10" t="s">
        <v>164</v>
      </c>
      <c r="B372" s="113"/>
      <c r="C372" s="8" t="s">
        <v>69</v>
      </c>
      <c r="D372" s="9" t="s">
        <v>70</v>
      </c>
      <c r="E372" s="1"/>
      <c r="F372" s="1"/>
      <c r="G372" s="1"/>
      <c r="H372" s="1">
        <v>13.448</v>
      </c>
      <c r="I372" s="1">
        <v>3.6110000000000002</v>
      </c>
      <c r="J372" s="1">
        <v>0</v>
      </c>
      <c r="L372" s="102">
        <f t="shared" si="24"/>
        <v>0</v>
      </c>
      <c r="M372" s="103">
        <f t="shared" si="24"/>
        <v>0</v>
      </c>
      <c r="O372" s="98">
        <f t="shared" si="21"/>
        <v>0</v>
      </c>
      <c r="P372" s="99">
        <f t="shared" si="22"/>
        <v>0</v>
      </c>
    </row>
    <row r="373" spans="1:16" x14ac:dyDescent="0.2">
      <c r="A373" s="10" t="s">
        <v>164</v>
      </c>
      <c r="B373" s="113"/>
      <c r="C373" s="8" t="s">
        <v>458</v>
      </c>
      <c r="D373" s="9" t="s">
        <v>459</v>
      </c>
      <c r="E373" s="1"/>
      <c r="F373" s="1"/>
      <c r="G373" s="1"/>
      <c r="H373" s="1">
        <v>18.696000000000002</v>
      </c>
      <c r="I373" s="1">
        <v>4.0810000000000004</v>
      </c>
      <c r="J373" s="1">
        <v>20</v>
      </c>
      <c r="L373" s="102">
        <f t="shared" si="24"/>
        <v>0</v>
      </c>
      <c r="M373" s="103">
        <f t="shared" si="24"/>
        <v>0</v>
      </c>
      <c r="O373" s="98">
        <f t="shared" si="21"/>
        <v>0</v>
      </c>
      <c r="P373" s="99">
        <f t="shared" si="22"/>
        <v>0</v>
      </c>
    </row>
    <row r="374" spans="1:16" x14ac:dyDescent="0.2">
      <c r="A374" s="10" t="s">
        <v>164</v>
      </c>
      <c r="B374" s="113"/>
      <c r="C374" s="8" t="s">
        <v>462</v>
      </c>
      <c r="D374" s="9" t="s">
        <v>463</v>
      </c>
      <c r="E374" s="1"/>
      <c r="F374" s="1"/>
      <c r="G374" s="1"/>
      <c r="H374" s="1">
        <v>11.455</v>
      </c>
      <c r="I374" s="1">
        <v>9.8030000000000008</v>
      </c>
      <c r="J374" s="1">
        <v>0</v>
      </c>
      <c r="L374" s="102">
        <f t="shared" si="24"/>
        <v>0</v>
      </c>
      <c r="M374" s="103">
        <f t="shared" si="24"/>
        <v>0</v>
      </c>
      <c r="O374" s="98">
        <f t="shared" si="21"/>
        <v>0</v>
      </c>
      <c r="P374" s="99">
        <f t="shared" si="22"/>
        <v>0</v>
      </c>
    </row>
    <row r="375" spans="1:16" x14ac:dyDescent="0.2">
      <c r="A375" s="10" t="s">
        <v>164</v>
      </c>
      <c r="B375" s="113"/>
      <c r="C375" s="8" t="s">
        <v>464</v>
      </c>
      <c r="D375" s="9" t="s">
        <v>465</v>
      </c>
      <c r="E375" s="1"/>
      <c r="F375" s="1"/>
      <c r="G375" s="1"/>
      <c r="H375" s="1">
        <v>4</v>
      </c>
      <c r="I375" s="1">
        <v>4</v>
      </c>
      <c r="J375" s="1">
        <v>4</v>
      </c>
      <c r="L375" s="102">
        <f t="shared" si="24"/>
        <v>0</v>
      </c>
      <c r="M375" s="103">
        <f t="shared" si="24"/>
        <v>0</v>
      </c>
      <c r="O375" s="98">
        <f t="shared" si="21"/>
        <v>0</v>
      </c>
      <c r="P375" s="99">
        <f t="shared" si="22"/>
        <v>0</v>
      </c>
    </row>
    <row r="376" spans="1:16" x14ac:dyDescent="0.2">
      <c r="A376" s="10" t="s">
        <v>164</v>
      </c>
      <c r="B376" s="112"/>
      <c r="C376" s="8" t="s">
        <v>468</v>
      </c>
      <c r="D376" s="9" t="s">
        <v>469</v>
      </c>
      <c r="E376" s="1"/>
      <c r="F376" s="1"/>
      <c r="G376" s="1"/>
      <c r="H376" s="1">
        <v>4.4999999999999998E-2</v>
      </c>
      <c r="I376" s="1">
        <v>7.0000000000000001E-3</v>
      </c>
      <c r="J376" s="1">
        <v>1</v>
      </c>
      <c r="L376" s="102">
        <f t="shared" si="24"/>
        <v>0</v>
      </c>
      <c r="M376" s="103">
        <f t="shared" si="24"/>
        <v>0</v>
      </c>
      <c r="O376" s="98">
        <f t="shared" si="21"/>
        <v>0</v>
      </c>
      <c r="P376" s="99">
        <f t="shared" si="22"/>
        <v>0</v>
      </c>
    </row>
    <row r="377" spans="1:16" x14ac:dyDescent="0.2">
      <c r="A377" s="12"/>
      <c r="L377" s="98"/>
      <c r="M377" s="99"/>
      <c r="O377" s="98">
        <f t="shared" si="21"/>
        <v>0</v>
      </c>
      <c r="P377" s="99">
        <f t="shared" si="22"/>
        <v>0</v>
      </c>
    </row>
    <row r="378" spans="1:16" x14ac:dyDescent="0.2">
      <c r="A378" s="10" t="s">
        <v>192</v>
      </c>
      <c r="B378" s="111" t="s">
        <v>115</v>
      </c>
      <c r="C378" s="8" t="s">
        <v>295</v>
      </c>
      <c r="D378" s="9" t="s">
        <v>296</v>
      </c>
      <c r="E378" s="1">
        <v>2.7240000000000002</v>
      </c>
      <c r="F378" s="1">
        <v>0.88200000000000001</v>
      </c>
      <c r="G378" s="1">
        <v>24</v>
      </c>
      <c r="H378" s="1"/>
      <c r="I378" s="1"/>
      <c r="J378" s="1"/>
      <c r="K378" t="s">
        <v>808</v>
      </c>
      <c r="L378" s="98">
        <f>E378*$K$379</f>
        <v>8.1720000000000006</v>
      </c>
      <c r="M378" s="99">
        <f>F378*$K$379</f>
        <v>2.6459999999999999</v>
      </c>
      <c r="O378" s="98">
        <f t="shared" si="21"/>
        <v>8.8105726872246688</v>
      </c>
      <c r="P378" s="99">
        <f t="shared" si="22"/>
        <v>27.210884353741495</v>
      </c>
    </row>
    <row r="379" spans="1:16" x14ac:dyDescent="0.2">
      <c r="A379" s="10" t="s">
        <v>192</v>
      </c>
      <c r="B379" s="113"/>
      <c r="C379" s="8" t="s">
        <v>319</v>
      </c>
      <c r="D379" s="9" t="s">
        <v>320</v>
      </c>
      <c r="E379" s="1">
        <v>1.8120000000000001</v>
      </c>
      <c r="F379" s="1">
        <v>1.0640000000000001</v>
      </c>
      <c r="G379" s="1">
        <v>50</v>
      </c>
      <c r="H379" s="1"/>
      <c r="I379" s="1"/>
      <c r="J379" s="1"/>
      <c r="K379" s="77">
        <v>3</v>
      </c>
      <c r="L379" s="98">
        <f t="shared" ref="L379:M399" si="25">E379*$K$379</f>
        <v>5.4359999999999999</v>
      </c>
      <c r="M379" s="99">
        <f t="shared" si="25"/>
        <v>3.1920000000000002</v>
      </c>
      <c r="O379" s="98">
        <f t="shared" si="21"/>
        <v>27.593818984547461</v>
      </c>
      <c r="P379" s="99">
        <f t="shared" si="22"/>
        <v>46.992481203007515</v>
      </c>
    </row>
    <row r="380" spans="1:16" x14ac:dyDescent="0.2">
      <c r="A380" s="10" t="s">
        <v>192</v>
      </c>
      <c r="B380" s="113"/>
      <c r="C380" s="8" t="s">
        <v>341</v>
      </c>
      <c r="D380" s="9" t="s">
        <v>342</v>
      </c>
      <c r="E380" s="1">
        <v>30.928000000000001</v>
      </c>
      <c r="F380" s="1">
        <v>15.464</v>
      </c>
      <c r="G380" s="1">
        <v>300</v>
      </c>
      <c r="H380" s="1"/>
      <c r="I380" s="1"/>
      <c r="J380" s="1"/>
      <c r="L380" s="98">
        <f t="shared" si="25"/>
        <v>92.784000000000006</v>
      </c>
      <c r="M380" s="99">
        <f t="shared" si="25"/>
        <v>46.392000000000003</v>
      </c>
      <c r="O380" s="98">
        <f t="shared" si="21"/>
        <v>0</v>
      </c>
      <c r="P380" s="99">
        <f t="shared" si="22"/>
        <v>0</v>
      </c>
    </row>
    <row r="381" spans="1:16" x14ac:dyDescent="0.2">
      <c r="A381" s="10" t="s">
        <v>192</v>
      </c>
      <c r="B381" s="113"/>
      <c r="C381" s="8" t="s">
        <v>343</v>
      </c>
      <c r="D381" s="9" t="s">
        <v>344</v>
      </c>
      <c r="E381" s="1">
        <v>1.649</v>
      </c>
      <c r="F381" s="1">
        <v>0.82499999999999996</v>
      </c>
      <c r="G381" s="1">
        <v>16</v>
      </c>
      <c r="H381" s="1"/>
      <c r="I381" s="1"/>
      <c r="J381" s="1"/>
      <c r="L381" s="98">
        <f t="shared" si="25"/>
        <v>4.9470000000000001</v>
      </c>
      <c r="M381" s="99">
        <f t="shared" si="25"/>
        <v>2.4749999999999996</v>
      </c>
      <c r="O381" s="98">
        <f t="shared" si="21"/>
        <v>0</v>
      </c>
      <c r="P381" s="99">
        <f t="shared" si="22"/>
        <v>0</v>
      </c>
    </row>
    <row r="382" spans="1:16" x14ac:dyDescent="0.2">
      <c r="A382" s="10" t="s">
        <v>192</v>
      </c>
      <c r="B382" s="113"/>
      <c r="C382" s="8" t="s">
        <v>345</v>
      </c>
      <c r="D382" s="9" t="s">
        <v>346</v>
      </c>
      <c r="E382" s="1">
        <v>1.61</v>
      </c>
      <c r="F382" s="1">
        <v>0.52200000000000002</v>
      </c>
      <c r="G382" s="1">
        <v>16</v>
      </c>
      <c r="H382" s="1"/>
      <c r="I382" s="1"/>
      <c r="J382" s="1"/>
      <c r="L382" s="98">
        <f t="shared" si="25"/>
        <v>4.83</v>
      </c>
      <c r="M382" s="99">
        <f t="shared" si="25"/>
        <v>1.5660000000000001</v>
      </c>
      <c r="O382" s="98">
        <f t="shared" si="21"/>
        <v>0</v>
      </c>
      <c r="P382" s="99">
        <f t="shared" si="22"/>
        <v>0</v>
      </c>
    </row>
    <row r="383" spans="1:16" x14ac:dyDescent="0.2">
      <c r="A383" s="10" t="s">
        <v>192</v>
      </c>
      <c r="B383" s="113"/>
      <c r="C383" s="8" t="s">
        <v>347</v>
      </c>
      <c r="D383" s="9" t="s">
        <v>348</v>
      </c>
      <c r="E383" s="1">
        <v>4.9480000000000004</v>
      </c>
      <c r="F383" s="1">
        <v>2.4740000000000002</v>
      </c>
      <c r="G383" s="1">
        <v>48</v>
      </c>
      <c r="H383" s="1"/>
      <c r="I383" s="1"/>
      <c r="J383" s="1"/>
      <c r="L383" s="98">
        <f t="shared" si="25"/>
        <v>14.844000000000001</v>
      </c>
      <c r="M383" s="99">
        <f t="shared" si="25"/>
        <v>7.4220000000000006</v>
      </c>
      <c r="O383" s="98">
        <f t="shared" si="21"/>
        <v>0</v>
      </c>
      <c r="P383" s="99">
        <f t="shared" si="22"/>
        <v>0</v>
      </c>
    </row>
    <row r="384" spans="1:16" x14ac:dyDescent="0.2">
      <c r="A384" s="10" t="s">
        <v>192</v>
      </c>
      <c r="B384" s="113"/>
      <c r="C384" s="8" t="s">
        <v>349</v>
      </c>
      <c r="D384" s="9" t="s">
        <v>350</v>
      </c>
      <c r="E384" s="1">
        <v>4.9480000000000004</v>
      </c>
      <c r="F384" s="1">
        <v>2.4740000000000002</v>
      </c>
      <c r="G384" s="1">
        <v>48</v>
      </c>
      <c r="H384" s="1"/>
      <c r="I384" s="1"/>
      <c r="J384" s="1"/>
      <c r="L384" s="98">
        <f t="shared" si="25"/>
        <v>14.844000000000001</v>
      </c>
      <c r="M384" s="99">
        <f t="shared" si="25"/>
        <v>7.4220000000000006</v>
      </c>
      <c r="O384" s="98">
        <f t="shared" si="21"/>
        <v>0</v>
      </c>
      <c r="P384" s="99">
        <f t="shared" si="22"/>
        <v>0</v>
      </c>
    </row>
    <row r="385" spans="1:16" x14ac:dyDescent="0.2">
      <c r="A385" s="10" t="s">
        <v>192</v>
      </c>
      <c r="B385" s="113"/>
      <c r="C385" s="8" t="s">
        <v>351</v>
      </c>
      <c r="D385" s="9" t="s">
        <v>352</v>
      </c>
      <c r="E385" s="1">
        <v>0.495</v>
      </c>
      <c r="F385" s="1">
        <v>0.247</v>
      </c>
      <c r="G385" s="1">
        <v>48</v>
      </c>
      <c r="H385" s="1"/>
      <c r="I385" s="1"/>
      <c r="J385" s="1"/>
      <c r="L385" s="98">
        <f t="shared" si="25"/>
        <v>1.4849999999999999</v>
      </c>
      <c r="M385" s="99">
        <f t="shared" si="25"/>
        <v>0.74099999999999999</v>
      </c>
      <c r="O385" s="98">
        <f t="shared" si="21"/>
        <v>0</v>
      </c>
      <c r="P385" s="99">
        <f t="shared" si="22"/>
        <v>0</v>
      </c>
    </row>
    <row r="386" spans="1:16" x14ac:dyDescent="0.2">
      <c r="A386" s="10" t="s">
        <v>192</v>
      </c>
      <c r="B386" s="113"/>
      <c r="C386" s="8" t="s">
        <v>353</v>
      </c>
      <c r="D386" s="9" t="s">
        <v>354</v>
      </c>
      <c r="E386" s="1">
        <v>4.9480000000000004</v>
      </c>
      <c r="F386" s="1">
        <v>2.4740000000000002</v>
      </c>
      <c r="G386" s="1">
        <v>48</v>
      </c>
      <c r="H386" s="1"/>
      <c r="I386" s="1"/>
      <c r="J386" s="1"/>
      <c r="L386" s="98">
        <f t="shared" si="25"/>
        <v>14.844000000000001</v>
      </c>
      <c r="M386" s="99">
        <f t="shared" si="25"/>
        <v>7.4220000000000006</v>
      </c>
      <c r="O386" s="98">
        <f t="shared" si="21"/>
        <v>0</v>
      </c>
      <c r="P386" s="99">
        <f t="shared" si="22"/>
        <v>0</v>
      </c>
    </row>
    <row r="387" spans="1:16" x14ac:dyDescent="0.2">
      <c r="A387" s="10" t="s">
        <v>192</v>
      </c>
      <c r="B387" s="113"/>
      <c r="C387" s="8" t="s">
        <v>355</v>
      </c>
      <c r="D387" s="9" t="s">
        <v>356</v>
      </c>
      <c r="E387" s="1">
        <v>1.61</v>
      </c>
      <c r="F387" s="1">
        <v>0.52200000000000002</v>
      </c>
      <c r="G387" s="1">
        <v>16</v>
      </c>
      <c r="H387" s="1"/>
      <c r="I387" s="1"/>
      <c r="J387" s="1"/>
      <c r="L387" s="98">
        <f t="shared" si="25"/>
        <v>4.83</v>
      </c>
      <c r="M387" s="99">
        <f t="shared" si="25"/>
        <v>1.5660000000000001</v>
      </c>
      <c r="O387" s="98">
        <f t="shared" si="21"/>
        <v>0</v>
      </c>
      <c r="P387" s="99">
        <f t="shared" si="22"/>
        <v>0</v>
      </c>
    </row>
    <row r="388" spans="1:16" x14ac:dyDescent="0.2">
      <c r="A388" s="10" t="s">
        <v>192</v>
      </c>
      <c r="B388" s="113"/>
      <c r="C388" s="8" t="s">
        <v>357</v>
      </c>
      <c r="D388" s="9" t="s">
        <v>358</v>
      </c>
      <c r="E388" s="1">
        <v>4.9480000000000004</v>
      </c>
      <c r="F388" s="1">
        <v>2.4740000000000002</v>
      </c>
      <c r="G388" s="1">
        <v>48</v>
      </c>
      <c r="H388" s="1"/>
      <c r="I388" s="1"/>
      <c r="J388" s="1"/>
      <c r="L388" s="98">
        <f t="shared" si="25"/>
        <v>14.844000000000001</v>
      </c>
      <c r="M388" s="99">
        <f t="shared" si="25"/>
        <v>7.4220000000000006</v>
      </c>
      <c r="O388" s="98">
        <f t="shared" si="21"/>
        <v>0</v>
      </c>
      <c r="P388" s="99">
        <f t="shared" si="22"/>
        <v>0</v>
      </c>
    </row>
    <row r="389" spans="1:16" x14ac:dyDescent="0.2">
      <c r="A389" s="10" t="s">
        <v>192</v>
      </c>
      <c r="B389" s="113"/>
      <c r="C389" s="8" t="s">
        <v>363</v>
      </c>
      <c r="D389" s="9" t="s">
        <v>364</v>
      </c>
      <c r="E389" s="1">
        <v>2.7189999999999999</v>
      </c>
      <c r="F389" s="1">
        <v>1.5960000000000001</v>
      </c>
      <c r="G389" s="1">
        <v>75</v>
      </c>
      <c r="H389" s="1"/>
      <c r="I389" s="1"/>
      <c r="J389" s="1"/>
      <c r="L389" s="98">
        <f t="shared" si="25"/>
        <v>8.157</v>
      </c>
      <c r="M389" s="99">
        <f t="shared" si="25"/>
        <v>4.7880000000000003</v>
      </c>
      <c r="O389" s="98">
        <f t="shared" si="21"/>
        <v>0</v>
      </c>
      <c r="P389" s="99">
        <f t="shared" si="22"/>
        <v>0</v>
      </c>
    </row>
    <row r="390" spans="1:16" x14ac:dyDescent="0.2">
      <c r="A390" s="10" t="s">
        <v>192</v>
      </c>
      <c r="B390" s="113"/>
      <c r="C390" s="8" t="s">
        <v>372</v>
      </c>
      <c r="D390" s="9" t="s">
        <v>373</v>
      </c>
      <c r="E390" s="1">
        <v>4.9480000000000004</v>
      </c>
      <c r="F390" s="1">
        <v>0.33400000000000002</v>
      </c>
      <c r="G390" s="1">
        <v>48</v>
      </c>
      <c r="H390" s="1"/>
      <c r="I390" s="1"/>
      <c r="J390" s="1"/>
      <c r="L390" s="98">
        <f t="shared" si="25"/>
        <v>14.844000000000001</v>
      </c>
      <c r="M390" s="99">
        <f t="shared" si="25"/>
        <v>1.002</v>
      </c>
      <c r="O390" s="98">
        <f t="shared" si="21"/>
        <v>0</v>
      </c>
      <c r="P390" s="99">
        <f t="shared" si="22"/>
        <v>0</v>
      </c>
    </row>
    <row r="391" spans="1:16" x14ac:dyDescent="0.2">
      <c r="A391" s="10" t="s">
        <v>192</v>
      </c>
      <c r="B391" s="113"/>
      <c r="C391" s="8" t="s">
        <v>376</v>
      </c>
      <c r="D391" s="9" t="s">
        <v>377</v>
      </c>
      <c r="E391" s="1">
        <v>0.16500000000000001</v>
      </c>
      <c r="F391" s="1">
        <v>8.2000000000000003E-2</v>
      </c>
      <c r="G391" s="1">
        <v>16</v>
      </c>
      <c r="H391" s="1"/>
      <c r="I391" s="1"/>
      <c r="J391" s="1"/>
      <c r="L391" s="98">
        <f t="shared" si="25"/>
        <v>0.495</v>
      </c>
      <c r="M391" s="99">
        <f t="shared" si="25"/>
        <v>0.246</v>
      </c>
      <c r="O391" s="98">
        <f t="shared" si="21"/>
        <v>0</v>
      </c>
      <c r="P391" s="99">
        <f t="shared" si="22"/>
        <v>0</v>
      </c>
    </row>
    <row r="392" spans="1:16" x14ac:dyDescent="0.2">
      <c r="A392" s="10" t="s">
        <v>192</v>
      </c>
      <c r="B392" s="113"/>
      <c r="C392" s="8" t="s">
        <v>378</v>
      </c>
      <c r="D392" s="9" t="s">
        <v>379</v>
      </c>
      <c r="E392" s="1">
        <v>4.9480000000000004</v>
      </c>
      <c r="F392" s="1">
        <v>2.4740000000000002</v>
      </c>
      <c r="G392" s="1">
        <v>48</v>
      </c>
      <c r="H392" s="1"/>
      <c r="I392" s="1"/>
      <c r="J392" s="1"/>
      <c r="L392" s="98">
        <f t="shared" si="25"/>
        <v>14.844000000000001</v>
      </c>
      <c r="M392" s="99">
        <f t="shared" si="25"/>
        <v>7.4220000000000006</v>
      </c>
      <c r="O392" s="98">
        <f t="shared" si="21"/>
        <v>0</v>
      </c>
      <c r="P392" s="99">
        <f t="shared" si="22"/>
        <v>0</v>
      </c>
    </row>
    <row r="393" spans="1:16" x14ac:dyDescent="0.2">
      <c r="A393" s="10" t="s">
        <v>192</v>
      </c>
      <c r="B393" s="113"/>
      <c r="C393" s="8" t="s">
        <v>380</v>
      </c>
      <c r="D393" s="9" t="s">
        <v>381</v>
      </c>
      <c r="E393" s="1">
        <v>4.9480000000000004</v>
      </c>
      <c r="F393" s="1">
        <v>2.4740000000000002</v>
      </c>
      <c r="G393" s="1">
        <v>48</v>
      </c>
      <c r="H393" s="1"/>
      <c r="I393" s="1"/>
      <c r="J393" s="1"/>
      <c r="L393" s="98">
        <f t="shared" si="25"/>
        <v>14.844000000000001</v>
      </c>
      <c r="M393" s="99">
        <f t="shared" si="25"/>
        <v>7.4220000000000006</v>
      </c>
      <c r="O393" s="98">
        <f t="shared" ref="O393:O439" si="26">IF($K393=0,0,IF(E393=0,999,$G393/E393))</f>
        <v>0</v>
      </c>
      <c r="P393" s="99">
        <f t="shared" ref="P393:P439" si="27">IF($K393=0,0,IF(F393=0,999,$G393/F393))</f>
        <v>0</v>
      </c>
    </row>
    <row r="394" spans="1:16" x14ac:dyDescent="0.2">
      <c r="A394" s="10" t="s">
        <v>192</v>
      </c>
      <c r="B394" s="113"/>
      <c r="C394" s="8" t="s">
        <v>382</v>
      </c>
      <c r="D394" s="9" t="s">
        <v>383</v>
      </c>
      <c r="E394" s="1">
        <v>4.9480000000000004</v>
      </c>
      <c r="F394" s="1">
        <v>2.4740000000000002</v>
      </c>
      <c r="G394" s="1">
        <v>48</v>
      </c>
      <c r="H394" s="1"/>
      <c r="I394" s="1"/>
      <c r="J394" s="1"/>
      <c r="L394" s="98">
        <f t="shared" si="25"/>
        <v>14.844000000000001</v>
      </c>
      <c r="M394" s="99">
        <f t="shared" si="25"/>
        <v>7.4220000000000006</v>
      </c>
      <c r="O394" s="98">
        <f t="shared" si="26"/>
        <v>0</v>
      </c>
      <c r="P394" s="99">
        <f t="shared" si="27"/>
        <v>0</v>
      </c>
    </row>
    <row r="395" spans="1:16" x14ac:dyDescent="0.2">
      <c r="A395" s="10" t="s">
        <v>192</v>
      </c>
      <c r="B395" s="113"/>
      <c r="C395" s="8" t="s">
        <v>384</v>
      </c>
      <c r="D395" s="9" t="s">
        <v>385</v>
      </c>
      <c r="E395" s="1">
        <v>0.99</v>
      </c>
      <c r="F395" s="1">
        <v>0.495</v>
      </c>
      <c r="G395" s="1">
        <v>96</v>
      </c>
      <c r="H395" s="1"/>
      <c r="I395" s="1"/>
      <c r="J395" s="1"/>
      <c r="L395" s="98">
        <f t="shared" si="25"/>
        <v>2.9699999999999998</v>
      </c>
      <c r="M395" s="99">
        <f t="shared" si="25"/>
        <v>1.4849999999999999</v>
      </c>
      <c r="O395" s="98">
        <f t="shared" si="26"/>
        <v>0</v>
      </c>
      <c r="P395" s="99">
        <f t="shared" si="27"/>
        <v>0</v>
      </c>
    </row>
    <row r="396" spans="1:16" x14ac:dyDescent="0.2">
      <c r="A396" s="10" t="s">
        <v>192</v>
      </c>
      <c r="B396" s="113"/>
      <c r="C396" s="8" t="s">
        <v>386</v>
      </c>
      <c r="D396" s="9" t="s">
        <v>387</v>
      </c>
      <c r="E396" s="1">
        <v>9.8970000000000002</v>
      </c>
      <c r="F396" s="1">
        <v>4.9480000000000004</v>
      </c>
      <c r="G396" s="1">
        <v>96</v>
      </c>
      <c r="H396" s="1"/>
      <c r="I396" s="1"/>
      <c r="J396" s="1"/>
      <c r="L396" s="98">
        <f t="shared" si="25"/>
        <v>29.691000000000003</v>
      </c>
      <c r="M396" s="99">
        <f t="shared" si="25"/>
        <v>14.844000000000001</v>
      </c>
      <c r="O396" s="98">
        <f t="shared" si="26"/>
        <v>0</v>
      </c>
      <c r="P396" s="99">
        <f t="shared" si="27"/>
        <v>0</v>
      </c>
    </row>
    <row r="397" spans="1:16" x14ac:dyDescent="0.2">
      <c r="A397" s="10" t="s">
        <v>192</v>
      </c>
      <c r="B397" s="113"/>
      <c r="C397" s="8" t="s">
        <v>388</v>
      </c>
      <c r="D397" s="9" t="s">
        <v>389</v>
      </c>
      <c r="E397" s="1">
        <v>4.9480000000000004</v>
      </c>
      <c r="F397" s="1">
        <v>2.4740000000000002</v>
      </c>
      <c r="G397" s="1">
        <v>48</v>
      </c>
      <c r="H397" s="1"/>
      <c r="I397" s="1"/>
      <c r="J397" s="1"/>
      <c r="L397" s="98">
        <f t="shared" si="25"/>
        <v>14.844000000000001</v>
      </c>
      <c r="M397" s="99">
        <f t="shared" si="25"/>
        <v>7.4220000000000006</v>
      </c>
      <c r="O397" s="98">
        <f t="shared" si="26"/>
        <v>0</v>
      </c>
      <c r="P397" s="99">
        <f t="shared" si="27"/>
        <v>0</v>
      </c>
    </row>
    <row r="398" spans="1:16" x14ac:dyDescent="0.2">
      <c r="A398" s="10" t="s">
        <v>192</v>
      </c>
      <c r="B398" s="113"/>
      <c r="C398" s="8" t="s">
        <v>390</v>
      </c>
      <c r="D398" s="9" t="s">
        <v>391</v>
      </c>
      <c r="E398" s="1">
        <v>13.196</v>
      </c>
      <c r="F398" s="1">
        <v>6.5979999999999999</v>
      </c>
      <c r="G398" s="1">
        <v>128</v>
      </c>
      <c r="H398" s="1"/>
      <c r="I398" s="1"/>
      <c r="J398" s="1"/>
      <c r="L398" s="98">
        <f t="shared" si="25"/>
        <v>39.588000000000001</v>
      </c>
      <c r="M398" s="99">
        <f t="shared" si="25"/>
        <v>19.794</v>
      </c>
      <c r="O398" s="98">
        <f t="shared" si="26"/>
        <v>0</v>
      </c>
      <c r="P398" s="99">
        <f t="shared" si="27"/>
        <v>0</v>
      </c>
    </row>
    <row r="399" spans="1:16" x14ac:dyDescent="0.2">
      <c r="A399" s="10" t="s">
        <v>192</v>
      </c>
      <c r="B399" s="112"/>
      <c r="C399" s="8" t="s">
        <v>460</v>
      </c>
      <c r="D399" s="9" t="s">
        <v>461</v>
      </c>
      <c r="E399" s="1">
        <v>0.92800000000000005</v>
      </c>
      <c r="F399" s="1">
        <v>0.46400000000000002</v>
      </c>
      <c r="G399" s="1">
        <v>9</v>
      </c>
      <c r="H399" s="1"/>
      <c r="I399" s="1"/>
      <c r="J399" s="1"/>
      <c r="L399" s="98">
        <f t="shared" si="25"/>
        <v>2.7840000000000003</v>
      </c>
      <c r="M399" s="99">
        <f t="shared" si="25"/>
        <v>1.3920000000000001</v>
      </c>
      <c r="O399" s="98">
        <f t="shared" si="26"/>
        <v>0</v>
      </c>
      <c r="P399" s="99">
        <f t="shared" si="27"/>
        <v>0</v>
      </c>
    </row>
    <row r="400" spans="1:16" x14ac:dyDescent="0.2">
      <c r="A400" s="12"/>
      <c r="L400" s="98"/>
      <c r="M400" s="99"/>
      <c r="O400" s="98">
        <f t="shared" si="26"/>
        <v>0</v>
      </c>
      <c r="P400" s="99">
        <f t="shared" si="27"/>
        <v>0</v>
      </c>
    </row>
    <row r="401" spans="1:16" x14ac:dyDescent="0.2">
      <c r="A401" s="10" t="s">
        <v>208</v>
      </c>
      <c r="B401" s="111" t="s">
        <v>131</v>
      </c>
      <c r="C401" s="8" t="s">
        <v>392</v>
      </c>
      <c r="D401" s="9" t="s">
        <v>393</v>
      </c>
      <c r="E401" s="1">
        <v>0</v>
      </c>
      <c r="F401" s="1">
        <v>0</v>
      </c>
      <c r="G401" s="1">
        <v>4</v>
      </c>
      <c r="H401" s="1"/>
      <c r="I401" s="1"/>
      <c r="J401" s="1"/>
      <c r="K401" t="s">
        <v>810</v>
      </c>
      <c r="L401" s="98">
        <f>E401*$K$402</f>
        <v>0</v>
      </c>
      <c r="M401" s="99">
        <f>F401*$K$402</f>
        <v>0</v>
      </c>
      <c r="O401" s="98">
        <f t="shared" si="26"/>
        <v>999</v>
      </c>
      <c r="P401" s="99">
        <f t="shared" si="27"/>
        <v>999</v>
      </c>
    </row>
    <row r="402" spans="1:16" x14ac:dyDescent="0.2">
      <c r="A402" s="10" t="s">
        <v>208</v>
      </c>
      <c r="B402" s="113"/>
      <c r="C402" s="8" t="s">
        <v>396</v>
      </c>
      <c r="D402" s="9" t="s">
        <v>397</v>
      </c>
      <c r="E402" s="1">
        <v>0.20599999999999999</v>
      </c>
      <c r="F402" s="1">
        <v>0.20599999999999999</v>
      </c>
      <c r="G402" s="1">
        <v>8</v>
      </c>
      <c r="H402" s="1"/>
      <c r="I402" s="1"/>
      <c r="J402" s="1"/>
      <c r="K402" s="77">
        <v>0</v>
      </c>
      <c r="L402" s="98">
        <f t="shared" ref="L402:M404" si="28">E402*$K$402</f>
        <v>0</v>
      </c>
      <c r="M402" s="99">
        <f t="shared" si="28"/>
        <v>0</v>
      </c>
      <c r="O402" s="98">
        <f t="shared" si="26"/>
        <v>0</v>
      </c>
      <c r="P402" s="99">
        <f t="shared" si="27"/>
        <v>0</v>
      </c>
    </row>
    <row r="403" spans="1:16" x14ac:dyDescent="0.2">
      <c r="A403" s="10" t="s">
        <v>208</v>
      </c>
      <c r="B403" s="113"/>
      <c r="C403" s="8" t="s">
        <v>406</v>
      </c>
      <c r="D403" s="9" t="s">
        <v>407</v>
      </c>
      <c r="E403" s="1">
        <v>0.20599999999999999</v>
      </c>
      <c r="F403" s="1">
        <v>0.20599999999999999</v>
      </c>
      <c r="G403" s="1">
        <v>8</v>
      </c>
      <c r="H403" s="1"/>
      <c r="I403" s="1"/>
      <c r="J403" s="1"/>
      <c r="L403" s="98">
        <f t="shared" si="28"/>
        <v>0</v>
      </c>
      <c r="M403" s="99">
        <f t="shared" si="28"/>
        <v>0</v>
      </c>
      <c r="O403" s="98">
        <f t="shared" si="26"/>
        <v>0</v>
      </c>
      <c r="P403" s="99">
        <f t="shared" si="27"/>
        <v>0</v>
      </c>
    </row>
    <row r="404" spans="1:16" x14ac:dyDescent="0.2">
      <c r="A404" s="10" t="s">
        <v>208</v>
      </c>
      <c r="B404" s="112"/>
      <c r="C404" s="8" t="s">
        <v>426</v>
      </c>
      <c r="D404" s="9" t="s">
        <v>427</v>
      </c>
      <c r="E404" s="1">
        <v>2.0619999999999998</v>
      </c>
      <c r="F404" s="1">
        <v>2.0619999999999998</v>
      </c>
      <c r="G404" s="1">
        <v>20</v>
      </c>
      <c r="H404" s="1">
        <v>0.88200000000000001</v>
      </c>
      <c r="I404" s="1">
        <v>0.59699999999999998</v>
      </c>
      <c r="J404" s="1">
        <v>10</v>
      </c>
      <c r="L404" s="98">
        <f t="shared" si="28"/>
        <v>0</v>
      </c>
      <c r="M404" s="99">
        <f t="shared" si="28"/>
        <v>0</v>
      </c>
      <c r="O404" s="98">
        <f t="shared" si="26"/>
        <v>0</v>
      </c>
      <c r="P404" s="99">
        <f t="shared" si="27"/>
        <v>0</v>
      </c>
    </row>
    <row r="405" spans="1:16" x14ac:dyDescent="0.2">
      <c r="A405" s="12"/>
      <c r="K405" t="s">
        <v>814</v>
      </c>
      <c r="L405" s="98"/>
      <c r="M405" s="99"/>
      <c r="O405" s="98">
        <f t="shared" si="26"/>
        <v>999</v>
      </c>
      <c r="P405" s="99">
        <f t="shared" si="27"/>
        <v>999</v>
      </c>
    </row>
    <row r="406" spans="1:16" x14ac:dyDescent="0.2">
      <c r="A406" s="6" t="s">
        <v>215</v>
      </c>
      <c r="B406" s="7" t="s">
        <v>138</v>
      </c>
      <c r="C406" s="8" t="s">
        <v>424</v>
      </c>
      <c r="D406" s="9" t="s">
        <v>425</v>
      </c>
      <c r="E406" s="1"/>
      <c r="F406" s="1"/>
      <c r="G406" s="1"/>
      <c r="H406" s="1">
        <v>4.9080000000000004</v>
      </c>
      <c r="I406" s="1">
        <v>1.0640000000000001</v>
      </c>
      <c r="J406" s="1">
        <v>30</v>
      </c>
      <c r="K406" s="77">
        <v>0</v>
      </c>
      <c r="L406" s="98">
        <f>E406*$K$406</f>
        <v>0</v>
      </c>
      <c r="M406" s="99">
        <f>F406*$K$406</f>
        <v>0</v>
      </c>
      <c r="O406" s="98">
        <f t="shared" si="26"/>
        <v>0</v>
      </c>
      <c r="P406" s="99">
        <f t="shared" si="27"/>
        <v>0</v>
      </c>
    </row>
    <row r="407" spans="1:16" x14ac:dyDescent="0.2">
      <c r="A407" s="12"/>
      <c r="L407" s="98"/>
      <c r="M407" s="99"/>
      <c r="O407" s="98">
        <f t="shared" si="26"/>
        <v>0</v>
      </c>
      <c r="P407" s="99">
        <f t="shared" si="27"/>
        <v>0</v>
      </c>
    </row>
    <row r="408" spans="1:16" x14ac:dyDescent="0.2">
      <c r="A408" s="10" t="s">
        <v>216</v>
      </c>
      <c r="B408" s="111" t="s">
        <v>139</v>
      </c>
      <c r="C408" s="8" t="s">
        <v>432</v>
      </c>
      <c r="D408" s="9" t="s">
        <v>433</v>
      </c>
      <c r="E408" s="1"/>
      <c r="F408" s="1"/>
      <c r="G408" s="1"/>
      <c r="H408" s="1">
        <v>1</v>
      </c>
      <c r="I408" s="1">
        <v>1</v>
      </c>
      <c r="J408" s="1">
        <v>1</v>
      </c>
      <c r="K408" t="s">
        <v>811</v>
      </c>
      <c r="L408" s="98">
        <f t="shared" ref="L408:M410" si="29">E408*$K$409</f>
        <v>0</v>
      </c>
      <c r="M408" s="99">
        <f t="shared" si="29"/>
        <v>0</v>
      </c>
      <c r="O408" s="98">
        <f t="shared" si="26"/>
        <v>999</v>
      </c>
      <c r="P408" s="99">
        <f t="shared" si="27"/>
        <v>999</v>
      </c>
    </row>
    <row r="409" spans="1:16" x14ac:dyDescent="0.2">
      <c r="A409" s="10" t="s">
        <v>216</v>
      </c>
      <c r="B409" s="113"/>
      <c r="C409" s="8" t="s">
        <v>434</v>
      </c>
      <c r="D409" s="9" t="s">
        <v>435</v>
      </c>
      <c r="E409" s="1"/>
      <c r="F409" s="1"/>
      <c r="G409" s="1"/>
      <c r="H409" s="1">
        <v>1</v>
      </c>
      <c r="I409" s="1">
        <v>1</v>
      </c>
      <c r="J409" s="1">
        <v>1</v>
      </c>
      <c r="K409" s="77">
        <v>0</v>
      </c>
      <c r="L409" s="98">
        <f t="shared" si="29"/>
        <v>0</v>
      </c>
      <c r="M409" s="99">
        <f t="shared" si="29"/>
        <v>0</v>
      </c>
      <c r="O409" s="98">
        <f t="shared" si="26"/>
        <v>0</v>
      </c>
      <c r="P409" s="99">
        <f t="shared" si="27"/>
        <v>0</v>
      </c>
    </row>
    <row r="410" spans="1:16" x14ac:dyDescent="0.2">
      <c r="A410" s="10" t="s">
        <v>216</v>
      </c>
      <c r="B410" s="112"/>
      <c r="C410" s="8" t="s">
        <v>436</v>
      </c>
      <c r="D410" s="9" t="s">
        <v>437</v>
      </c>
      <c r="E410" s="1"/>
      <c r="F410" s="1"/>
      <c r="G410" s="1"/>
      <c r="H410" s="1">
        <v>1</v>
      </c>
      <c r="I410" s="1">
        <v>1</v>
      </c>
      <c r="J410" s="1">
        <v>1</v>
      </c>
      <c r="L410" s="98">
        <f t="shared" si="29"/>
        <v>0</v>
      </c>
      <c r="M410" s="99">
        <f t="shared" si="29"/>
        <v>0</v>
      </c>
      <c r="O410" s="98">
        <f t="shared" si="26"/>
        <v>0</v>
      </c>
      <c r="P410" s="99">
        <f t="shared" si="27"/>
        <v>0</v>
      </c>
    </row>
    <row r="411" spans="1:16" x14ac:dyDescent="0.2">
      <c r="A411" s="12"/>
      <c r="L411" s="98"/>
      <c r="M411" s="99"/>
      <c r="O411" s="98">
        <f t="shared" si="26"/>
        <v>0</v>
      </c>
      <c r="P411" s="99">
        <f t="shared" si="27"/>
        <v>0</v>
      </c>
    </row>
    <row r="412" spans="1:16" x14ac:dyDescent="0.2">
      <c r="A412" s="10" t="s">
        <v>217</v>
      </c>
      <c r="B412" s="111" t="s">
        <v>140</v>
      </c>
      <c r="C412" s="8" t="s">
        <v>448</v>
      </c>
      <c r="D412" s="9" t="s">
        <v>449</v>
      </c>
      <c r="E412" s="1"/>
      <c r="F412" s="1"/>
      <c r="G412" s="1"/>
      <c r="H412" s="1">
        <v>2</v>
      </c>
      <c r="I412" s="1">
        <v>2</v>
      </c>
      <c r="J412" s="1">
        <v>2</v>
      </c>
      <c r="K412" t="s">
        <v>812</v>
      </c>
      <c r="L412" s="98">
        <f>E412*$K$413</f>
        <v>0</v>
      </c>
      <c r="M412" s="99">
        <f>F412*$K$413</f>
        <v>0</v>
      </c>
      <c r="O412" s="98">
        <f t="shared" si="26"/>
        <v>999</v>
      </c>
      <c r="P412" s="99">
        <f t="shared" si="27"/>
        <v>999</v>
      </c>
    </row>
    <row r="413" spans="1:16" x14ac:dyDescent="0.2">
      <c r="A413" s="10" t="s">
        <v>217</v>
      </c>
      <c r="B413" s="112"/>
      <c r="C413" s="8" t="s">
        <v>450</v>
      </c>
      <c r="D413" s="9" t="s">
        <v>451</v>
      </c>
      <c r="E413" s="1"/>
      <c r="F413" s="1"/>
      <c r="G413" s="1"/>
      <c r="H413" s="1">
        <v>2</v>
      </c>
      <c r="I413" s="1">
        <v>2</v>
      </c>
      <c r="J413" s="1">
        <v>2</v>
      </c>
      <c r="K413" s="77">
        <v>0</v>
      </c>
      <c r="L413" s="98">
        <f>E413*$K$413</f>
        <v>0</v>
      </c>
      <c r="M413" s="99">
        <f>F413*$K$413</f>
        <v>0</v>
      </c>
      <c r="O413" s="98">
        <f t="shared" si="26"/>
        <v>0</v>
      </c>
      <c r="P413" s="99">
        <f t="shared" si="27"/>
        <v>0</v>
      </c>
    </row>
    <row r="414" spans="1:16" x14ac:dyDescent="0.2">
      <c r="A414" s="12"/>
      <c r="L414" s="98"/>
      <c r="M414" s="99"/>
      <c r="O414" s="98">
        <f t="shared" si="26"/>
        <v>0</v>
      </c>
      <c r="P414" s="99">
        <f t="shared" si="27"/>
        <v>0</v>
      </c>
    </row>
    <row r="415" spans="1:16" x14ac:dyDescent="0.2">
      <c r="A415" s="10" t="s">
        <v>218</v>
      </c>
      <c r="B415" s="111" t="s">
        <v>141</v>
      </c>
      <c r="C415" s="8" t="s">
        <v>452</v>
      </c>
      <c r="D415" s="9" t="s">
        <v>453</v>
      </c>
      <c r="E415" s="1"/>
      <c r="F415" s="1"/>
      <c r="G415" s="1"/>
      <c r="H415" s="1">
        <v>2</v>
      </c>
      <c r="I415" s="1">
        <v>2</v>
      </c>
      <c r="J415" s="1">
        <v>2</v>
      </c>
      <c r="K415" t="s">
        <v>813</v>
      </c>
      <c r="L415" s="98">
        <f>E415*$K$416</f>
        <v>0</v>
      </c>
      <c r="M415" s="99">
        <f>F415*$K$416</f>
        <v>0</v>
      </c>
      <c r="O415" s="98">
        <f t="shared" si="26"/>
        <v>999</v>
      </c>
      <c r="P415" s="99">
        <f t="shared" si="27"/>
        <v>999</v>
      </c>
    </row>
    <row r="416" spans="1:16" x14ac:dyDescent="0.2">
      <c r="A416" s="10" t="s">
        <v>218</v>
      </c>
      <c r="B416" s="112"/>
      <c r="C416" s="8" t="s">
        <v>454</v>
      </c>
      <c r="D416" s="9" t="s">
        <v>455</v>
      </c>
      <c r="E416" s="1"/>
      <c r="F416" s="1"/>
      <c r="G416" s="1"/>
      <c r="H416" s="1">
        <v>2</v>
      </c>
      <c r="I416" s="1">
        <v>2</v>
      </c>
      <c r="J416" s="1">
        <v>2</v>
      </c>
      <c r="K416" s="77">
        <v>0</v>
      </c>
      <c r="L416" s="98">
        <f>E416*$K$416</f>
        <v>0</v>
      </c>
      <c r="M416" s="99">
        <f>F416*$K$416</f>
        <v>0</v>
      </c>
      <c r="O416" s="98">
        <f t="shared" si="26"/>
        <v>0</v>
      </c>
      <c r="P416" s="99">
        <f t="shared" si="27"/>
        <v>0</v>
      </c>
    </row>
    <row r="417" spans="1:16" x14ac:dyDescent="0.2">
      <c r="A417" s="12"/>
      <c r="K417" t="s">
        <v>815</v>
      </c>
      <c r="L417" s="98"/>
      <c r="M417" s="99"/>
      <c r="O417" s="98">
        <f t="shared" si="26"/>
        <v>999</v>
      </c>
      <c r="P417" s="99">
        <f t="shared" si="27"/>
        <v>999</v>
      </c>
    </row>
    <row r="418" spans="1:16" x14ac:dyDescent="0.2">
      <c r="A418" s="6" t="s">
        <v>214</v>
      </c>
      <c r="B418" s="7" t="s">
        <v>137</v>
      </c>
      <c r="C418" s="8" t="s">
        <v>422</v>
      </c>
      <c r="D418" s="9" t="s">
        <v>423</v>
      </c>
      <c r="E418" s="1"/>
      <c r="F418" s="1"/>
      <c r="G418" s="1"/>
      <c r="H418" s="1">
        <v>4.9080000000000004</v>
      </c>
      <c r="I418" s="1">
        <v>1.0640000000000001</v>
      </c>
      <c r="J418" s="1">
        <v>30</v>
      </c>
      <c r="K418" s="77">
        <v>0</v>
      </c>
      <c r="L418" s="98">
        <f>E418*$K$418</f>
        <v>0</v>
      </c>
      <c r="M418" s="99">
        <f>F418*$K$418</f>
        <v>0</v>
      </c>
      <c r="O418" s="98">
        <f t="shared" si="26"/>
        <v>0</v>
      </c>
      <c r="P418" s="99">
        <f t="shared" si="27"/>
        <v>0</v>
      </c>
    </row>
    <row r="419" spans="1:16" x14ac:dyDescent="0.2">
      <c r="A419" s="12"/>
      <c r="K419" t="s">
        <v>816</v>
      </c>
      <c r="L419" s="98"/>
      <c r="M419" s="99"/>
      <c r="O419" s="98">
        <f t="shared" si="26"/>
        <v>999</v>
      </c>
      <c r="P419" s="99">
        <f t="shared" si="27"/>
        <v>999</v>
      </c>
    </row>
    <row r="420" spans="1:16" x14ac:dyDescent="0.2">
      <c r="A420" s="6" t="s">
        <v>200</v>
      </c>
      <c r="B420" s="7" t="s">
        <v>123</v>
      </c>
      <c r="C420" s="8" t="s">
        <v>359</v>
      </c>
      <c r="D420" s="9" t="s">
        <v>360</v>
      </c>
      <c r="E420" s="1">
        <v>5.1029999999999998</v>
      </c>
      <c r="F420" s="1">
        <v>5.1029999999999998</v>
      </c>
      <c r="G420" s="1">
        <v>150</v>
      </c>
      <c r="H420" s="1">
        <v>5.1029999999999998</v>
      </c>
      <c r="I420" s="1">
        <v>5.1029999999999998</v>
      </c>
      <c r="J420" s="1">
        <v>150</v>
      </c>
      <c r="K420" s="77">
        <v>0</v>
      </c>
      <c r="L420" s="98">
        <f>E420*$K$420</f>
        <v>0</v>
      </c>
      <c r="M420" s="99">
        <f>F420*$K$420</f>
        <v>0</v>
      </c>
      <c r="O420" s="98">
        <f t="shared" si="26"/>
        <v>0</v>
      </c>
      <c r="P420" s="99">
        <f t="shared" si="27"/>
        <v>0</v>
      </c>
    </row>
    <row r="421" spans="1:16" x14ac:dyDescent="0.2">
      <c r="A421" s="12"/>
      <c r="L421" s="98"/>
      <c r="M421" s="99"/>
      <c r="O421" s="98">
        <f t="shared" si="26"/>
        <v>0</v>
      </c>
      <c r="P421" s="99">
        <f t="shared" si="27"/>
        <v>0</v>
      </c>
    </row>
    <row r="422" spans="1:16" x14ac:dyDescent="0.2">
      <c r="A422" s="10" t="s">
        <v>196</v>
      </c>
      <c r="B422" s="111" t="s">
        <v>119</v>
      </c>
      <c r="C422" s="8" t="s">
        <v>319</v>
      </c>
      <c r="D422" s="9" t="s">
        <v>320</v>
      </c>
      <c r="E422" s="1">
        <v>1.7729999999999999</v>
      </c>
      <c r="F422" s="1">
        <v>1.0640000000000001</v>
      </c>
      <c r="G422" s="1">
        <v>50</v>
      </c>
      <c r="H422" s="1">
        <v>0.28799999999999998</v>
      </c>
      <c r="I422" s="1">
        <v>0.17</v>
      </c>
      <c r="J422" s="1">
        <v>8</v>
      </c>
      <c r="K422" t="s">
        <v>809</v>
      </c>
      <c r="L422" s="98">
        <f>E422*$K$423</f>
        <v>5.319</v>
      </c>
      <c r="M422" s="99">
        <f>F422*$K$423</f>
        <v>3.1920000000000002</v>
      </c>
      <c r="O422" s="98">
        <f t="shared" si="26"/>
        <v>28.200789622109422</v>
      </c>
      <c r="P422" s="99">
        <f t="shared" si="27"/>
        <v>46.992481203007515</v>
      </c>
    </row>
    <row r="423" spans="1:16" x14ac:dyDescent="0.2">
      <c r="A423" s="10" t="s">
        <v>196</v>
      </c>
      <c r="B423" s="113"/>
      <c r="C423" s="8" t="s">
        <v>341</v>
      </c>
      <c r="D423" s="9" t="s">
        <v>342</v>
      </c>
      <c r="E423" s="1">
        <v>30.928000000000001</v>
      </c>
      <c r="F423" s="1">
        <v>15.464</v>
      </c>
      <c r="G423" s="1">
        <v>300</v>
      </c>
      <c r="H423" s="1">
        <v>12.371</v>
      </c>
      <c r="I423" s="1">
        <v>6.1859999999999999</v>
      </c>
      <c r="J423" s="1">
        <v>120</v>
      </c>
      <c r="K423" s="77">
        <v>3</v>
      </c>
      <c r="L423" s="98">
        <f t="shared" ref="L423:M439" si="30">E423*$K$423</f>
        <v>92.784000000000006</v>
      </c>
      <c r="M423" s="99">
        <f t="shared" si="30"/>
        <v>46.392000000000003</v>
      </c>
      <c r="O423" s="98">
        <f t="shared" si="26"/>
        <v>9.6999482669425756</v>
      </c>
      <c r="P423" s="99">
        <f t="shared" si="27"/>
        <v>19.399896533885151</v>
      </c>
    </row>
    <row r="424" spans="1:16" x14ac:dyDescent="0.2">
      <c r="A424" s="10" t="s">
        <v>196</v>
      </c>
      <c r="B424" s="113"/>
      <c r="C424" s="8" t="s">
        <v>343</v>
      </c>
      <c r="D424" s="9" t="s">
        <v>344</v>
      </c>
      <c r="E424" s="1">
        <v>1.649</v>
      </c>
      <c r="F424" s="1">
        <v>0.82499999999999996</v>
      </c>
      <c r="G424" s="1">
        <v>16</v>
      </c>
      <c r="H424" s="1">
        <v>12.371</v>
      </c>
      <c r="I424" s="1">
        <v>6.1859999999999999</v>
      </c>
      <c r="J424" s="1">
        <v>120</v>
      </c>
      <c r="L424" s="98">
        <f t="shared" si="30"/>
        <v>4.9470000000000001</v>
      </c>
      <c r="M424" s="99">
        <f t="shared" si="30"/>
        <v>2.4749999999999996</v>
      </c>
      <c r="O424" s="98">
        <f t="shared" si="26"/>
        <v>0</v>
      </c>
      <c r="P424" s="99">
        <f t="shared" si="27"/>
        <v>0</v>
      </c>
    </row>
    <row r="425" spans="1:16" x14ac:dyDescent="0.2">
      <c r="A425" s="10" t="s">
        <v>196</v>
      </c>
      <c r="B425" s="113"/>
      <c r="C425" s="8" t="s">
        <v>347</v>
      </c>
      <c r="D425" s="9" t="s">
        <v>348</v>
      </c>
      <c r="E425" s="1">
        <v>4.9480000000000004</v>
      </c>
      <c r="F425" s="1">
        <v>2.4740000000000002</v>
      </c>
      <c r="G425" s="1">
        <v>48</v>
      </c>
      <c r="H425" s="1">
        <v>9.8970000000000002</v>
      </c>
      <c r="I425" s="1">
        <v>4.9480000000000004</v>
      </c>
      <c r="J425" s="1">
        <v>96</v>
      </c>
      <c r="L425" s="98">
        <f t="shared" si="30"/>
        <v>14.844000000000001</v>
      </c>
      <c r="M425" s="99">
        <f t="shared" si="30"/>
        <v>7.4220000000000006</v>
      </c>
      <c r="O425" s="98">
        <f t="shared" si="26"/>
        <v>0</v>
      </c>
      <c r="P425" s="99">
        <f t="shared" si="27"/>
        <v>0</v>
      </c>
    </row>
    <row r="426" spans="1:16" x14ac:dyDescent="0.2">
      <c r="A426" s="10" t="s">
        <v>196</v>
      </c>
      <c r="B426" s="113"/>
      <c r="C426" s="8" t="s">
        <v>349</v>
      </c>
      <c r="D426" s="9" t="s">
        <v>350</v>
      </c>
      <c r="E426" s="1">
        <v>4.9480000000000004</v>
      </c>
      <c r="F426" s="1">
        <v>2.4740000000000002</v>
      </c>
      <c r="G426" s="1">
        <v>48</v>
      </c>
      <c r="H426" s="1">
        <v>9.8970000000000002</v>
      </c>
      <c r="I426" s="1">
        <v>4.9480000000000004</v>
      </c>
      <c r="J426" s="1">
        <v>96</v>
      </c>
      <c r="L426" s="98">
        <f t="shared" si="30"/>
        <v>14.844000000000001</v>
      </c>
      <c r="M426" s="99">
        <f t="shared" si="30"/>
        <v>7.4220000000000006</v>
      </c>
      <c r="O426" s="98">
        <f t="shared" si="26"/>
        <v>0</v>
      </c>
      <c r="P426" s="99">
        <f t="shared" si="27"/>
        <v>0</v>
      </c>
    </row>
    <row r="427" spans="1:16" x14ac:dyDescent="0.2">
      <c r="A427" s="10" t="s">
        <v>196</v>
      </c>
      <c r="B427" s="113"/>
      <c r="C427" s="8" t="s">
        <v>351</v>
      </c>
      <c r="D427" s="9" t="s">
        <v>352</v>
      </c>
      <c r="E427" s="1">
        <v>0.495</v>
      </c>
      <c r="F427" s="1">
        <v>0.247</v>
      </c>
      <c r="G427" s="1">
        <v>48</v>
      </c>
      <c r="H427" s="1">
        <v>0.99</v>
      </c>
      <c r="I427" s="1">
        <v>0.495</v>
      </c>
      <c r="J427" s="1">
        <v>96</v>
      </c>
      <c r="L427" s="98">
        <f t="shared" si="30"/>
        <v>1.4849999999999999</v>
      </c>
      <c r="M427" s="99">
        <f t="shared" si="30"/>
        <v>0.74099999999999999</v>
      </c>
      <c r="O427" s="98">
        <f t="shared" si="26"/>
        <v>0</v>
      </c>
      <c r="P427" s="99">
        <f t="shared" si="27"/>
        <v>0</v>
      </c>
    </row>
    <row r="428" spans="1:16" x14ac:dyDescent="0.2">
      <c r="A428" s="10" t="s">
        <v>196</v>
      </c>
      <c r="B428" s="113"/>
      <c r="C428" s="8" t="s">
        <v>353</v>
      </c>
      <c r="D428" s="9" t="s">
        <v>354</v>
      </c>
      <c r="E428" s="1">
        <v>4.9480000000000004</v>
      </c>
      <c r="F428" s="1">
        <v>2.4740000000000002</v>
      </c>
      <c r="G428" s="1">
        <v>48</v>
      </c>
      <c r="H428" s="1">
        <v>9.8970000000000002</v>
      </c>
      <c r="I428" s="1">
        <v>4.9480000000000004</v>
      </c>
      <c r="J428" s="1">
        <v>96</v>
      </c>
      <c r="L428" s="98">
        <f t="shared" si="30"/>
        <v>14.844000000000001</v>
      </c>
      <c r="M428" s="99">
        <f t="shared" si="30"/>
        <v>7.4220000000000006</v>
      </c>
      <c r="O428" s="98">
        <f t="shared" si="26"/>
        <v>0</v>
      </c>
      <c r="P428" s="99">
        <f t="shared" si="27"/>
        <v>0</v>
      </c>
    </row>
    <row r="429" spans="1:16" x14ac:dyDescent="0.2">
      <c r="A429" s="10" t="s">
        <v>196</v>
      </c>
      <c r="B429" s="113"/>
      <c r="C429" s="8" t="s">
        <v>357</v>
      </c>
      <c r="D429" s="9" t="s">
        <v>358</v>
      </c>
      <c r="E429" s="1">
        <v>4.9480000000000004</v>
      </c>
      <c r="F429" s="1">
        <v>2.4740000000000002</v>
      </c>
      <c r="G429" s="1">
        <v>48</v>
      </c>
      <c r="H429" s="1">
        <v>9.8970000000000002</v>
      </c>
      <c r="I429" s="1">
        <v>4.9480000000000004</v>
      </c>
      <c r="J429" s="1">
        <v>96</v>
      </c>
      <c r="L429" s="98">
        <f t="shared" si="30"/>
        <v>14.844000000000001</v>
      </c>
      <c r="M429" s="99">
        <f t="shared" si="30"/>
        <v>7.4220000000000006</v>
      </c>
      <c r="O429" s="98">
        <f t="shared" si="26"/>
        <v>0</v>
      </c>
      <c r="P429" s="99">
        <f t="shared" si="27"/>
        <v>0</v>
      </c>
    </row>
    <row r="430" spans="1:16" x14ac:dyDescent="0.2">
      <c r="A430" s="10" t="s">
        <v>196</v>
      </c>
      <c r="B430" s="113"/>
      <c r="C430" s="8" t="s">
        <v>363</v>
      </c>
      <c r="D430" s="9" t="s">
        <v>364</v>
      </c>
      <c r="E430" s="1">
        <v>2.66</v>
      </c>
      <c r="F430" s="1">
        <v>1.5960000000000001</v>
      </c>
      <c r="G430" s="1">
        <v>75</v>
      </c>
      <c r="H430" s="1">
        <v>0.432</v>
      </c>
      <c r="I430" s="1">
        <v>0.255</v>
      </c>
      <c r="J430" s="1">
        <v>12</v>
      </c>
      <c r="L430" s="98">
        <f t="shared" si="30"/>
        <v>7.98</v>
      </c>
      <c r="M430" s="99">
        <f t="shared" si="30"/>
        <v>4.7880000000000003</v>
      </c>
      <c r="O430" s="98">
        <f t="shared" si="26"/>
        <v>0</v>
      </c>
      <c r="P430" s="99">
        <f t="shared" si="27"/>
        <v>0</v>
      </c>
    </row>
    <row r="431" spans="1:16" x14ac:dyDescent="0.2">
      <c r="A431" s="10" t="s">
        <v>196</v>
      </c>
      <c r="B431" s="113"/>
      <c r="C431" s="8" t="s">
        <v>372</v>
      </c>
      <c r="D431" s="9" t="s">
        <v>373</v>
      </c>
      <c r="E431" s="1">
        <v>4.9480000000000004</v>
      </c>
      <c r="F431" s="1">
        <v>0.39600000000000002</v>
      </c>
      <c r="G431" s="1">
        <v>48</v>
      </c>
      <c r="H431" s="1"/>
      <c r="I431" s="1"/>
      <c r="J431" s="1"/>
      <c r="L431" s="98">
        <f t="shared" si="30"/>
        <v>14.844000000000001</v>
      </c>
      <c r="M431" s="99">
        <f t="shared" si="30"/>
        <v>1.1880000000000002</v>
      </c>
      <c r="O431" s="98">
        <f t="shared" si="26"/>
        <v>0</v>
      </c>
      <c r="P431" s="99">
        <f t="shared" si="27"/>
        <v>0</v>
      </c>
    </row>
    <row r="432" spans="1:16" x14ac:dyDescent="0.2">
      <c r="A432" s="10" t="s">
        <v>196</v>
      </c>
      <c r="B432" s="113"/>
      <c r="C432" s="8" t="s">
        <v>376</v>
      </c>
      <c r="D432" s="9" t="s">
        <v>377</v>
      </c>
      <c r="E432" s="1">
        <v>0.16500000000000001</v>
      </c>
      <c r="F432" s="1">
        <v>8.2000000000000003E-2</v>
      </c>
      <c r="G432" s="1">
        <v>16</v>
      </c>
      <c r="H432" s="1">
        <v>0.16500000000000001</v>
      </c>
      <c r="I432" s="1">
        <v>8.2000000000000003E-2</v>
      </c>
      <c r="J432" s="1">
        <v>16</v>
      </c>
      <c r="L432" s="98">
        <f t="shared" si="30"/>
        <v>0.495</v>
      </c>
      <c r="M432" s="99">
        <f t="shared" si="30"/>
        <v>0.246</v>
      </c>
      <c r="O432" s="98">
        <f t="shared" si="26"/>
        <v>0</v>
      </c>
      <c r="P432" s="99">
        <f t="shared" si="27"/>
        <v>0</v>
      </c>
    </row>
    <row r="433" spans="1:16" x14ac:dyDescent="0.2">
      <c r="A433" s="10" t="s">
        <v>196</v>
      </c>
      <c r="B433" s="113"/>
      <c r="C433" s="8" t="s">
        <v>378</v>
      </c>
      <c r="D433" s="9" t="s">
        <v>379</v>
      </c>
      <c r="E433" s="1">
        <v>4.9480000000000004</v>
      </c>
      <c r="F433" s="1">
        <v>2.4740000000000002</v>
      </c>
      <c r="G433" s="1">
        <v>48</v>
      </c>
      <c r="H433" s="1">
        <v>12.371</v>
      </c>
      <c r="I433" s="1">
        <v>6.1859999999999999</v>
      </c>
      <c r="J433" s="1">
        <v>120</v>
      </c>
      <c r="L433" s="98">
        <f t="shared" si="30"/>
        <v>14.844000000000001</v>
      </c>
      <c r="M433" s="99">
        <f t="shared" si="30"/>
        <v>7.4220000000000006</v>
      </c>
      <c r="O433" s="98">
        <f t="shared" si="26"/>
        <v>0</v>
      </c>
      <c r="P433" s="99">
        <f t="shared" si="27"/>
        <v>0</v>
      </c>
    </row>
    <row r="434" spans="1:16" x14ac:dyDescent="0.2">
      <c r="A434" s="10" t="s">
        <v>196</v>
      </c>
      <c r="B434" s="113"/>
      <c r="C434" s="8" t="s">
        <v>380</v>
      </c>
      <c r="D434" s="9" t="s">
        <v>381</v>
      </c>
      <c r="E434" s="1">
        <v>4.9480000000000004</v>
      </c>
      <c r="F434" s="1">
        <v>2.4740000000000002</v>
      </c>
      <c r="G434" s="1">
        <v>48</v>
      </c>
      <c r="H434" s="1">
        <v>12.371</v>
      </c>
      <c r="I434" s="1">
        <v>6.1859999999999999</v>
      </c>
      <c r="J434" s="1">
        <v>120</v>
      </c>
      <c r="L434" s="98">
        <f t="shared" si="30"/>
        <v>14.844000000000001</v>
      </c>
      <c r="M434" s="99">
        <f t="shared" si="30"/>
        <v>7.4220000000000006</v>
      </c>
      <c r="O434" s="98">
        <f t="shared" si="26"/>
        <v>0</v>
      </c>
      <c r="P434" s="99">
        <f t="shared" si="27"/>
        <v>0</v>
      </c>
    </row>
    <row r="435" spans="1:16" x14ac:dyDescent="0.2">
      <c r="A435" s="10" t="s">
        <v>196</v>
      </c>
      <c r="B435" s="113"/>
      <c r="C435" s="8" t="s">
        <v>382</v>
      </c>
      <c r="D435" s="9" t="s">
        <v>383</v>
      </c>
      <c r="E435" s="1">
        <v>4.9480000000000004</v>
      </c>
      <c r="F435" s="1">
        <v>2.4740000000000002</v>
      </c>
      <c r="G435" s="1">
        <v>48</v>
      </c>
      <c r="H435" s="1">
        <v>12.371</v>
      </c>
      <c r="I435" s="1">
        <v>6.1859999999999999</v>
      </c>
      <c r="J435" s="1">
        <v>120</v>
      </c>
      <c r="L435" s="98">
        <f t="shared" si="30"/>
        <v>14.844000000000001</v>
      </c>
      <c r="M435" s="99">
        <f t="shared" si="30"/>
        <v>7.4220000000000006</v>
      </c>
      <c r="O435" s="98">
        <f t="shared" si="26"/>
        <v>0</v>
      </c>
      <c r="P435" s="99">
        <f t="shared" si="27"/>
        <v>0</v>
      </c>
    </row>
    <row r="436" spans="1:16" x14ac:dyDescent="0.2">
      <c r="A436" s="10" t="s">
        <v>196</v>
      </c>
      <c r="B436" s="113"/>
      <c r="C436" s="8" t="s">
        <v>384</v>
      </c>
      <c r="D436" s="9" t="s">
        <v>385</v>
      </c>
      <c r="E436" s="1">
        <v>0.99</v>
      </c>
      <c r="F436" s="1">
        <v>0.495</v>
      </c>
      <c r="G436" s="1">
        <v>96</v>
      </c>
      <c r="H436" s="1">
        <v>2.4740000000000002</v>
      </c>
      <c r="I436" s="1">
        <v>1.2370000000000001</v>
      </c>
      <c r="J436" s="1">
        <v>240</v>
      </c>
      <c r="L436" s="98">
        <f t="shared" si="30"/>
        <v>2.9699999999999998</v>
      </c>
      <c r="M436" s="99">
        <f t="shared" si="30"/>
        <v>1.4849999999999999</v>
      </c>
      <c r="O436" s="98">
        <f t="shared" si="26"/>
        <v>0</v>
      </c>
      <c r="P436" s="99">
        <f t="shared" si="27"/>
        <v>0</v>
      </c>
    </row>
    <row r="437" spans="1:16" x14ac:dyDescent="0.2">
      <c r="A437" s="10" t="s">
        <v>196</v>
      </c>
      <c r="B437" s="113"/>
      <c r="C437" s="8" t="s">
        <v>386</v>
      </c>
      <c r="D437" s="9" t="s">
        <v>387</v>
      </c>
      <c r="E437" s="1">
        <v>9.8970000000000002</v>
      </c>
      <c r="F437" s="1">
        <v>4.9480000000000004</v>
      </c>
      <c r="G437" s="1">
        <v>96</v>
      </c>
      <c r="H437" s="1">
        <v>12.371</v>
      </c>
      <c r="I437" s="1">
        <v>6.1859999999999999</v>
      </c>
      <c r="J437" s="1">
        <v>120</v>
      </c>
      <c r="L437" s="98">
        <f t="shared" si="30"/>
        <v>29.691000000000003</v>
      </c>
      <c r="M437" s="99">
        <f t="shared" si="30"/>
        <v>14.844000000000001</v>
      </c>
      <c r="O437" s="98">
        <f t="shared" si="26"/>
        <v>0</v>
      </c>
      <c r="P437" s="99">
        <f t="shared" si="27"/>
        <v>0</v>
      </c>
    </row>
    <row r="438" spans="1:16" x14ac:dyDescent="0.2">
      <c r="A438" s="10" t="s">
        <v>196</v>
      </c>
      <c r="B438" s="113"/>
      <c r="C438" s="8" t="s">
        <v>388</v>
      </c>
      <c r="D438" s="9" t="s">
        <v>389</v>
      </c>
      <c r="E438" s="1">
        <v>4.9480000000000004</v>
      </c>
      <c r="F438" s="1">
        <v>2.4740000000000002</v>
      </c>
      <c r="G438" s="1">
        <v>48</v>
      </c>
      <c r="H438" s="1">
        <v>12.371</v>
      </c>
      <c r="I438" s="1">
        <v>6.1859999999999999</v>
      </c>
      <c r="J438" s="1">
        <v>120</v>
      </c>
      <c r="L438" s="98">
        <f t="shared" si="30"/>
        <v>14.844000000000001</v>
      </c>
      <c r="M438" s="99">
        <f t="shared" si="30"/>
        <v>7.4220000000000006</v>
      </c>
      <c r="O438" s="98">
        <f t="shared" si="26"/>
        <v>0</v>
      </c>
      <c r="P438" s="99">
        <f t="shared" si="27"/>
        <v>0</v>
      </c>
    </row>
    <row r="439" spans="1:16" ht="12" thickBot="1" x14ac:dyDescent="0.25">
      <c r="A439" s="10" t="s">
        <v>196</v>
      </c>
      <c r="B439" s="112"/>
      <c r="C439" s="8" t="s">
        <v>390</v>
      </c>
      <c r="D439" s="9" t="s">
        <v>391</v>
      </c>
      <c r="E439" s="1">
        <v>13.196</v>
      </c>
      <c r="F439" s="1">
        <v>6.5979999999999999</v>
      </c>
      <c r="G439" s="1">
        <v>128</v>
      </c>
      <c r="H439" s="1"/>
      <c r="I439" s="1"/>
      <c r="J439" s="1"/>
      <c r="L439" s="100">
        <f t="shared" si="30"/>
        <v>39.588000000000001</v>
      </c>
      <c r="M439" s="101">
        <f t="shared" si="30"/>
        <v>19.794</v>
      </c>
      <c r="O439" s="100">
        <f t="shared" si="26"/>
        <v>0</v>
      </c>
      <c r="P439" s="101">
        <f t="shared" si="27"/>
        <v>0</v>
      </c>
    </row>
    <row r="440" spans="1:16" ht="12" thickTop="1" x14ac:dyDescent="0.2"/>
  </sheetData>
  <mergeCells count="64">
    <mergeCell ref="B8:B12"/>
    <mergeCell ref="B14:B26"/>
    <mergeCell ref="B28:B35"/>
    <mergeCell ref="A1:J1"/>
    <mergeCell ref="A2:J2"/>
    <mergeCell ref="A3:J3"/>
    <mergeCell ref="A5:B5"/>
    <mergeCell ref="C5:D5"/>
    <mergeCell ref="E5:G5"/>
    <mergeCell ref="H5:J5"/>
    <mergeCell ref="B53:B58"/>
    <mergeCell ref="B60:B63"/>
    <mergeCell ref="B65:B67"/>
    <mergeCell ref="B39:B40"/>
    <mergeCell ref="B42:B43"/>
    <mergeCell ref="B45:B51"/>
    <mergeCell ref="B92:B94"/>
    <mergeCell ref="B96:B97"/>
    <mergeCell ref="B99:B100"/>
    <mergeCell ref="B77:B83"/>
    <mergeCell ref="B85:B86"/>
    <mergeCell ref="B88:B90"/>
    <mergeCell ref="B113:B114"/>
    <mergeCell ref="B118:B139"/>
    <mergeCell ref="B141:B144"/>
    <mergeCell ref="B104:B105"/>
    <mergeCell ref="B107:B108"/>
    <mergeCell ref="B110:B111"/>
    <mergeCell ref="B167:B173"/>
    <mergeCell ref="B175:B177"/>
    <mergeCell ref="B179:B181"/>
    <mergeCell ref="B146:B152"/>
    <mergeCell ref="B154:B157"/>
    <mergeCell ref="B159:B165"/>
    <mergeCell ref="B201:B203"/>
    <mergeCell ref="B205:B212"/>
    <mergeCell ref="B214:B216"/>
    <mergeCell ref="B183:B188"/>
    <mergeCell ref="B190:B192"/>
    <mergeCell ref="B194:B199"/>
    <mergeCell ref="B233:B237"/>
    <mergeCell ref="B239:B243"/>
    <mergeCell ref="B249:B253"/>
    <mergeCell ref="B220:B221"/>
    <mergeCell ref="B223:B224"/>
    <mergeCell ref="B228:B231"/>
    <mergeCell ref="B266:B267"/>
    <mergeCell ref="B271:B272"/>
    <mergeCell ref="B274:B275"/>
    <mergeCell ref="B255:B256"/>
    <mergeCell ref="B258:B259"/>
    <mergeCell ref="B261:B262"/>
    <mergeCell ref="B303:B335"/>
    <mergeCell ref="B337:B341"/>
    <mergeCell ref="B343:B376"/>
    <mergeCell ref="B277:B280"/>
    <mergeCell ref="B282:B291"/>
    <mergeCell ref="B293:B301"/>
    <mergeCell ref="B412:B413"/>
    <mergeCell ref="B415:B416"/>
    <mergeCell ref="B422:B439"/>
    <mergeCell ref="B378:B399"/>
    <mergeCell ref="B401:B404"/>
    <mergeCell ref="B408:B410"/>
  </mergeCells>
  <conditionalFormatting sqref="O8:P439">
    <cfRule type="cellIs" dxfId="2" priority="1" operator="between">
      <formula>0.0001</formula>
      <formula>2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E506"/>
  <sheetViews>
    <sheetView topLeftCell="V1" workbookViewId="0">
      <selection activeCell="AB23" sqref="AB23"/>
    </sheetView>
  </sheetViews>
  <sheetFormatPr defaultRowHeight="11.25" x14ac:dyDescent="0.2"/>
  <cols>
    <col min="1" max="1" width="18.1640625" style="11" customWidth="1"/>
    <col min="2" max="2" width="2" style="11" customWidth="1"/>
    <col min="3" max="3" width="12.5" style="11" bestFit="1" customWidth="1"/>
    <col min="4" max="4" width="13" style="11" bestFit="1" customWidth="1"/>
    <col min="5" max="5" width="9.6640625" style="11" bestFit="1" customWidth="1"/>
    <col min="6" max="6" width="8" style="11" bestFit="1" customWidth="1"/>
    <col min="7" max="7" width="9" style="11" bestFit="1" customWidth="1"/>
    <col min="8" max="8" width="9.6640625" style="11" bestFit="1" customWidth="1"/>
    <col min="9" max="9" width="9.6640625" style="11" customWidth="1"/>
    <col min="10" max="10" width="14.83203125" style="11" customWidth="1"/>
    <col min="11" max="11" width="8.33203125" style="11" bestFit="1" customWidth="1"/>
    <col min="12" max="12" width="13.5" style="11" bestFit="1" customWidth="1"/>
    <col min="13" max="13" width="7.6640625" style="11" bestFit="1" customWidth="1"/>
    <col min="14" max="14" width="6.83203125" style="11" bestFit="1" customWidth="1"/>
    <col min="15" max="15" width="7.33203125" style="11" bestFit="1" customWidth="1"/>
    <col min="16" max="16" width="8.83203125" style="11" bestFit="1" customWidth="1"/>
    <col min="17" max="17" width="11.5" style="11" customWidth="1"/>
    <col min="18" max="18" width="1.6640625" style="11" customWidth="1"/>
    <col min="19" max="20" width="10.83203125" style="68" customWidth="1"/>
    <col min="21" max="21" width="12.1640625" style="65" customWidth="1"/>
    <col min="22" max="22" width="14.1640625" style="54" bestFit="1" customWidth="1"/>
    <col min="23" max="23" width="13.33203125" style="54" customWidth="1"/>
    <col min="24" max="24" width="9.6640625" style="65" bestFit="1" customWidth="1"/>
    <col min="25" max="25" width="7.6640625" style="65" bestFit="1" customWidth="1"/>
    <col min="26" max="26" width="60.5" style="11" customWidth="1"/>
    <col min="27" max="27" width="19.1640625" style="11" customWidth="1"/>
    <col min="28" max="29" width="16.33203125" style="11" customWidth="1"/>
    <col min="30" max="30" width="15.33203125" style="11" customWidth="1"/>
    <col min="31" max="31" width="15.33203125" style="11" hidden="1" customWidth="1"/>
    <col min="32" max="256" width="9.33203125" style="11"/>
    <col min="257" max="257" width="18.1640625" style="11" customWidth="1"/>
    <col min="258" max="258" width="2" style="11" customWidth="1"/>
    <col min="259" max="259" width="12.5" style="11" bestFit="1" customWidth="1"/>
    <col min="260" max="260" width="13" style="11" bestFit="1" customWidth="1"/>
    <col min="261" max="261" width="9.6640625" style="11" bestFit="1" customWidth="1"/>
    <col min="262" max="262" width="8" style="11" bestFit="1" customWidth="1"/>
    <col min="263" max="263" width="9" style="11" bestFit="1" customWidth="1"/>
    <col min="264" max="264" width="9.6640625" style="11" bestFit="1" customWidth="1"/>
    <col min="265" max="265" width="9.6640625" style="11" customWidth="1"/>
    <col min="266" max="266" width="13" style="11" bestFit="1" customWidth="1"/>
    <col min="267" max="267" width="8.33203125" style="11" bestFit="1" customWidth="1"/>
    <col min="268" max="268" width="13.5" style="11" bestFit="1" customWidth="1"/>
    <col min="269" max="269" width="7.6640625" style="11" bestFit="1" customWidth="1"/>
    <col min="270" max="270" width="6.83203125" style="11" bestFit="1" customWidth="1"/>
    <col min="271" max="271" width="7.33203125" style="11" bestFit="1" customWidth="1"/>
    <col min="272" max="272" width="8.83203125" style="11" bestFit="1" customWidth="1"/>
    <col min="273" max="273" width="11.5" style="11" customWidth="1"/>
    <col min="274" max="274" width="1.6640625" style="11" customWidth="1"/>
    <col min="275" max="275" width="8.6640625" style="11" customWidth="1"/>
    <col min="276" max="276" width="10.1640625" style="11" customWidth="1"/>
    <col min="277" max="277" width="12.1640625" style="11" customWidth="1"/>
    <col min="278" max="278" width="14.1640625" style="11" bestFit="1" customWidth="1"/>
    <col min="279" max="279" width="11.33203125" style="11" bestFit="1" customWidth="1"/>
    <col min="280" max="280" width="9.6640625" style="11" bestFit="1" customWidth="1"/>
    <col min="281" max="281" width="7.6640625" style="11" bestFit="1" customWidth="1"/>
    <col min="282" max="282" width="54.1640625" style="11" customWidth="1"/>
    <col min="283" max="283" width="19.1640625" style="11" customWidth="1"/>
    <col min="284" max="284" width="13.5" style="11" customWidth="1"/>
    <col min="285" max="285" width="14.5" style="11" customWidth="1"/>
    <col min="286" max="512" width="9.33203125" style="11"/>
    <col min="513" max="513" width="18.1640625" style="11" customWidth="1"/>
    <col min="514" max="514" width="2" style="11" customWidth="1"/>
    <col min="515" max="515" width="12.5" style="11" bestFit="1" customWidth="1"/>
    <col min="516" max="516" width="13" style="11" bestFit="1" customWidth="1"/>
    <col min="517" max="517" width="9.6640625" style="11" bestFit="1" customWidth="1"/>
    <col min="518" max="518" width="8" style="11" bestFit="1" customWidth="1"/>
    <col min="519" max="519" width="9" style="11" bestFit="1" customWidth="1"/>
    <col min="520" max="520" width="9.6640625" style="11" bestFit="1" customWidth="1"/>
    <col min="521" max="521" width="9.6640625" style="11" customWidth="1"/>
    <col min="522" max="522" width="13" style="11" bestFit="1" customWidth="1"/>
    <col min="523" max="523" width="8.33203125" style="11" bestFit="1" customWidth="1"/>
    <col min="524" max="524" width="13.5" style="11" bestFit="1" customWidth="1"/>
    <col min="525" max="525" width="7.6640625" style="11" bestFit="1" customWidth="1"/>
    <col min="526" max="526" width="6.83203125" style="11" bestFit="1" customWidth="1"/>
    <col min="527" max="527" width="7.33203125" style="11" bestFit="1" customWidth="1"/>
    <col min="528" max="528" width="8.83203125" style="11" bestFit="1" customWidth="1"/>
    <col min="529" max="529" width="11.5" style="11" customWidth="1"/>
    <col min="530" max="530" width="1.6640625" style="11" customWidth="1"/>
    <col min="531" max="531" width="8.6640625" style="11" customWidth="1"/>
    <col min="532" max="532" width="10.1640625" style="11" customWidth="1"/>
    <col min="533" max="533" width="12.1640625" style="11" customWidth="1"/>
    <col min="534" max="534" width="14.1640625" style="11" bestFit="1" customWidth="1"/>
    <col min="535" max="535" width="11.33203125" style="11" bestFit="1" customWidth="1"/>
    <col min="536" max="536" width="9.6640625" style="11" bestFit="1" customWidth="1"/>
    <col min="537" max="537" width="7.6640625" style="11" bestFit="1" customWidth="1"/>
    <col min="538" max="538" width="54.1640625" style="11" customWidth="1"/>
    <col min="539" max="539" width="19.1640625" style="11" customWidth="1"/>
    <col min="540" max="540" width="13.5" style="11" customWidth="1"/>
    <col min="541" max="541" width="14.5" style="11" customWidth="1"/>
    <col min="542" max="768" width="9.33203125" style="11"/>
    <col min="769" max="769" width="18.1640625" style="11" customWidth="1"/>
    <col min="770" max="770" width="2" style="11" customWidth="1"/>
    <col min="771" max="771" width="12.5" style="11" bestFit="1" customWidth="1"/>
    <col min="772" max="772" width="13" style="11" bestFit="1" customWidth="1"/>
    <col min="773" max="773" width="9.6640625" style="11" bestFit="1" customWidth="1"/>
    <col min="774" max="774" width="8" style="11" bestFit="1" customWidth="1"/>
    <col min="775" max="775" width="9" style="11" bestFit="1" customWidth="1"/>
    <col min="776" max="776" width="9.6640625" style="11" bestFit="1" customWidth="1"/>
    <col min="777" max="777" width="9.6640625" style="11" customWidth="1"/>
    <col min="778" max="778" width="13" style="11" bestFit="1" customWidth="1"/>
    <col min="779" max="779" width="8.33203125" style="11" bestFit="1" customWidth="1"/>
    <col min="780" max="780" width="13.5" style="11" bestFit="1" customWidth="1"/>
    <col min="781" max="781" width="7.6640625" style="11" bestFit="1" customWidth="1"/>
    <col min="782" max="782" width="6.83203125" style="11" bestFit="1" customWidth="1"/>
    <col min="783" max="783" width="7.33203125" style="11" bestFit="1" customWidth="1"/>
    <col min="784" max="784" width="8.83203125" style="11" bestFit="1" customWidth="1"/>
    <col min="785" max="785" width="11.5" style="11" customWidth="1"/>
    <col min="786" max="786" width="1.6640625" style="11" customWidth="1"/>
    <col min="787" max="787" width="8.6640625" style="11" customWidth="1"/>
    <col min="788" max="788" width="10.1640625" style="11" customWidth="1"/>
    <col min="789" max="789" width="12.1640625" style="11" customWidth="1"/>
    <col min="790" max="790" width="14.1640625" style="11" bestFit="1" customWidth="1"/>
    <col min="791" max="791" width="11.33203125" style="11" bestFit="1" customWidth="1"/>
    <col min="792" max="792" width="9.6640625" style="11" bestFit="1" customWidth="1"/>
    <col min="793" max="793" width="7.6640625" style="11" bestFit="1" customWidth="1"/>
    <col min="794" max="794" width="54.1640625" style="11" customWidth="1"/>
    <col min="795" max="795" width="19.1640625" style="11" customWidth="1"/>
    <col min="796" max="796" width="13.5" style="11" customWidth="1"/>
    <col min="797" max="797" width="14.5" style="11" customWidth="1"/>
    <col min="798" max="1024" width="9.33203125" style="11"/>
    <col min="1025" max="1025" width="18.1640625" style="11" customWidth="1"/>
    <col min="1026" max="1026" width="2" style="11" customWidth="1"/>
    <col min="1027" max="1027" width="12.5" style="11" bestFit="1" customWidth="1"/>
    <col min="1028" max="1028" width="13" style="11" bestFit="1" customWidth="1"/>
    <col min="1029" max="1029" width="9.6640625" style="11" bestFit="1" customWidth="1"/>
    <col min="1030" max="1030" width="8" style="11" bestFit="1" customWidth="1"/>
    <col min="1031" max="1031" width="9" style="11" bestFit="1" customWidth="1"/>
    <col min="1032" max="1032" width="9.6640625" style="11" bestFit="1" customWidth="1"/>
    <col min="1033" max="1033" width="9.6640625" style="11" customWidth="1"/>
    <col min="1034" max="1034" width="13" style="11" bestFit="1" customWidth="1"/>
    <col min="1035" max="1035" width="8.33203125" style="11" bestFit="1" customWidth="1"/>
    <col min="1036" max="1036" width="13.5" style="11" bestFit="1" customWidth="1"/>
    <col min="1037" max="1037" width="7.6640625" style="11" bestFit="1" customWidth="1"/>
    <col min="1038" max="1038" width="6.83203125" style="11" bestFit="1" customWidth="1"/>
    <col min="1039" max="1039" width="7.33203125" style="11" bestFit="1" customWidth="1"/>
    <col min="1040" max="1040" width="8.83203125" style="11" bestFit="1" customWidth="1"/>
    <col min="1041" max="1041" width="11.5" style="11" customWidth="1"/>
    <col min="1042" max="1042" width="1.6640625" style="11" customWidth="1"/>
    <col min="1043" max="1043" width="8.6640625" style="11" customWidth="1"/>
    <col min="1044" max="1044" width="10.1640625" style="11" customWidth="1"/>
    <col min="1045" max="1045" width="12.1640625" style="11" customWidth="1"/>
    <col min="1046" max="1046" width="14.1640625" style="11" bestFit="1" customWidth="1"/>
    <col min="1047" max="1047" width="11.33203125" style="11" bestFit="1" customWidth="1"/>
    <col min="1048" max="1048" width="9.6640625" style="11" bestFit="1" customWidth="1"/>
    <col min="1049" max="1049" width="7.6640625" style="11" bestFit="1" customWidth="1"/>
    <col min="1050" max="1050" width="54.1640625" style="11" customWidth="1"/>
    <col min="1051" max="1051" width="19.1640625" style="11" customWidth="1"/>
    <col min="1052" max="1052" width="13.5" style="11" customWidth="1"/>
    <col min="1053" max="1053" width="14.5" style="11" customWidth="1"/>
    <col min="1054" max="1280" width="9.33203125" style="11"/>
    <col min="1281" max="1281" width="18.1640625" style="11" customWidth="1"/>
    <col min="1282" max="1282" width="2" style="11" customWidth="1"/>
    <col min="1283" max="1283" width="12.5" style="11" bestFit="1" customWidth="1"/>
    <col min="1284" max="1284" width="13" style="11" bestFit="1" customWidth="1"/>
    <col min="1285" max="1285" width="9.6640625" style="11" bestFit="1" customWidth="1"/>
    <col min="1286" max="1286" width="8" style="11" bestFit="1" customWidth="1"/>
    <col min="1287" max="1287" width="9" style="11" bestFit="1" customWidth="1"/>
    <col min="1288" max="1288" width="9.6640625" style="11" bestFit="1" customWidth="1"/>
    <col min="1289" max="1289" width="9.6640625" style="11" customWidth="1"/>
    <col min="1290" max="1290" width="13" style="11" bestFit="1" customWidth="1"/>
    <col min="1291" max="1291" width="8.33203125" style="11" bestFit="1" customWidth="1"/>
    <col min="1292" max="1292" width="13.5" style="11" bestFit="1" customWidth="1"/>
    <col min="1293" max="1293" width="7.6640625" style="11" bestFit="1" customWidth="1"/>
    <col min="1294" max="1294" width="6.83203125" style="11" bestFit="1" customWidth="1"/>
    <col min="1295" max="1295" width="7.33203125" style="11" bestFit="1" customWidth="1"/>
    <col min="1296" max="1296" width="8.83203125" style="11" bestFit="1" customWidth="1"/>
    <col min="1297" max="1297" width="11.5" style="11" customWidth="1"/>
    <col min="1298" max="1298" width="1.6640625" style="11" customWidth="1"/>
    <col min="1299" max="1299" width="8.6640625" style="11" customWidth="1"/>
    <col min="1300" max="1300" width="10.1640625" style="11" customWidth="1"/>
    <col min="1301" max="1301" width="12.1640625" style="11" customWidth="1"/>
    <col min="1302" max="1302" width="14.1640625" style="11" bestFit="1" customWidth="1"/>
    <col min="1303" max="1303" width="11.33203125" style="11" bestFit="1" customWidth="1"/>
    <col min="1304" max="1304" width="9.6640625" style="11" bestFit="1" customWidth="1"/>
    <col min="1305" max="1305" width="7.6640625" style="11" bestFit="1" customWidth="1"/>
    <col min="1306" max="1306" width="54.1640625" style="11" customWidth="1"/>
    <col min="1307" max="1307" width="19.1640625" style="11" customWidth="1"/>
    <col min="1308" max="1308" width="13.5" style="11" customWidth="1"/>
    <col min="1309" max="1309" width="14.5" style="11" customWidth="1"/>
    <col min="1310" max="1536" width="9.33203125" style="11"/>
    <col min="1537" max="1537" width="18.1640625" style="11" customWidth="1"/>
    <col min="1538" max="1538" width="2" style="11" customWidth="1"/>
    <col min="1539" max="1539" width="12.5" style="11" bestFit="1" customWidth="1"/>
    <col min="1540" max="1540" width="13" style="11" bestFit="1" customWidth="1"/>
    <col min="1541" max="1541" width="9.6640625" style="11" bestFit="1" customWidth="1"/>
    <col min="1542" max="1542" width="8" style="11" bestFit="1" customWidth="1"/>
    <col min="1543" max="1543" width="9" style="11" bestFit="1" customWidth="1"/>
    <col min="1544" max="1544" width="9.6640625" style="11" bestFit="1" customWidth="1"/>
    <col min="1545" max="1545" width="9.6640625" style="11" customWidth="1"/>
    <col min="1546" max="1546" width="13" style="11" bestFit="1" customWidth="1"/>
    <col min="1547" max="1547" width="8.33203125" style="11" bestFit="1" customWidth="1"/>
    <col min="1548" max="1548" width="13.5" style="11" bestFit="1" customWidth="1"/>
    <col min="1549" max="1549" width="7.6640625" style="11" bestFit="1" customWidth="1"/>
    <col min="1550" max="1550" width="6.83203125" style="11" bestFit="1" customWidth="1"/>
    <col min="1551" max="1551" width="7.33203125" style="11" bestFit="1" customWidth="1"/>
    <col min="1552" max="1552" width="8.83203125" style="11" bestFit="1" customWidth="1"/>
    <col min="1553" max="1553" width="11.5" style="11" customWidth="1"/>
    <col min="1554" max="1554" width="1.6640625" style="11" customWidth="1"/>
    <col min="1555" max="1555" width="8.6640625" style="11" customWidth="1"/>
    <col min="1556" max="1556" width="10.1640625" style="11" customWidth="1"/>
    <col min="1557" max="1557" width="12.1640625" style="11" customWidth="1"/>
    <col min="1558" max="1558" width="14.1640625" style="11" bestFit="1" customWidth="1"/>
    <col min="1559" max="1559" width="11.33203125" style="11" bestFit="1" customWidth="1"/>
    <col min="1560" max="1560" width="9.6640625" style="11" bestFit="1" customWidth="1"/>
    <col min="1561" max="1561" width="7.6640625" style="11" bestFit="1" customWidth="1"/>
    <col min="1562" max="1562" width="54.1640625" style="11" customWidth="1"/>
    <col min="1563" max="1563" width="19.1640625" style="11" customWidth="1"/>
    <col min="1564" max="1564" width="13.5" style="11" customWidth="1"/>
    <col min="1565" max="1565" width="14.5" style="11" customWidth="1"/>
    <col min="1566" max="1792" width="9.33203125" style="11"/>
    <col min="1793" max="1793" width="18.1640625" style="11" customWidth="1"/>
    <col min="1794" max="1794" width="2" style="11" customWidth="1"/>
    <col min="1795" max="1795" width="12.5" style="11" bestFit="1" customWidth="1"/>
    <col min="1796" max="1796" width="13" style="11" bestFit="1" customWidth="1"/>
    <col min="1797" max="1797" width="9.6640625" style="11" bestFit="1" customWidth="1"/>
    <col min="1798" max="1798" width="8" style="11" bestFit="1" customWidth="1"/>
    <col min="1799" max="1799" width="9" style="11" bestFit="1" customWidth="1"/>
    <col min="1800" max="1800" width="9.6640625" style="11" bestFit="1" customWidth="1"/>
    <col min="1801" max="1801" width="9.6640625" style="11" customWidth="1"/>
    <col min="1802" max="1802" width="13" style="11" bestFit="1" customWidth="1"/>
    <col min="1803" max="1803" width="8.33203125" style="11" bestFit="1" customWidth="1"/>
    <col min="1804" max="1804" width="13.5" style="11" bestFit="1" customWidth="1"/>
    <col min="1805" max="1805" width="7.6640625" style="11" bestFit="1" customWidth="1"/>
    <col min="1806" max="1806" width="6.83203125" style="11" bestFit="1" customWidth="1"/>
    <col min="1807" max="1807" width="7.33203125" style="11" bestFit="1" customWidth="1"/>
    <col min="1808" max="1808" width="8.83203125" style="11" bestFit="1" customWidth="1"/>
    <col min="1809" max="1809" width="11.5" style="11" customWidth="1"/>
    <col min="1810" max="1810" width="1.6640625" style="11" customWidth="1"/>
    <col min="1811" max="1811" width="8.6640625" style="11" customWidth="1"/>
    <col min="1812" max="1812" width="10.1640625" style="11" customWidth="1"/>
    <col min="1813" max="1813" width="12.1640625" style="11" customWidth="1"/>
    <col min="1814" max="1814" width="14.1640625" style="11" bestFit="1" customWidth="1"/>
    <col min="1815" max="1815" width="11.33203125" style="11" bestFit="1" customWidth="1"/>
    <col min="1816" max="1816" width="9.6640625" style="11" bestFit="1" customWidth="1"/>
    <col min="1817" max="1817" width="7.6640625" style="11" bestFit="1" customWidth="1"/>
    <col min="1818" max="1818" width="54.1640625" style="11" customWidth="1"/>
    <col min="1819" max="1819" width="19.1640625" style="11" customWidth="1"/>
    <col min="1820" max="1820" width="13.5" style="11" customWidth="1"/>
    <col min="1821" max="1821" width="14.5" style="11" customWidth="1"/>
    <col min="1822" max="2048" width="9.33203125" style="11"/>
    <col min="2049" max="2049" width="18.1640625" style="11" customWidth="1"/>
    <col min="2050" max="2050" width="2" style="11" customWidth="1"/>
    <col min="2051" max="2051" width="12.5" style="11" bestFit="1" customWidth="1"/>
    <col min="2052" max="2052" width="13" style="11" bestFit="1" customWidth="1"/>
    <col min="2053" max="2053" width="9.6640625" style="11" bestFit="1" customWidth="1"/>
    <col min="2054" max="2054" width="8" style="11" bestFit="1" customWidth="1"/>
    <col min="2055" max="2055" width="9" style="11" bestFit="1" customWidth="1"/>
    <col min="2056" max="2056" width="9.6640625" style="11" bestFit="1" customWidth="1"/>
    <col min="2057" max="2057" width="9.6640625" style="11" customWidth="1"/>
    <col min="2058" max="2058" width="13" style="11" bestFit="1" customWidth="1"/>
    <col min="2059" max="2059" width="8.33203125" style="11" bestFit="1" customWidth="1"/>
    <col min="2060" max="2060" width="13.5" style="11" bestFit="1" customWidth="1"/>
    <col min="2061" max="2061" width="7.6640625" style="11" bestFit="1" customWidth="1"/>
    <col min="2062" max="2062" width="6.83203125" style="11" bestFit="1" customWidth="1"/>
    <col min="2063" max="2063" width="7.33203125" style="11" bestFit="1" customWidth="1"/>
    <col min="2064" max="2064" width="8.83203125" style="11" bestFit="1" customWidth="1"/>
    <col min="2065" max="2065" width="11.5" style="11" customWidth="1"/>
    <col min="2066" max="2066" width="1.6640625" style="11" customWidth="1"/>
    <col min="2067" max="2067" width="8.6640625" style="11" customWidth="1"/>
    <col min="2068" max="2068" width="10.1640625" style="11" customWidth="1"/>
    <col min="2069" max="2069" width="12.1640625" style="11" customWidth="1"/>
    <col min="2070" max="2070" width="14.1640625" style="11" bestFit="1" customWidth="1"/>
    <col min="2071" max="2071" width="11.33203125" style="11" bestFit="1" customWidth="1"/>
    <col min="2072" max="2072" width="9.6640625" style="11" bestFit="1" customWidth="1"/>
    <col min="2073" max="2073" width="7.6640625" style="11" bestFit="1" customWidth="1"/>
    <col min="2074" max="2074" width="54.1640625" style="11" customWidth="1"/>
    <col min="2075" max="2075" width="19.1640625" style="11" customWidth="1"/>
    <col min="2076" max="2076" width="13.5" style="11" customWidth="1"/>
    <col min="2077" max="2077" width="14.5" style="11" customWidth="1"/>
    <col min="2078" max="2304" width="9.33203125" style="11"/>
    <col min="2305" max="2305" width="18.1640625" style="11" customWidth="1"/>
    <col min="2306" max="2306" width="2" style="11" customWidth="1"/>
    <col min="2307" max="2307" width="12.5" style="11" bestFit="1" customWidth="1"/>
    <col min="2308" max="2308" width="13" style="11" bestFit="1" customWidth="1"/>
    <col min="2309" max="2309" width="9.6640625" style="11" bestFit="1" customWidth="1"/>
    <col min="2310" max="2310" width="8" style="11" bestFit="1" customWidth="1"/>
    <col min="2311" max="2311" width="9" style="11" bestFit="1" customWidth="1"/>
    <col min="2312" max="2312" width="9.6640625" style="11" bestFit="1" customWidth="1"/>
    <col min="2313" max="2313" width="9.6640625" style="11" customWidth="1"/>
    <col min="2314" max="2314" width="13" style="11" bestFit="1" customWidth="1"/>
    <col min="2315" max="2315" width="8.33203125" style="11" bestFit="1" customWidth="1"/>
    <col min="2316" max="2316" width="13.5" style="11" bestFit="1" customWidth="1"/>
    <col min="2317" max="2317" width="7.6640625" style="11" bestFit="1" customWidth="1"/>
    <col min="2318" max="2318" width="6.83203125" style="11" bestFit="1" customWidth="1"/>
    <col min="2319" max="2319" width="7.33203125" style="11" bestFit="1" customWidth="1"/>
    <col min="2320" max="2320" width="8.83203125" style="11" bestFit="1" customWidth="1"/>
    <col min="2321" max="2321" width="11.5" style="11" customWidth="1"/>
    <col min="2322" max="2322" width="1.6640625" style="11" customWidth="1"/>
    <col min="2323" max="2323" width="8.6640625" style="11" customWidth="1"/>
    <col min="2324" max="2324" width="10.1640625" style="11" customWidth="1"/>
    <col min="2325" max="2325" width="12.1640625" style="11" customWidth="1"/>
    <col min="2326" max="2326" width="14.1640625" style="11" bestFit="1" customWidth="1"/>
    <col min="2327" max="2327" width="11.33203125" style="11" bestFit="1" customWidth="1"/>
    <col min="2328" max="2328" width="9.6640625" style="11" bestFit="1" customWidth="1"/>
    <col min="2329" max="2329" width="7.6640625" style="11" bestFit="1" customWidth="1"/>
    <col min="2330" max="2330" width="54.1640625" style="11" customWidth="1"/>
    <col min="2331" max="2331" width="19.1640625" style="11" customWidth="1"/>
    <col min="2332" max="2332" width="13.5" style="11" customWidth="1"/>
    <col min="2333" max="2333" width="14.5" style="11" customWidth="1"/>
    <col min="2334" max="2560" width="9.33203125" style="11"/>
    <col min="2561" max="2561" width="18.1640625" style="11" customWidth="1"/>
    <col min="2562" max="2562" width="2" style="11" customWidth="1"/>
    <col min="2563" max="2563" width="12.5" style="11" bestFit="1" customWidth="1"/>
    <col min="2564" max="2564" width="13" style="11" bestFit="1" customWidth="1"/>
    <col min="2565" max="2565" width="9.6640625" style="11" bestFit="1" customWidth="1"/>
    <col min="2566" max="2566" width="8" style="11" bestFit="1" customWidth="1"/>
    <col min="2567" max="2567" width="9" style="11" bestFit="1" customWidth="1"/>
    <col min="2568" max="2568" width="9.6640625" style="11" bestFit="1" customWidth="1"/>
    <col min="2569" max="2569" width="9.6640625" style="11" customWidth="1"/>
    <col min="2570" max="2570" width="13" style="11" bestFit="1" customWidth="1"/>
    <col min="2571" max="2571" width="8.33203125" style="11" bestFit="1" customWidth="1"/>
    <col min="2572" max="2572" width="13.5" style="11" bestFit="1" customWidth="1"/>
    <col min="2573" max="2573" width="7.6640625" style="11" bestFit="1" customWidth="1"/>
    <col min="2574" max="2574" width="6.83203125" style="11" bestFit="1" customWidth="1"/>
    <col min="2575" max="2575" width="7.33203125" style="11" bestFit="1" customWidth="1"/>
    <col min="2576" max="2576" width="8.83203125" style="11" bestFit="1" customWidth="1"/>
    <col min="2577" max="2577" width="11.5" style="11" customWidth="1"/>
    <col min="2578" max="2578" width="1.6640625" style="11" customWidth="1"/>
    <col min="2579" max="2579" width="8.6640625" style="11" customWidth="1"/>
    <col min="2580" max="2580" width="10.1640625" style="11" customWidth="1"/>
    <col min="2581" max="2581" width="12.1640625" style="11" customWidth="1"/>
    <col min="2582" max="2582" width="14.1640625" style="11" bestFit="1" customWidth="1"/>
    <col min="2583" max="2583" width="11.33203125" style="11" bestFit="1" customWidth="1"/>
    <col min="2584" max="2584" width="9.6640625" style="11" bestFit="1" customWidth="1"/>
    <col min="2585" max="2585" width="7.6640625" style="11" bestFit="1" customWidth="1"/>
    <col min="2586" max="2586" width="54.1640625" style="11" customWidth="1"/>
    <col min="2587" max="2587" width="19.1640625" style="11" customWidth="1"/>
    <col min="2588" max="2588" width="13.5" style="11" customWidth="1"/>
    <col min="2589" max="2589" width="14.5" style="11" customWidth="1"/>
    <col min="2590" max="2816" width="9.33203125" style="11"/>
    <col min="2817" max="2817" width="18.1640625" style="11" customWidth="1"/>
    <col min="2818" max="2818" width="2" style="11" customWidth="1"/>
    <col min="2819" max="2819" width="12.5" style="11" bestFit="1" customWidth="1"/>
    <col min="2820" max="2820" width="13" style="11" bestFit="1" customWidth="1"/>
    <col min="2821" max="2821" width="9.6640625" style="11" bestFit="1" customWidth="1"/>
    <col min="2822" max="2822" width="8" style="11" bestFit="1" customWidth="1"/>
    <col min="2823" max="2823" width="9" style="11" bestFit="1" customWidth="1"/>
    <col min="2824" max="2824" width="9.6640625" style="11" bestFit="1" customWidth="1"/>
    <col min="2825" max="2825" width="9.6640625" style="11" customWidth="1"/>
    <col min="2826" max="2826" width="13" style="11" bestFit="1" customWidth="1"/>
    <col min="2827" max="2827" width="8.33203125" style="11" bestFit="1" customWidth="1"/>
    <col min="2828" max="2828" width="13.5" style="11" bestFit="1" customWidth="1"/>
    <col min="2829" max="2829" width="7.6640625" style="11" bestFit="1" customWidth="1"/>
    <col min="2830" max="2830" width="6.83203125" style="11" bestFit="1" customWidth="1"/>
    <col min="2831" max="2831" width="7.33203125" style="11" bestFit="1" customWidth="1"/>
    <col min="2832" max="2832" width="8.83203125" style="11" bestFit="1" customWidth="1"/>
    <col min="2833" max="2833" width="11.5" style="11" customWidth="1"/>
    <col min="2834" max="2834" width="1.6640625" style="11" customWidth="1"/>
    <col min="2835" max="2835" width="8.6640625" style="11" customWidth="1"/>
    <col min="2836" max="2836" width="10.1640625" style="11" customWidth="1"/>
    <col min="2837" max="2837" width="12.1640625" style="11" customWidth="1"/>
    <col min="2838" max="2838" width="14.1640625" style="11" bestFit="1" customWidth="1"/>
    <col min="2839" max="2839" width="11.33203125" style="11" bestFit="1" customWidth="1"/>
    <col min="2840" max="2840" width="9.6640625" style="11" bestFit="1" customWidth="1"/>
    <col min="2841" max="2841" width="7.6640625" style="11" bestFit="1" customWidth="1"/>
    <col min="2842" max="2842" width="54.1640625" style="11" customWidth="1"/>
    <col min="2843" max="2843" width="19.1640625" style="11" customWidth="1"/>
    <col min="2844" max="2844" width="13.5" style="11" customWidth="1"/>
    <col min="2845" max="2845" width="14.5" style="11" customWidth="1"/>
    <col min="2846" max="3072" width="9.33203125" style="11"/>
    <col min="3073" max="3073" width="18.1640625" style="11" customWidth="1"/>
    <col min="3074" max="3074" width="2" style="11" customWidth="1"/>
    <col min="3075" max="3075" width="12.5" style="11" bestFit="1" customWidth="1"/>
    <col min="3076" max="3076" width="13" style="11" bestFit="1" customWidth="1"/>
    <col min="3077" max="3077" width="9.6640625" style="11" bestFit="1" customWidth="1"/>
    <col min="3078" max="3078" width="8" style="11" bestFit="1" customWidth="1"/>
    <col min="3079" max="3079" width="9" style="11" bestFit="1" customWidth="1"/>
    <col min="3080" max="3080" width="9.6640625" style="11" bestFit="1" customWidth="1"/>
    <col min="3081" max="3081" width="9.6640625" style="11" customWidth="1"/>
    <col min="3082" max="3082" width="13" style="11" bestFit="1" customWidth="1"/>
    <col min="3083" max="3083" width="8.33203125" style="11" bestFit="1" customWidth="1"/>
    <col min="3084" max="3084" width="13.5" style="11" bestFit="1" customWidth="1"/>
    <col min="3085" max="3085" width="7.6640625" style="11" bestFit="1" customWidth="1"/>
    <col min="3086" max="3086" width="6.83203125" style="11" bestFit="1" customWidth="1"/>
    <col min="3087" max="3087" width="7.33203125" style="11" bestFit="1" customWidth="1"/>
    <col min="3088" max="3088" width="8.83203125" style="11" bestFit="1" customWidth="1"/>
    <col min="3089" max="3089" width="11.5" style="11" customWidth="1"/>
    <col min="3090" max="3090" width="1.6640625" style="11" customWidth="1"/>
    <col min="3091" max="3091" width="8.6640625" style="11" customWidth="1"/>
    <col min="3092" max="3092" width="10.1640625" style="11" customWidth="1"/>
    <col min="3093" max="3093" width="12.1640625" style="11" customWidth="1"/>
    <col min="3094" max="3094" width="14.1640625" style="11" bestFit="1" customWidth="1"/>
    <col min="3095" max="3095" width="11.33203125" style="11" bestFit="1" customWidth="1"/>
    <col min="3096" max="3096" width="9.6640625" style="11" bestFit="1" customWidth="1"/>
    <col min="3097" max="3097" width="7.6640625" style="11" bestFit="1" customWidth="1"/>
    <col min="3098" max="3098" width="54.1640625" style="11" customWidth="1"/>
    <col min="3099" max="3099" width="19.1640625" style="11" customWidth="1"/>
    <col min="3100" max="3100" width="13.5" style="11" customWidth="1"/>
    <col min="3101" max="3101" width="14.5" style="11" customWidth="1"/>
    <col min="3102" max="3328" width="9.33203125" style="11"/>
    <col min="3329" max="3329" width="18.1640625" style="11" customWidth="1"/>
    <col min="3330" max="3330" width="2" style="11" customWidth="1"/>
    <col min="3331" max="3331" width="12.5" style="11" bestFit="1" customWidth="1"/>
    <col min="3332" max="3332" width="13" style="11" bestFit="1" customWidth="1"/>
    <col min="3333" max="3333" width="9.6640625" style="11" bestFit="1" customWidth="1"/>
    <col min="3334" max="3334" width="8" style="11" bestFit="1" customWidth="1"/>
    <col min="3335" max="3335" width="9" style="11" bestFit="1" customWidth="1"/>
    <col min="3336" max="3336" width="9.6640625" style="11" bestFit="1" customWidth="1"/>
    <col min="3337" max="3337" width="9.6640625" style="11" customWidth="1"/>
    <col min="3338" max="3338" width="13" style="11" bestFit="1" customWidth="1"/>
    <col min="3339" max="3339" width="8.33203125" style="11" bestFit="1" customWidth="1"/>
    <col min="3340" max="3340" width="13.5" style="11" bestFit="1" customWidth="1"/>
    <col min="3341" max="3341" width="7.6640625" style="11" bestFit="1" customWidth="1"/>
    <col min="3342" max="3342" width="6.83203125" style="11" bestFit="1" customWidth="1"/>
    <col min="3343" max="3343" width="7.33203125" style="11" bestFit="1" customWidth="1"/>
    <col min="3344" max="3344" width="8.83203125" style="11" bestFit="1" customWidth="1"/>
    <col min="3345" max="3345" width="11.5" style="11" customWidth="1"/>
    <col min="3346" max="3346" width="1.6640625" style="11" customWidth="1"/>
    <col min="3347" max="3347" width="8.6640625" style="11" customWidth="1"/>
    <col min="3348" max="3348" width="10.1640625" style="11" customWidth="1"/>
    <col min="3349" max="3349" width="12.1640625" style="11" customWidth="1"/>
    <col min="3350" max="3350" width="14.1640625" style="11" bestFit="1" customWidth="1"/>
    <col min="3351" max="3351" width="11.33203125" style="11" bestFit="1" customWidth="1"/>
    <col min="3352" max="3352" width="9.6640625" style="11" bestFit="1" customWidth="1"/>
    <col min="3353" max="3353" width="7.6640625" style="11" bestFit="1" customWidth="1"/>
    <col min="3354" max="3354" width="54.1640625" style="11" customWidth="1"/>
    <col min="3355" max="3355" width="19.1640625" style="11" customWidth="1"/>
    <col min="3356" max="3356" width="13.5" style="11" customWidth="1"/>
    <col min="3357" max="3357" width="14.5" style="11" customWidth="1"/>
    <col min="3358" max="3584" width="9.33203125" style="11"/>
    <col min="3585" max="3585" width="18.1640625" style="11" customWidth="1"/>
    <col min="3586" max="3586" width="2" style="11" customWidth="1"/>
    <col min="3587" max="3587" width="12.5" style="11" bestFit="1" customWidth="1"/>
    <col min="3588" max="3588" width="13" style="11" bestFit="1" customWidth="1"/>
    <col min="3589" max="3589" width="9.6640625" style="11" bestFit="1" customWidth="1"/>
    <col min="3590" max="3590" width="8" style="11" bestFit="1" customWidth="1"/>
    <col min="3591" max="3591" width="9" style="11" bestFit="1" customWidth="1"/>
    <col min="3592" max="3592" width="9.6640625" style="11" bestFit="1" customWidth="1"/>
    <col min="3593" max="3593" width="9.6640625" style="11" customWidth="1"/>
    <col min="3594" max="3594" width="13" style="11" bestFit="1" customWidth="1"/>
    <col min="3595" max="3595" width="8.33203125" style="11" bestFit="1" customWidth="1"/>
    <col min="3596" max="3596" width="13.5" style="11" bestFit="1" customWidth="1"/>
    <col min="3597" max="3597" width="7.6640625" style="11" bestFit="1" customWidth="1"/>
    <col min="3598" max="3598" width="6.83203125" style="11" bestFit="1" customWidth="1"/>
    <col min="3599" max="3599" width="7.33203125" style="11" bestFit="1" customWidth="1"/>
    <col min="3600" max="3600" width="8.83203125" style="11" bestFit="1" customWidth="1"/>
    <col min="3601" max="3601" width="11.5" style="11" customWidth="1"/>
    <col min="3602" max="3602" width="1.6640625" style="11" customWidth="1"/>
    <col min="3603" max="3603" width="8.6640625" style="11" customWidth="1"/>
    <col min="3604" max="3604" width="10.1640625" style="11" customWidth="1"/>
    <col min="3605" max="3605" width="12.1640625" style="11" customWidth="1"/>
    <col min="3606" max="3606" width="14.1640625" style="11" bestFit="1" customWidth="1"/>
    <col min="3607" max="3607" width="11.33203125" style="11" bestFit="1" customWidth="1"/>
    <col min="3608" max="3608" width="9.6640625" style="11" bestFit="1" customWidth="1"/>
    <col min="3609" max="3609" width="7.6640625" style="11" bestFit="1" customWidth="1"/>
    <col min="3610" max="3610" width="54.1640625" style="11" customWidth="1"/>
    <col min="3611" max="3611" width="19.1640625" style="11" customWidth="1"/>
    <col min="3612" max="3612" width="13.5" style="11" customWidth="1"/>
    <col min="3613" max="3613" width="14.5" style="11" customWidth="1"/>
    <col min="3614" max="3840" width="9.33203125" style="11"/>
    <col min="3841" max="3841" width="18.1640625" style="11" customWidth="1"/>
    <col min="3842" max="3842" width="2" style="11" customWidth="1"/>
    <col min="3843" max="3843" width="12.5" style="11" bestFit="1" customWidth="1"/>
    <col min="3844" max="3844" width="13" style="11" bestFit="1" customWidth="1"/>
    <col min="3845" max="3845" width="9.6640625" style="11" bestFit="1" customWidth="1"/>
    <col min="3846" max="3846" width="8" style="11" bestFit="1" customWidth="1"/>
    <col min="3847" max="3847" width="9" style="11" bestFit="1" customWidth="1"/>
    <col min="3848" max="3848" width="9.6640625" style="11" bestFit="1" customWidth="1"/>
    <col min="3849" max="3849" width="9.6640625" style="11" customWidth="1"/>
    <col min="3850" max="3850" width="13" style="11" bestFit="1" customWidth="1"/>
    <col min="3851" max="3851" width="8.33203125" style="11" bestFit="1" customWidth="1"/>
    <col min="3852" max="3852" width="13.5" style="11" bestFit="1" customWidth="1"/>
    <col min="3853" max="3853" width="7.6640625" style="11" bestFit="1" customWidth="1"/>
    <col min="3854" max="3854" width="6.83203125" style="11" bestFit="1" customWidth="1"/>
    <col min="3855" max="3855" width="7.33203125" style="11" bestFit="1" customWidth="1"/>
    <col min="3856" max="3856" width="8.83203125" style="11" bestFit="1" customWidth="1"/>
    <col min="3857" max="3857" width="11.5" style="11" customWidth="1"/>
    <col min="3858" max="3858" width="1.6640625" style="11" customWidth="1"/>
    <col min="3859" max="3859" width="8.6640625" style="11" customWidth="1"/>
    <col min="3860" max="3860" width="10.1640625" style="11" customWidth="1"/>
    <col min="3861" max="3861" width="12.1640625" style="11" customWidth="1"/>
    <col min="3862" max="3862" width="14.1640625" style="11" bestFit="1" customWidth="1"/>
    <col min="3863" max="3863" width="11.33203125" style="11" bestFit="1" customWidth="1"/>
    <col min="3864" max="3864" width="9.6640625" style="11" bestFit="1" customWidth="1"/>
    <col min="3865" max="3865" width="7.6640625" style="11" bestFit="1" customWidth="1"/>
    <col min="3866" max="3866" width="54.1640625" style="11" customWidth="1"/>
    <col min="3867" max="3867" width="19.1640625" style="11" customWidth="1"/>
    <col min="3868" max="3868" width="13.5" style="11" customWidth="1"/>
    <col min="3869" max="3869" width="14.5" style="11" customWidth="1"/>
    <col min="3870" max="4096" width="9.33203125" style="11"/>
    <col min="4097" max="4097" width="18.1640625" style="11" customWidth="1"/>
    <col min="4098" max="4098" width="2" style="11" customWidth="1"/>
    <col min="4099" max="4099" width="12.5" style="11" bestFit="1" customWidth="1"/>
    <col min="4100" max="4100" width="13" style="11" bestFit="1" customWidth="1"/>
    <col min="4101" max="4101" width="9.6640625" style="11" bestFit="1" customWidth="1"/>
    <col min="4102" max="4102" width="8" style="11" bestFit="1" customWidth="1"/>
    <col min="4103" max="4103" width="9" style="11" bestFit="1" customWidth="1"/>
    <col min="4104" max="4104" width="9.6640625" style="11" bestFit="1" customWidth="1"/>
    <col min="4105" max="4105" width="9.6640625" style="11" customWidth="1"/>
    <col min="4106" max="4106" width="13" style="11" bestFit="1" customWidth="1"/>
    <col min="4107" max="4107" width="8.33203125" style="11" bestFit="1" customWidth="1"/>
    <col min="4108" max="4108" width="13.5" style="11" bestFit="1" customWidth="1"/>
    <col min="4109" max="4109" width="7.6640625" style="11" bestFit="1" customWidth="1"/>
    <col min="4110" max="4110" width="6.83203125" style="11" bestFit="1" customWidth="1"/>
    <col min="4111" max="4111" width="7.33203125" style="11" bestFit="1" customWidth="1"/>
    <col min="4112" max="4112" width="8.83203125" style="11" bestFit="1" customWidth="1"/>
    <col min="4113" max="4113" width="11.5" style="11" customWidth="1"/>
    <col min="4114" max="4114" width="1.6640625" style="11" customWidth="1"/>
    <col min="4115" max="4115" width="8.6640625" style="11" customWidth="1"/>
    <col min="4116" max="4116" width="10.1640625" style="11" customWidth="1"/>
    <col min="4117" max="4117" width="12.1640625" style="11" customWidth="1"/>
    <col min="4118" max="4118" width="14.1640625" style="11" bestFit="1" customWidth="1"/>
    <col min="4119" max="4119" width="11.33203125" style="11" bestFit="1" customWidth="1"/>
    <col min="4120" max="4120" width="9.6640625" style="11" bestFit="1" customWidth="1"/>
    <col min="4121" max="4121" width="7.6640625" style="11" bestFit="1" customWidth="1"/>
    <col min="4122" max="4122" width="54.1640625" style="11" customWidth="1"/>
    <col min="4123" max="4123" width="19.1640625" style="11" customWidth="1"/>
    <col min="4124" max="4124" width="13.5" style="11" customWidth="1"/>
    <col min="4125" max="4125" width="14.5" style="11" customWidth="1"/>
    <col min="4126" max="4352" width="9.33203125" style="11"/>
    <col min="4353" max="4353" width="18.1640625" style="11" customWidth="1"/>
    <col min="4354" max="4354" width="2" style="11" customWidth="1"/>
    <col min="4355" max="4355" width="12.5" style="11" bestFit="1" customWidth="1"/>
    <col min="4356" max="4356" width="13" style="11" bestFit="1" customWidth="1"/>
    <col min="4357" max="4357" width="9.6640625" style="11" bestFit="1" customWidth="1"/>
    <col min="4358" max="4358" width="8" style="11" bestFit="1" customWidth="1"/>
    <col min="4359" max="4359" width="9" style="11" bestFit="1" customWidth="1"/>
    <col min="4360" max="4360" width="9.6640625" style="11" bestFit="1" customWidth="1"/>
    <col min="4361" max="4361" width="9.6640625" style="11" customWidth="1"/>
    <col min="4362" max="4362" width="13" style="11" bestFit="1" customWidth="1"/>
    <col min="4363" max="4363" width="8.33203125" style="11" bestFit="1" customWidth="1"/>
    <col min="4364" max="4364" width="13.5" style="11" bestFit="1" customWidth="1"/>
    <col min="4365" max="4365" width="7.6640625" style="11" bestFit="1" customWidth="1"/>
    <col min="4366" max="4366" width="6.83203125" style="11" bestFit="1" customWidth="1"/>
    <col min="4367" max="4367" width="7.33203125" style="11" bestFit="1" customWidth="1"/>
    <col min="4368" max="4368" width="8.83203125" style="11" bestFit="1" customWidth="1"/>
    <col min="4369" max="4369" width="11.5" style="11" customWidth="1"/>
    <col min="4370" max="4370" width="1.6640625" style="11" customWidth="1"/>
    <col min="4371" max="4371" width="8.6640625" style="11" customWidth="1"/>
    <col min="4372" max="4372" width="10.1640625" style="11" customWidth="1"/>
    <col min="4373" max="4373" width="12.1640625" style="11" customWidth="1"/>
    <col min="4374" max="4374" width="14.1640625" style="11" bestFit="1" customWidth="1"/>
    <col min="4375" max="4375" width="11.33203125" style="11" bestFit="1" customWidth="1"/>
    <col min="4376" max="4376" width="9.6640625" style="11" bestFit="1" customWidth="1"/>
    <col min="4377" max="4377" width="7.6640625" style="11" bestFit="1" customWidth="1"/>
    <col min="4378" max="4378" width="54.1640625" style="11" customWidth="1"/>
    <col min="4379" max="4379" width="19.1640625" style="11" customWidth="1"/>
    <col min="4380" max="4380" width="13.5" style="11" customWidth="1"/>
    <col min="4381" max="4381" width="14.5" style="11" customWidth="1"/>
    <col min="4382" max="4608" width="9.33203125" style="11"/>
    <col min="4609" max="4609" width="18.1640625" style="11" customWidth="1"/>
    <col min="4610" max="4610" width="2" style="11" customWidth="1"/>
    <col min="4611" max="4611" width="12.5" style="11" bestFit="1" customWidth="1"/>
    <col min="4612" max="4612" width="13" style="11" bestFit="1" customWidth="1"/>
    <col min="4613" max="4613" width="9.6640625" style="11" bestFit="1" customWidth="1"/>
    <col min="4614" max="4614" width="8" style="11" bestFit="1" customWidth="1"/>
    <col min="4615" max="4615" width="9" style="11" bestFit="1" customWidth="1"/>
    <col min="4616" max="4616" width="9.6640625" style="11" bestFit="1" customWidth="1"/>
    <col min="4617" max="4617" width="9.6640625" style="11" customWidth="1"/>
    <col min="4618" max="4618" width="13" style="11" bestFit="1" customWidth="1"/>
    <col min="4619" max="4619" width="8.33203125" style="11" bestFit="1" customWidth="1"/>
    <col min="4620" max="4620" width="13.5" style="11" bestFit="1" customWidth="1"/>
    <col min="4621" max="4621" width="7.6640625" style="11" bestFit="1" customWidth="1"/>
    <col min="4622" max="4622" width="6.83203125" style="11" bestFit="1" customWidth="1"/>
    <col min="4623" max="4623" width="7.33203125" style="11" bestFit="1" customWidth="1"/>
    <col min="4624" max="4624" width="8.83203125" style="11" bestFit="1" customWidth="1"/>
    <col min="4625" max="4625" width="11.5" style="11" customWidth="1"/>
    <col min="4626" max="4626" width="1.6640625" style="11" customWidth="1"/>
    <col min="4627" max="4627" width="8.6640625" style="11" customWidth="1"/>
    <col min="4628" max="4628" width="10.1640625" style="11" customWidth="1"/>
    <col min="4629" max="4629" width="12.1640625" style="11" customWidth="1"/>
    <col min="4630" max="4630" width="14.1640625" style="11" bestFit="1" customWidth="1"/>
    <col min="4631" max="4631" width="11.33203125" style="11" bestFit="1" customWidth="1"/>
    <col min="4632" max="4632" width="9.6640625" style="11" bestFit="1" customWidth="1"/>
    <col min="4633" max="4633" width="7.6640625" style="11" bestFit="1" customWidth="1"/>
    <col min="4634" max="4634" width="54.1640625" style="11" customWidth="1"/>
    <col min="4635" max="4635" width="19.1640625" style="11" customWidth="1"/>
    <col min="4636" max="4636" width="13.5" style="11" customWidth="1"/>
    <col min="4637" max="4637" width="14.5" style="11" customWidth="1"/>
    <col min="4638" max="4864" width="9.33203125" style="11"/>
    <col min="4865" max="4865" width="18.1640625" style="11" customWidth="1"/>
    <col min="4866" max="4866" width="2" style="11" customWidth="1"/>
    <col min="4867" max="4867" width="12.5" style="11" bestFit="1" customWidth="1"/>
    <col min="4868" max="4868" width="13" style="11" bestFit="1" customWidth="1"/>
    <col min="4869" max="4869" width="9.6640625" style="11" bestFit="1" customWidth="1"/>
    <col min="4870" max="4870" width="8" style="11" bestFit="1" customWidth="1"/>
    <col min="4871" max="4871" width="9" style="11" bestFit="1" customWidth="1"/>
    <col min="4872" max="4872" width="9.6640625" style="11" bestFit="1" customWidth="1"/>
    <col min="4873" max="4873" width="9.6640625" style="11" customWidth="1"/>
    <col min="4874" max="4874" width="13" style="11" bestFit="1" customWidth="1"/>
    <col min="4875" max="4875" width="8.33203125" style="11" bestFit="1" customWidth="1"/>
    <col min="4876" max="4876" width="13.5" style="11" bestFit="1" customWidth="1"/>
    <col min="4877" max="4877" width="7.6640625" style="11" bestFit="1" customWidth="1"/>
    <col min="4878" max="4878" width="6.83203125" style="11" bestFit="1" customWidth="1"/>
    <col min="4879" max="4879" width="7.33203125" style="11" bestFit="1" customWidth="1"/>
    <col min="4880" max="4880" width="8.83203125" style="11" bestFit="1" customWidth="1"/>
    <col min="4881" max="4881" width="11.5" style="11" customWidth="1"/>
    <col min="4882" max="4882" width="1.6640625" style="11" customWidth="1"/>
    <col min="4883" max="4883" width="8.6640625" style="11" customWidth="1"/>
    <col min="4884" max="4884" width="10.1640625" style="11" customWidth="1"/>
    <col min="4885" max="4885" width="12.1640625" style="11" customWidth="1"/>
    <col min="4886" max="4886" width="14.1640625" style="11" bestFit="1" customWidth="1"/>
    <col min="4887" max="4887" width="11.33203125" style="11" bestFit="1" customWidth="1"/>
    <col min="4888" max="4888" width="9.6640625" style="11" bestFit="1" customWidth="1"/>
    <col min="4889" max="4889" width="7.6640625" style="11" bestFit="1" customWidth="1"/>
    <col min="4890" max="4890" width="54.1640625" style="11" customWidth="1"/>
    <col min="4891" max="4891" width="19.1640625" style="11" customWidth="1"/>
    <col min="4892" max="4892" width="13.5" style="11" customWidth="1"/>
    <col min="4893" max="4893" width="14.5" style="11" customWidth="1"/>
    <col min="4894" max="5120" width="9.33203125" style="11"/>
    <col min="5121" max="5121" width="18.1640625" style="11" customWidth="1"/>
    <col min="5122" max="5122" width="2" style="11" customWidth="1"/>
    <col min="5123" max="5123" width="12.5" style="11" bestFit="1" customWidth="1"/>
    <col min="5124" max="5124" width="13" style="11" bestFit="1" customWidth="1"/>
    <col min="5125" max="5125" width="9.6640625" style="11" bestFit="1" customWidth="1"/>
    <col min="5126" max="5126" width="8" style="11" bestFit="1" customWidth="1"/>
    <col min="5127" max="5127" width="9" style="11" bestFit="1" customWidth="1"/>
    <col min="5128" max="5128" width="9.6640625" style="11" bestFit="1" customWidth="1"/>
    <col min="5129" max="5129" width="9.6640625" style="11" customWidth="1"/>
    <col min="5130" max="5130" width="13" style="11" bestFit="1" customWidth="1"/>
    <col min="5131" max="5131" width="8.33203125" style="11" bestFit="1" customWidth="1"/>
    <col min="5132" max="5132" width="13.5" style="11" bestFit="1" customWidth="1"/>
    <col min="5133" max="5133" width="7.6640625" style="11" bestFit="1" customWidth="1"/>
    <col min="5134" max="5134" width="6.83203125" style="11" bestFit="1" customWidth="1"/>
    <col min="5135" max="5135" width="7.33203125" style="11" bestFit="1" customWidth="1"/>
    <col min="5136" max="5136" width="8.83203125" style="11" bestFit="1" customWidth="1"/>
    <col min="5137" max="5137" width="11.5" style="11" customWidth="1"/>
    <col min="5138" max="5138" width="1.6640625" style="11" customWidth="1"/>
    <col min="5139" max="5139" width="8.6640625" style="11" customWidth="1"/>
    <col min="5140" max="5140" width="10.1640625" style="11" customWidth="1"/>
    <col min="5141" max="5141" width="12.1640625" style="11" customWidth="1"/>
    <col min="5142" max="5142" width="14.1640625" style="11" bestFit="1" customWidth="1"/>
    <col min="5143" max="5143" width="11.33203125" style="11" bestFit="1" customWidth="1"/>
    <col min="5144" max="5144" width="9.6640625" style="11" bestFit="1" customWidth="1"/>
    <col min="5145" max="5145" width="7.6640625" style="11" bestFit="1" customWidth="1"/>
    <col min="5146" max="5146" width="54.1640625" style="11" customWidth="1"/>
    <col min="5147" max="5147" width="19.1640625" style="11" customWidth="1"/>
    <col min="5148" max="5148" width="13.5" style="11" customWidth="1"/>
    <col min="5149" max="5149" width="14.5" style="11" customWidth="1"/>
    <col min="5150" max="5376" width="9.33203125" style="11"/>
    <col min="5377" max="5377" width="18.1640625" style="11" customWidth="1"/>
    <col min="5378" max="5378" width="2" style="11" customWidth="1"/>
    <col min="5379" max="5379" width="12.5" style="11" bestFit="1" customWidth="1"/>
    <col min="5380" max="5380" width="13" style="11" bestFit="1" customWidth="1"/>
    <col min="5381" max="5381" width="9.6640625" style="11" bestFit="1" customWidth="1"/>
    <col min="5382" max="5382" width="8" style="11" bestFit="1" customWidth="1"/>
    <col min="5383" max="5383" width="9" style="11" bestFit="1" customWidth="1"/>
    <col min="5384" max="5384" width="9.6640625" style="11" bestFit="1" customWidth="1"/>
    <col min="5385" max="5385" width="9.6640625" style="11" customWidth="1"/>
    <col min="5386" max="5386" width="13" style="11" bestFit="1" customWidth="1"/>
    <col min="5387" max="5387" width="8.33203125" style="11" bestFit="1" customWidth="1"/>
    <col min="5388" max="5388" width="13.5" style="11" bestFit="1" customWidth="1"/>
    <col min="5389" max="5389" width="7.6640625" style="11" bestFit="1" customWidth="1"/>
    <col min="5390" max="5390" width="6.83203125" style="11" bestFit="1" customWidth="1"/>
    <col min="5391" max="5391" width="7.33203125" style="11" bestFit="1" customWidth="1"/>
    <col min="5392" max="5392" width="8.83203125" style="11" bestFit="1" customWidth="1"/>
    <col min="5393" max="5393" width="11.5" style="11" customWidth="1"/>
    <col min="5394" max="5394" width="1.6640625" style="11" customWidth="1"/>
    <col min="5395" max="5395" width="8.6640625" style="11" customWidth="1"/>
    <col min="5396" max="5396" width="10.1640625" style="11" customWidth="1"/>
    <col min="5397" max="5397" width="12.1640625" style="11" customWidth="1"/>
    <col min="5398" max="5398" width="14.1640625" style="11" bestFit="1" customWidth="1"/>
    <col min="5399" max="5399" width="11.33203125" style="11" bestFit="1" customWidth="1"/>
    <col min="5400" max="5400" width="9.6640625" style="11" bestFit="1" customWidth="1"/>
    <col min="5401" max="5401" width="7.6640625" style="11" bestFit="1" customWidth="1"/>
    <col min="5402" max="5402" width="54.1640625" style="11" customWidth="1"/>
    <col min="5403" max="5403" width="19.1640625" style="11" customWidth="1"/>
    <col min="5404" max="5404" width="13.5" style="11" customWidth="1"/>
    <col min="5405" max="5405" width="14.5" style="11" customWidth="1"/>
    <col min="5406" max="5632" width="9.33203125" style="11"/>
    <col min="5633" max="5633" width="18.1640625" style="11" customWidth="1"/>
    <col min="5634" max="5634" width="2" style="11" customWidth="1"/>
    <col min="5635" max="5635" width="12.5" style="11" bestFit="1" customWidth="1"/>
    <col min="5636" max="5636" width="13" style="11" bestFit="1" customWidth="1"/>
    <col min="5637" max="5637" width="9.6640625" style="11" bestFit="1" customWidth="1"/>
    <col min="5638" max="5638" width="8" style="11" bestFit="1" customWidth="1"/>
    <col min="5639" max="5639" width="9" style="11" bestFit="1" customWidth="1"/>
    <col min="5640" max="5640" width="9.6640625" style="11" bestFit="1" customWidth="1"/>
    <col min="5641" max="5641" width="9.6640625" style="11" customWidth="1"/>
    <col min="5642" max="5642" width="13" style="11" bestFit="1" customWidth="1"/>
    <col min="5643" max="5643" width="8.33203125" style="11" bestFit="1" customWidth="1"/>
    <col min="5644" max="5644" width="13.5" style="11" bestFit="1" customWidth="1"/>
    <col min="5645" max="5645" width="7.6640625" style="11" bestFit="1" customWidth="1"/>
    <col min="5646" max="5646" width="6.83203125" style="11" bestFit="1" customWidth="1"/>
    <col min="5647" max="5647" width="7.33203125" style="11" bestFit="1" customWidth="1"/>
    <col min="5648" max="5648" width="8.83203125" style="11" bestFit="1" customWidth="1"/>
    <col min="5649" max="5649" width="11.5" style="11" customWidth="1"/>
    <col min="5650" max="5650" width="1.6640625" style="11" customWidth="1"/>
    <col min="5651" max="5651" width="8.6640625" style="11" customWidth="1"/>
    <col min="5652" max="5652" width="10.1640625" style="11" customWidth="1"/>
    <col min="5653" max="5653" width="12.1640625" style="11" customWidth="1"/>
    <col min="5654" max="5654" width="14.1640625" style="11" bestFit="1" customWidth="1"/>
    <col min="5655" max="5655" width="11.33203125" style="11" bestFit="1" customWidth="1"/>
    <col min="5656" max="5656" width="9.6640625" style="11" bestFit="1" customWidth="1"/>
    <col min="5657" max="5657" width="7.6640625" style="11" bestFit="1" customWidth="1"/>
    <col min="5658" max="5658" width="54.1640625" style="11" customWidth="1"/>
    <col min="5659" max="5659" width="19.1640625" style="11" customWidth="1"/>
    <col min="5660" max="5660" width="13.5" style="11" customWidth="1"/>
    <col min="5661" max="5661" width="14.5" style="11" customWidth="1"/>
    <col min="5662" max="5888" width="9.33203125" style="11"/>
    <col min="5889" max="5889" width="18.1640625" style="11" customWidth="1"/>
    <col min="5890" max="5890" width="2" style="11" customWidth="1"/>
    <col min="5891" max="5891" width="12.5" style="11" bestFit="1" customWidth="1"/>
    <col min="5892" max="5892" width="13" style="11" bestFit="1" customWidth="1"/>
    <col min="5893" max="5893" width="9.6640625" style="11" bestFit="1" customWidth="1"/>
    <col min="5894" max="5894" width="8" style="11" bestFit="1" customWidth="1"/>
    <col min="5895" max="5895" width="9" style="11" bestFit="1" customWidth="1"/>
    <col min="5896" max="5896" width="9.6640625" style="11" bestFit="1" customWidth="1"/>
    <col min="5897" max="5897" width="9.6640625" style="11" customWidth="1"/>
    <col min="5898" max="5898" width="13" style="11" bestFit="1" customWidth="1"/>
    <col min="5899" max="5899" width="8.33203125" style="11" bestFit="1" customWidth="1"/>
    <col min="5900" max="5900" width="13.5" style="11" bestFit="1" customWidth="1"/>
    <col min="5901" max="5901" width="7.6640625" style="11" bestFit="1" customWidth="1"/>
    <col min="5902" max="5902" width="6.83203125" style="11" bestFit="1" customWidth="1"/>
    <col min="5903" max="5903" width="7.33203125" style="11" bestFit="1" customWidth="1"/>
    <col min="5904" max="5904" width="8.83203125" style="11" bestFit="1" customWidth="1"/>
    <col min="5905" max="5905" width="11.5" style="11" customWidth="1"/>
    <col min="5906" max="5906" width="1.6640625" style="11" customWidth="1"/>
    <col min="5907" max="5907" width="8.6640625" style="11" customWidth="1"/>
    <col min="5908" max="5908" width="10.1640625" style="11" customWidth="1"/>
    <col min="5909" max="5909" width="12.1640625" style="11" customWidth="1"/>
    <col min="5910" max="5910" width="14.1640625" style="11" bestFit="1" customWidth="1"/>
    <col min="5911" max="5911" width="11.33203125" style="11" bestFit="1" customWidth="1"/>
    <col min="5912" max="5912" width="9.6640625" style="11" bestFit="1" customWidth="1"/>
    <col min="5913" max="5913" width="7.6640625" style="11" bestFit="1" customWidth="1"/>
    <col min="5914" max="5914" width="54.1640625" style="11" customWidth="1"/>
    <col min="5915" max="5915" width="19.1640625" style="11" customWidth="1"/>
    <col min="5916" max="5916" width="13.5" style="11" customWidth="1"/>
    <col min="5917" max="5917" width="14.5" style="11" customWidth="1"/>
    <col min="5918" max="6144" width="9.33203125" style="11"/>
    <col min="6145" max="6145" width="18.1640625" style="11" customWidth="1"/>
    <col min="6146" max="6146" width="2" style="11" customWidth="1"/>
    <col min="6147" max="6147" width="12.5" style="11" bestFit="1" customWidth="1"/>
    <col min="6148" max="6148" width="13" style="11" bestFit="1" customWidth="1"/>
    <col min="6149" max="6149" width="9.6640625" style="11" bestFit="1" customWidth="1"/>
    <col min="6150" max="6150" width="8" style="11" bestFit="1" customWidth="1"/>
    <col min="6151" max="6151" width="9" style="11" bestFit="1" customWidth="1"/>
    <col min="6152" max="6152" width="9.6640625" style="11" bestFit="1" customWidth="1"/>
    <col min="6153" max="6153" width="9.6640625" style="11" customWidth="1"/>
    <col min="6154" max="6154" width="13" style="11" bestFit="1" customWidth="1"/>
    <col min="6155" max="6155" width="8.33203125" style="11" bestFit="1" customWidth="1"/>
    <col min="6156" max="6156" width="13.5" style="11" bestFit="1" customWidth="1"/>
    <col min="6157" max="6157" width="7.6640625" style="11" bestFit="1" customWidth="1"/>
    <col min="6158" max="6158" width="6.83203125" style="11" bestFit="1" customWidth="1"/>
    <col min="6159" max="6159" width="7.33203125" style="11" bestFit="1" customWidth="1"/>
    <col min="6160" max="6160" width="8.83203125" style="11" bestFit="1" customWidth="1"/>
    <col min="6161" max="6161" width="11.5" style="11" customWidth="1"/>
    <col min="6162" max="6162" width="1.6640625" style="11" customWidth="1"/>
    <col min="6163" max="6163" width="8.6640625" style="11" customWidth="1"/>
    <col min="6164" max="6164" width="10.1640625" style="11" customWidth="1"/>
    <col min="6165" max="6165" width="12.1640625" style="11" customWidth="1"/>
    <col min="6166" max="6166" width="14.1640625" style="11" bestFit="1" customWidth="1"/>
    <col min="6167" max="6167" width="11.33203125" style="11" bestFit="1" customWidth="1"/>
    <col min="6168" max="6168" width="9.6640625" style="11" bestFit="1" customWidth="1"/>
    <col min="6169" max="6169" width="7.6640625" style="11" bestFit="1" customWidth="1"/>
    <col min="6170" max="6170" width="54.1640625" style="11" customWidth="1"/>
    <col min="6171" max="6171" width="19.1640625" style="11" customWidth="1"/>
    <col min="6172" max="6172" width="13.5" style="11" customWidth="1"/>
    <col min="6173" max="6173" width="14.5" style="11" customWidth="1"/>
    <col min="6174" max="6400" width="9.33203125" style="11"/>
    <col min="6401" max="6401" width="18.1640625" style="11" customWidth="1"/>
    <col min="6402" max="6402" width="2" style="11" customWidth="1"/>
    <col min="6403" max="6403" width="12.5" style="11" bestFit="1" customWidth="1"/>
    <col min="6404" max="6404" width="13" style="11" bestFit="1" customWidth="1"/>
    <col min="6405" max="6405" width="9.6640625" style="11" bestFit="1" customWidth="1"/>
    <col min="6406" max="6406" width="8" style="11" bestFit="1" customWidth="1"/>
    <col min="6407" max="6407" width="9" style="11" bestFit="1" customWidth="1"/>
    <col min="6408" max="6408" width="9.6640625" style="11" bestFit="1" customWidth="1"/>
    <col min="6409" max="6409" width="9.6640625" style="11" customWidth="1"/>
    <col min="6410" max="6410" width="13" style="11" bestFit="1" customWidth="1"/>
    <col min="6411" max="6411" width="8.33203125" style="11" bestFit="1" customWidth="1"/>
    <col min="6412" max="6412" width="13.5" style="11" bestFit="1" customWidth="1"/>
    <col min="6413" max="6413" width="7.6640625" style="11" bestFit="1" customWidth="1"/>
    <col min="6414" max="6414" width="6.83203125" style="11" bestFit="1" customWidth="1"/>
    <col min="6415" max="6415" width="7.33203125" style="11" bestFit="1" customWidth="1"/>
    <col min="6416" max="6416" width="8.83203125" style="11" bestFit="1" customWidth="1"/>
    <col min="6417" max="6417" width="11.5" style="11" customWidth="1"/>
    <col min="6418" max="6418" width="1.6640625" style="11" customWidth="1"/>
    <col min="6419" max="6419" width="8.6640625" style="11" customWidth="1"/>
    <col min="6420" max="6420" width="10.1640625" style="11" customWidth="1"/>
    <col min="6421" max="6421" width="12.1640625" style="11" customWidth="1"/>
    <col min="6422" max="6422" width="14.1640625" style="11" bestFit="1" customWidth="1"/>
    <col min="6423" max="6423" width="11.33203125" style="11" bestFit="1" customWidth="1"/>
    <col min="6424" max="6424" width="9.6640625" style="11" bestFit="1" customWidth="1"/>
    <col min="6425" max="6425" width="7.6640625" style="11" bestFit="1" customWidth="1"/>
    <col min="6426" max="6426" width="54.1640625" style="11" customWidth="1"/>
    <col min="6427" max="6427" width="19.1640625" style="11" customWidth="1"/>
    <col min="6428" max="6428" width="13.5" style="11" customWidth="1"/>
    <col min="6429" max="6429" width="14.5" style="11" customWidth="1"/>
    <col min="6430" max="6656" width="9.33203125" style="11"/>
    <col min="6657" max="6657" width="18.1640625" style="11" customWidth="1"/>
    <col min="6658" max="6658" width="2" style="11" customWidth="1"/>
    <col min="6659" max="6659" width="12.5" style="11" bestFit="1" customWidth="1"/>
    <col min="6660" max="6660" width="13" style="11" bestFit="1" customWidth="1"/>
    <col min="6661" max="6661" width="9.6640625" style="11" bestFit="1" customWidth="1"/>
    <col min="6662" max="6662" width="8" style="11" bestFit="1" customWidth="1"/>
    <col min="6663" max="6663" width="9" style="11" bestFit="1" customWidth="1"/>
    <col min="6664" max="6664" width="9.6640625" style="11" bestFit="1" customWidth="1"/>
    <col min="6665" max="6665" width="9.6640625" style="11" customWidth="1"/>
    <col min="6666" max="6666" width="13" style="11" bestFit="1" customWidth="1"/>
    <col min="6667" max="6667" width="8.33203125" style="11" bestFit="1" customWidth="1"/>
    <col min="6668" max="6668" width="13.5" style="11" bestFit="1" customWidth="1"/>
    <col min="6669" max="6669" width="7.6640625" style="11" bestFit="1" customWidth="1"/>
    <col min="6670" max="6670" width="6.83203125" style="11" bestFit="1" customWidth="1"/>
    <col min="6671" max="6671" width="7.33203125" style="11" bestFit="1" customWidth="1"/>
    <col min="6672" max="6672" width="8.83203125" style="11" bestFit="1" customWidth="1"/>
    <col min="6673" max="6673" width="11.5" style="11" customWidth="1"/>
    <col min="6674" max="6674" width="1.6640625" style="11" customWidth="1"/>
    <col min="6675" max="6675" width="8.6640625" style="11" customWidth="1"/>
    <col min="6676" max="6676" width="10.1640625" style="11" customWidth="1"/>
    <col min="6677" max="6677" width="12.1640625" style="11" customWidth="1"/>
    <col min="6678" max="6678" width="14.1640625" style="11" bestFit="1" customWidth="1"/>
    <col min="6679" max="6679" width="11.33203125" style="11" bestFit="1" customWidth="1"/>
    <col min="6680" max="6680" width="9.6640625" style="11" bestFit="1" customWidth="1"/>
    <col min="6681" max="6681" width="7.6640625" style="11" bestFit="1" customWidth="1"/>
    <col min="6682" max="6682" width="54.1640625" style="11" customWidth="1"/>
    <col min="6683" max="6683" width="19.1640625" style="11" customWidth="1"/>
    <col min="6684" max="6684" width="13.5" style="11" customWidth="1"/>
    <col min="6685" max="6685" width="14.5" style="11" customWidth="1"/>
    <col min="6686" max="6912" width="9.33203125" style="11"/>
    <col min="6913" max="6913" width="18.1640625" style="11" customWidth="1"/>
    <col min="6914" max="6914" width="2" style="11" customWidth="1"/>
    <col min="6915" max="6915" width="12.5" style="11" bestFit="1" customWidth="1"/>
    <col min="6916" max="6916" width="13" style="11" bestFit="1" customWidth="1"/>
    <col min="6917" max="6917" width="9.6640625" style="11" bestFit="1" customWidth="1"/>
    <col min="6918" max="6918" width="8" style="11" bestFit="1" customWidth="1"/>
    <col min="6919" max="6919" width="9" style="11" bestFit="1" customWidth="1"/>
    <col min="6920" max="6920" width="9.6640625" style="11" bestFit="1" customWidth="1"/>
    <col min="6921" max="6921" width="9.6640625" style="11" customWidth="1"/>
    <col min="6922" max="6922" width="13" style="11" bestFit="1" customWidth="1"/>
    <col min="6923" max="6923" width="8.33203125" style="11" bestFit="1" customWidth="1"/>
    <col min="6924" max="6924" width="13.5" style="11" bestFit="1" customWidth="1"/>
    <col min="6925" max="6925" width="7.6640625" style="11" bestFit="1" customWidth="1"/>
    <col min="6926" max="6926" width="6.83203125" style="11" bestFit="1" customWidth="1"/>
    <col min="6927" max="6927" width="7.33203125" style="11" bestFit="1" customWidth="1"/>
    <col min="6928" max="6928" width="8.83203125" style="11" bestFit="1" customWidth="1"/>
    <col min="6929" max="6929" width="11.5" style="11" customWidth="1"/>
    <col min="6930" max="6930" width="1.6640625" style="11" customWidth="1"/>
    <col min="6931" max="6931" width="8.6640625" style="11" customWidth="1"/>
    <col min="6932" max="6932" width="10.1640625" style="11" customWidth="1"/>
    <col min="6933" max="6933" width="12.1640625" style="11" customWidth="1"/>
    <col min="6934" max="6934" width="14.1640625" style="11" bestFit="1" customWidth="1"/>
    <col min="6935" max="6935" width="11.33203125" style="11" bestFit="1" customWidth="1"/>
    <col min="6936" max="6936" width="9.6640625" style="11" bestFit="1" customWidth="1"/>
    <col min="6937" max="6937" width="7.6640625" style="11" bestFit="1" customWidth="1"/>
    <col min="6938" max="6938" width="54.1640625" style="11" customWidth="1"/>
    <col min="6939" max="6939" width="19.1640625" style="11" customWidth="1"/>
    <col min="6940" max="6940" width="13.5" style="11" customWidth="1"/>
    <col min="6941" max="6941" width="14.5" style="11" customWidth="1"/>
    <col min="6942" max="7168" width="9.33203125" style="11"/>
    <col min="7169" max="7169" width="18.1640625" style="11" customWidth="1"/>
    <col min="7170" max="7170" width="2" style="11" customWidth="1"/>
    <col min="7171" max="7171" width="12.5" style="11" bestFit="1" customWidth="1"/>
    <col min="7172" max="7172" width="13" style="11" bestFit="1" customWidth="1"/>
    <col min="7173" max="7173" width="9.6640625" style="11" bestFit="1" customWidth="1"/>
    <col min="7174" max="7174" width="8" style="11" bestFit="1" customWidth="1"/>
    <col min="7175" max="7175" width="9" style="11" bestFit="1" customWidth="1"/>
    <col min="7176" max="7176" width="9.6640625" style="11" bestFit="1" customWidth="1"/>
    <col min="7177" max="7177" width="9.6640625" style="11" customWidth="1"/>
    <col min="7178" max="7178" width="13" style="11" bestFit="1" customWidth="1"/>
    <col min="7179" max="7179" width="8.33203125" style="11" bestFit="1" customWidth="1"/>
    <col min="7180" max="7180" width="13.5" style="11" bestFit="1" customWidth="1"/>
    <col min="7181" max="7181" width="7.6640625" style="11" bestFit="1" customWidth="1"/>
    <col min="7182" max="7182" width="6.83203125" style="11" bestFit="1" customWidth="1"/>
    <col min="7183" max="7183" width="7.33203125" style="11" bestFit="1" customWidth="1"/>
    <col min="7184" max="7184" width="8.83203125" style="11" bestFit="1" customWidth="1"/>
    <col min="7185" max="7185" width="11.5" style="11" customWidth="1"/>
    <col min="7186" max="7186" width="1.6640625" style="11" customWidth="1"/>
    <col min="7187" max="7187" width="8.6640625" style="11" customWidth="1"/>
    <col min="7188" max="7188" width="10.1640625" style="11" customWidth="1"/>
    <col min="7189" max="7189" width="12.1640625" style="11" customWidth="1"/>
    <col min="7190" max="7190" width="14.1640625" style="11" bestFit="1" customWidth="1"/>
    <col min="7191" max="7191" width="11.33203125" style="11" bestFit="1" customWidth="1"/>
    <col min="7192" max="7192" width="9.6640625" style="11" bestFit="1" customWidth="1"/>
    <col min="7193" max="7193" width="7.6640625" style="11" bestFit="1" customWidth="1"/>
    <col min="7194" max="7194" width="54.1640625" style="11" customWidth="1"/>
    <col min="7195" max="7195" width="19.1640625" style="11" customWidth="1"/>
    <col min="7196" max="7196" width="13.5" style="11" customWidth="1"/>
    <col min="7197" max="7197" width="14.5" style="11" customWidth="1"/>
    <col min="7198" max="7424" width="9.33203125" style="11"/>
    <col min="7425" max="7425" width="18.1640625" style="11" customWidth="1"/>
    <col min="7426" max="7426" width="2" style="11" customWidth="1"/>
    <col min="7427" max="7427" width="12.5" style="11" bestFit="1" customWidth="1"/>
    <col min="7428" max="7428" width="13" style="11" bestFit="1" customWidth="1"/>
    <col min="7429" max="7429" width="9.6640625" style="11" bestFit="1" customWidth="1"/>
    <col min="7430" max="7430" width="8" style="11" bestFit="1" customWidth="1"/>
    <col min="7431" max="7431" width="9" style="11" bestFit="1" customWidth="1"/>
    <col min="7432" max="7432" width="9.6640625" style="11" bestFit="1" customWidth="1"/>
    <col min="7433" max="7433" width="9.6640625" style="11" customWidth="1"/>
    <col min="7434" max="7434" width="13" style="11" bestFit="1" customWidth="1"/>
    <col min="7435" max="7435" width="8.33203125" style="11" bestFit="1" customWidth="1"/>
    <col min="7436" max="7436" width="13.5" style="11" bestFit="1" customWidth="1"/>
    <col min="7437" max="7437" width="7.6640625" style="11" bestFit="1" customWidth="1"/>
    <col min="7438" max="7438" width="6.83203125" style="11" bestFit="1" customWidth="1"/>
    <col min="7439" max="7439" width="7.33203125" style="11" bestFit="1" customWidth="1"/>
    <col min="7440" max="7440" width="8.83203125" style="11" bestFit="1" customWidth="1"/>
    <col min="7441" max="7441" width="11.5" style="11" customWidth="1"/>
    <col min="7442" max="7442" width="1.6640625" style="11" customWidth="1"/>
    <col min="7443" max="7443" width="8.6640625" style="11" customWidth="1"/>
    <col min="7444" max="7444" width="10.1640625" style="11" customWidth="1"/>
    <col min="7445" max="7445" width="12.1640625" style="11" customWidth="1"/>
    <col min="7446" max="7446" width="14.1640625" style="11" bestFit="1" customWidth="1"/>
    <col min="7447" max="7447" width="11.33203125" style="11" bestFit="1" customWidth="1"/>
    <col min="7448" max="7448" width="9.6640625" style="11" bestFit="1" customWidth="1"/>
    <col min="7449" max="7449" width="7.6640625" style="11" bestFit="1" customWidth="1"/>
    <col min="7450" max="7450" width="54.1640625" style="11" customWidth="1"/>
    <col min="7451" max="7451" width="19.1640625" style="11" customWidth="1"/>
    <col min="7452" max="7452" width="13.5" style="11" customWidth="1"/>
    <col min="7453" max="7453" width="14.5" style="11" customWidth="1"/>
    <col min="7454" max="7680" width="9.33203125" style="11"/>
    <col min="7681" max="7681" width="18.1640625" style="11" customWidth="1"/>
    <col min="7682" max="7682" width="2" style="11" customWidth="1"/>
    <col min="7683" max="7683" width="12.5" style="11" bestFit="1" customWidth="1"/>
    <col min="7684" max="7684" width="13" style="11" bestFit="1" customWidth="1"/>
    <col min="7685" max="7685" width="9.6640625" style="11" bestFit="1" customWidth="1"/>
    <col min="7686" max="7686" width="8" style="11" bestFit="1" customWidth="1"/>
    <col min="7687" max="7687" width="9" style="11" bestFit="1" customWidth="1"/>
    <col min="7688" max="7688" width="9.6640625" style="11" bestFit="1" customWidth="1"/>
    <col min="7689" max="7689" width="9.6640625" style="11" customWidth="1"/>
    <col min="7690" max="7690" width="13" style="11" bestFit="1" customWidth="1"/>
    <col min="7691" max="7691" width="8.33203125" style="11" bestFit="1" customWidth="1"/>
    <col min="7692" max="7692" width="13.5" style="11" bestFit="1" customWidth="1"/>
    <col min="7693" max="7693" width="7.6640625" style="11" bestFit="1" customWidth="1"/>
    <col min="7694" max="7694" width="6.83203125" style="11" bestFit="1" customWidth="1"/>
    <col min="7695" max="7695" width="7.33203125" style="11" bestFit="1" customWidth="1"/>
    <col min="7696" max="7696" width="8.83203125" style="11" bestFit="1" customWidth="1"/>
    <col min="7697" max="7697" width="11.5" style="11" customWidth="1"/>
    <col min="7698" max="7698" width="1.6640625" style="11" customWidth="1"/>
    <col min="7699" max="7699" width="8.6640625" style="11" customWidth="1"/>
    <col min="7700" max="7700" width="10.1640625" style="11" customWidth="1"/>
    <col min="7701" max="7701" width="12.1640625" style="11" customWidth="1"/>
    <col min="7702" max="7702" width="14.1640625" style="11" bestFit="1" customWidth="1"/>
    <col min="7703" max="7703" width="11.33203125" style="11" bestFit="1" customWidth="1"/>
    <col min="7704" max="7704" width="9.6640625" style="11" bestFit="1" customWidth="1"/>
    <col min="7705" max="7705" width="7.6640625" style="11" bestFit="1" customWidth="1"/>
    <col min="7706" max="7706" width="54.1640625" style="11" customWidth="1"/>
    <col min="7707" max="7707" width="19.1640625" style="11" customWidth="1"/>
    <col min="7708" max="7708" width="13.5" style="11" customWidth="1"/>
    <col min="7709" max="7709" width="14.5" style="11" customWidth="1"/>
    <col min="7710" max="7936" width="9.33203125" style="11"/>
    <col min="7937" max="7937" width="18.1640625" style="11" customWidth="1"/>
    <col min="7938" max="7938" width="2" style="11" customWidth="1"/>
    <col min="7939" max="7939" width="12.5" style="11" bestFit="1" customWidth="1"/>
    <col min="7940" max="7940" width="13" style="11" bestFit="1" customWidth="1"/>
    <col min="7941" max="7941" width="9.6640625" style="11" bestFit="1" customWidth="1"/>
    <col min="7942" max="7942" width="8" style="11" bestFit="1" customWidth="1"/>
    <col min="7943" max="7943" width="9" style="11" bestFit="1" customWidth="1"/>
    <col min="7944" max="7944" width="9.6640625" style="11" bestFit="1" customWidth="1"/>
    <col min="7945" max="7945" width="9.6640625" style="11" customWidth="1"/>
    <col min="7946" max="7946" width="13" style="11" bestFit="1" customWidth="1"/>
    <col min="7947" max="7947" width="8.33203125" style="11" bestFit="1" customWidth="1"/>
    <col min="7948" max="7948" width="13.5" style="11" bestFit="1" customWidth="1"/>
    <col min="7949" max="7949" width="7.6640625" style="11" bestFit="1" customWidth="1"/>
    <col min="7950" max="7950" width="6.83203125" style="11" bestFit="1" customWidth="1"/>
    <col min="7951" max="7951" width="7.33203125" style="11" bestFit="1" customWidth="1"/>
    <col min="7952" max="7952" width="8.83203125" style="11" bestFit="1" customWidth="1"/>
    <col min="7953" max="7953" width="11.5" style="11" customWidth="1"/>
    <col min="7954" max="7954" width="1.6640625" style="11" customWidth="1"/>
    <col min="7955" max="7955" width="8.6640625" style="11" customWidth="1"/>
    <col min="7956" max="7956" width="10.1640625" style="11" customWidth="1"/>
    <col min="7957" max="7957" width="12.1640625" style="11" customWidth="1"/>
    <col min="7958" max="7958" width="14.1640625" style="11" bestFit="1" customWidth="1"/>
    <col min="7959" max="7959" width="11.33203125" style="11" bestFit="1" customWidth="1"/>
    <col min="7960" max="7960" width="9.6640625" style="11" bestFit="1" customWidth="1"/>
    <col min="7961" max="7961" width="7.6640625" style="11" bestFit="1" customWidth="1"/>
    <col min="7962" max="7962" width="54.1640625" style="11" customWidth="1"/>
    <col min="7963" max="7963" width="19.1640625" style="11" customWidth="1"/>
    <col min="7964" max="7964" width="13.5" style="11" customWidth="1"/>
    <col min="7965" max="7965" width="14.5" style="11" customWidth="1"/>
    <col min="7966" max="8192" width="9.33203125" style="11"/>
    <col min="8193" max="8193" width="18.1640625" style="11" customWidth="1"/>
    <col min="8194" max="8194" width="2" style="11" customWidth="1"/>
    <col min="8195" max="8195" width="12.5" style="11" bestFit="1" customWidth="1"/>
    <col min="8196" max="8196" width="13" style="11" bestFit="1" customWidth="1"/>
    <col min="8197" max="8197" width="9.6640625" style="11" bestFit="1" customWidth="1"/>
    <col min="8198" max="8198" width="8" style="11" bestFit="1" customWidth="1"/>
    <col min="8199" max="8199" width="9" style="11" bestFit="1" customWidth="1"/>
    <col min="8200" max="8200" width="9.6640625" style="11" bestFit="1" customWidth="1"/>
    <col min="8201" max="8201" width="9.6640625" style="11" customWidth="1"/>
    <col min="8202" max="8202" width="13" style="11" bestFit="1" customWidth="1"/>
    <col min="8203" max="8203" width="8.33203125" style="11" bestFit="1" customWidth="1"/>
    <col min="8204" max="8204" width="13.5" style="11" bestFit="1" customWidth="1"/>
    <col min="8205" max="8205" width="7.6640625" style="11" bestFit="1" customWidth="1"/>
    <col min="8206" max="8206" width="6.83203125" style="11" bestFit="1" customWidth="1"/>
    <col min="8207" max="8207" width="7.33203125" style="11" bestFit="1" customWidth="1"/>
    <col min="8208" max="8208" width="8.83203125" style="11" bestFit="1" customWidth="1"/>
    <col min="8209" max="8209" width="11.5" style="11" customWidth="1"/>
    <col min="8210" max="8210" width="1.6640625" style="11" customWidth="1"/>
    <col min="8211" max="8211" width="8.6640625" style="11" customWidth="1"/>
    <col min="8212" max="8212" width="10.1640625" style="11" customWidth="1"/>
    <col min="8213" max="8213" width="12.1640625" style="11" customWidth="1"/>
    <col min="8214" max="8214" width="14.1640625" style="11" bestFit="1" customWidth="1"/>
    <col min="8215" max="8215" width="11.33203125" style="11" bestFit="1" customWidth="1"/>
    <col min="8216" max="8216" width="9.6640625" style="11" bestFit="1" customWidth="1"/>
    <col min="8217" max="8217" width="7.6640625" style="11" bestFit="1" customWidth="1"/>
    <col min="8218" max="8218" width="54.1640625" style="11" customWidth="1"/>
    <col min="8219" max="8219" width="19.1640625" style="11" customWidth="1"/>
    <col min="8220" max="8220" width="13.5" style="11" customWidth="1"/>
    <col min="8221" max="8221" width="14.5" style="11" customWidth="1"/>
    <col min="8222" max="8448" width="9.33203125" style="11"/>
    <col min="8449" max="8449" width="18.1640625" style="11" customWidth="1"/>
    <col min="8450" max="8450" width="2" style="11" customWidth="1"/>
    <col min="8451" max="8451" width="12.5" style="11" bestFit="1" customWidth="1"/>
    <col min="8452" max="8452" width="13" style="11" bestFit="1" customWidth="1"/>
    <col min="8453" max="8453" width="9.6640625" style="11" bestFit="1" customWidth="1"/>
    <col min="8454" max="8454" width="8" style="11" bestFit="1" customWidth="1"/>
    <col min="8455" max="8455" width="9" style="11" bestFit="1" customWidth="1"/>
    <col min="8456" max="8456" width="9.6640625" style="11" bestFit="1" customWidth="1"/>
    <col min="8457" max="8457" width="9.6640625" style="11" customWidth="1"/>
    <col min="8458" max="8458" width="13" style="11" bestFit="1" customWidth="1"/>
    <col min="8459" max="8459" width="8.33203125" style="11" bestFit="1" customWidth="1"/>
    <col min="8460" max="8460" width="13.5" style="11" bestFit="1" customWidth="1"/>
    <col min="8461" max="8461" width="7.6640625" style="11" bestFit="1" customWidth="1"/>
    <col min="8462" max="8462" width="6.83203125" style="11" bestFit="1" customWidth="1"/>
    <col min="8463" max="8463" width="7.33203125" style="11" bestFit="1" customWidth="1"/>
    <col min="8464" max="8464" width="8.83203125" style="11" bestFit="1" customWidth="1"/>
    <col min="8465" max="8465" width="11.5" style="11" customWidth="1"/>
    <col min="8466" max="8466" width="1.6640625" style="11" customWidth="1"/>
    <col min="8467" max="8467" width="8.6640625" style="11" customWidth="1"/>
    <col min="8468" max="8468" width="10.1640625" style="11" customWidth="1"/>
    <col min="8469" max="8469" width="12.1640625" style="11" customWidth="1"/>
    <col min="8470" max="8470" width="14.1640625" style="11" bestFit="1" customWidth="1"/>
    <col min="8471" max="8471" width="11.33203125" style="11" bestFit="1" customWidth="1"/>
    <col min="8472" max="8472" width="9.6640625" style="11" bestFit="1" customWidth="1"/>
    <col min="8473" max="8473" width="7.6640625" style="11" bestFit="1" customWidth="1"/>
    <col min="8474" max="8474" width="54.1640625" style="11" customWidth="1"/>
    <col min="8475" max="8475" width="19.1640625" style="11" customWidth="1"/>
    <col min="8476" max="8476" width="13.5" style="11" customWidth="1"/>
    <col min="8477" max="8477" width="14.5" style="11" customWidth="1"/>
    <col min="8478" max="8704" width="9.33203125" style="11"/>
    <col min="8705" max="8705" width="18.1640625" style="11" customWidth="1"/>
    <col min="8706" max="8706" width="2" style="11" customWidth="1"/>
    <col min="8707" max="8707" width="12.5" style="11" bestFit="1" customWidth="1"/>
    <col min="8708" max="8708" width="13" style="11" bestFit="1" customWidth="1"/>
    <col min="8709" max="8709" width="9.6640625" style="11" bestFit="1" customWidth="1"/>
    <col min="8710" max="8710" width="8" style="11" bestFit="1" customWidth="1"/>
    <col min="8711" max="8711" width="9" style="11" bestFit="1" customWidth="1"/>
    <col min="8712" max="8712" width="9.6640625" style="11" bestFit="1" customWidth="1"/>
    <col min="8713" max="8713" width="9.6640625" style="11" customWidth="1"/>
    <col min="8714" max="8714" width="13" style="11" bestFit="1" customWidth="1"/>
    <col min="8715" max="8715" width="8.33203125" style="11" bestFit="1" customWidth="1"/>
    <col min="8716" max="8716" width="13.5" style="11" bestFit="1" customWidth="1"/>
    <col min="8717" max="8717" width="7.6640625" style="11" bestFit="1" customWidth="1"/>
    <col min="8718" max="8718" width="6.83203125" style="11" bestFit="1" customWidth="1"/>
    <col min="8719" max="8719" width="7.33203125" style="11" bestFit="1" customWidth="1"/>
    <col min="8720" max="8720" width="8.83203125" style="11" bestFit="1" customWidth="1"/>
    <col min="8721" max="8721" width="11.5" style="11" customWidth="1"/>
    <col min="8722" max="8722" width="1.6640625" style="11" customWidth="1"/>
    <col min="8723" max="8723" width="8.6640625" style="11" customWidth="1"/>
    <col min="8724" max="8724" width="10.1640625" style="11" customWidth="1"/>
    <col min="8725" max="8725" width="12.1640625" style="11" customWidth="1"/>
    <col min="8726" max="8726" width="14.1640625" style="11" bestFit="1" customWidth="1"/>
    <col min="8727" max="8727" width="11.33203125" style="11" bestFit="1" customWidth="1"/>
    <col min="8728" max="8728" width="9.6640625" style="11" bestFit="1" customWidth="1"/>
    <col min="8729" max="8729" width="7.6640625" style="11" bestFit="1" customWidth="1"/>
    <col min="8730" max="8730" width="54.1640625" style="11" customWidth="1"/>
    <col min="8731" max="8731" width="19.1640625" style="11" customWidth="1"/>
    <col min="8732" max="8732" width="13.5" style="11" customWidth="1"/>
    <col min="8733" max="8733" width="14.5" style="11" customWidth="1"/>
    <col min="8734" max="8960" width="9.33203125" style="11"/>
    <col min="8961" max="8961" width="18.1640625" style="11" customWidth="1"/>
    <col min="8962" max="8962" width="2" style="11" customWidth="1"/>
    <col min="8963" max="8963" width="12.5" style="11" bestFit="1" customWidth="1"/>
    <col min="8964" max="8964" width="13" style="11" bestFit="1" customWidth="1"/>
    <col min="8965" max="8965" width="9.6640625" style="11" bestFit="1" customWidth="1"/>
    <col min="8966" max="8966" width="8" style="11" bestFit="1" customWidth="1"/>
    <col min="8967" max="8967" width="9" style="11" bestFit="1" customWidth="1"/>
    <col min="8968" max="8968" width="9.6640625" style="11" bestFit="1" customWidth="1"/>
    <col min="8969" max="8969" width="9.6640625" style="11" customWidth="1"/>
    <col min="8970" max="8970" width="13" style="11" bestFit="1" customWidth="1"/>
    <col min="8971" max="8971" width="8.33203125" style="11" bestFit="1" customWidth="1"/>
    <col min="8972" max="8972" width="13.5" style="11" bestFit="1" customWidth="1"/>
    <col min="8973" max="8973" width="7.6640625" style="11" bestFit="1" customWidth="1"/>
    <col min="8974" max="8974" width="6.83203125" style="11" bestFit="1" customWidth="1"/>
    <col min="8975" max="8975" width="7.33203125" style="11" bestFit="1" customWidth="1"/>
    <col min="8976" max="8976" width="8.83203125" style="11" bestFit="1" customWidth="1"/>
    <col min="8977" max="8977" width="11.5" style="11" customWidth="1"/>
    <col min="8978" max="8978" width="1.6640625" style="11" customWidth="1"/>
    <col min="8979" max="8979" width="8.6640625" style="11" customWidth="1"/>
    <col min="8980" max="8980" width="10.1640625" style="11" customWidth="1"/>
    <col min="8981" max="8981" width="12.1640625" style="11" customWidth="1"/>
    <col min="8982" max="8982" width="14.1640625" style="11" bestFit="1" customWidth="1"/>
    <col min="8983" max="8983" width="11.33203125" style="11" bestFit="1" customWidth="1"/>
    <col min="8984" max="8984" width="9.6640625" style="11" bestFit="1" customWidth="1"/>
    <col min="8985" max="8985" width="7.6640625" style="11" bestFit="1" customWidth="1"/>
    <col min="8986" max="8986" width="54.1640625" style="11" customWidth="1"/>
    <col min="8987" max="8987" width="19.1640625" style="11" customWidth="1"/>
    <col min="8988" max="8988" width="13.5" style="11" customWidth="1"/>
    <col min="8989" max="8989" width="14.5" style="11" customWidth="1"/>
    <col min="8990" max="9216" width="9.33203125" style="11"/>
    <col min="9217" max="9217" width="18.1640625" style="11" customWidth="1"/>
    <col min="9218" max="9218" width="2" style="11" customWidth="1"/>
    <col min="9219" max="9219" width="12.5" style="11" bestFit="1" customWidth="1"/>
    <col min="9220" max="9220" width="13" style="11" bestFit="1" customWidth="1"/>
    <col min="9221" max="9221" width="9.6640625" style="11" bestFit="1" customWidth="1"/>
    <col min="9222" max="9222" width="8" style="11" bestFit="1" customWidth="1"/>
    <col min="9223" max="9223" width="9" style="11" bestFit="1" customWidth="1"/>
    <col min="9224" max="9224" width="9.6640625" style="11" bestFit="1" customWidth="1"/>
    <col min="9225" max="9225" width="9.6640625" style="11" customWidth="1"/>
    <col min="9226" max="9226" width="13" style="11" bestFit="1" customWidth="1"/>
    <col min="9227" max="9227" width="8.33203125" style="11" bestFit="1" customWidth="1"/>
    <col min="9228" max="9228" width="13.5" style="11" bestFit="1" customWidth="1"/>
    <col min="9229" max="9229" width="7.6640625" style="11" bestFit="1" customWidth="1"/>
    <col min="9230" max="9230" width="6.83203125" style="11" bestFit="1" customWidth="1"/>
    <col min="9231" max="9231" width="7.33203125" style="11" bestFit="1" customWidth="1"/>
    <col min="9232" max="9232" width="8.83203125" style="11" bestFit="1" customWidth="1"/>
    <col min="9233" max="9233" width="11.5" style="11" customWidth="1"/>
    <col min="9234" max="9234" width="1.6640625" style="11" customWidth="1"/>
    <col min="9235" max="9235" width="8.6640625" style="11" customWidth="1"/>
    <col min="9236" max="9236" width="10.1640625" style="11" customWidth="1"/>
    <col min="9237" max="9237" width="12.1640625" style="11" customWidth="1"/>
    <col min="9238" max="9238" width="14.1640625" style="11" bestFit="1" customWidth="1"/>
    <col min="9239" max="9239" width="11.33203125" style="11" bestFit="1" customWidth="1"/>
    <col min="9240" max="9240" width="9.6640625" style="11" bestFit="1" customWidth="1"/>
    <col min="9241" max="9241" width="7.6640625" style="11" bestFit="1" customWidth="1"/>
    <col min="9242" max="9242" width="54.1640625" style="11" customWidth="1"/>
    <col min="9243" max="9243" width="19.1640625" style="11" customWidth="1"/>
    <col min="9244" max="9244" width="13.5" style="11" customWidth="1"/>
    <col min="9245" max="9245" width="14.5" style="11" customWidth="1"/>
    <col min="9246" max="9472" width="9.33203125" style="11"/>
    <col min="9473" max="9473" width="18.1640625" style="11" customWidth="1"/>
    <col min="9474" max="9474" width="2" style="11" customWidth="1"/>
    <col min="9475" max="9475" width="12.5" style="11" bestFit="1" customWidth="1"/>
    <col min="9476" max="9476" width="13" style="11" bestFit="1" customWidth="1"/>
    <col min="9477" max="9477" width="9.6640625" style="11" bestFit="1" customWidth="1"/>
    <col min="9478" max="9478" width="8" style="11" bestFit="1" customWidth="1"/>
    <col min="9479" max="9479" width="9" style="11" bestFit="1" customWidth="1"/>
    <col min="9480" max="9480" width="9.6640625" style="11" bestFit="1" customWidth="1"/>
    <col min="9481" max="9481" width="9.6640625" style="11" customWidth="1"/>
    <col min="9482" max="9482" width="13" style="11" bestFit="1" customWidth="1"/>
    <col min="9483" max="9483" width="8.33203125" style="11" bestFit="1" customWidth="1"/>
    <col min="9484" max="9484" width="13.5" style="11" bestFit="1" customWidth="1"/>
    <col min="9485" max="9485" width="7.6640625" style="11" bestFit="1" customWidth="1"/>
    <col min="9486" max="9486" width="6.83203125" style="11" bestFit="1" customWidth="1"/>
    <col min="9487" max="9487" width="7.33203125" style="11" bestFit="1" customWidth="1"/>
    <col min="9488" max="9488" width="8.83203125" style="11" bestFit="1" customWidth="1"/>
    <col min="9489" max="9489" width="11.5" style="11" customWidth="1"/>
    <col min="9490" max="9490" width="1.6640625" style="11" customWidth="1"/>
    <col min="9491" max="9491" width="8.6640625" style="11" customWidth="1"/>
    <col min="9492" max="9492" width="10.1640625" style="11" customWidth="1"/>
    <col min="9493" max="9493" width="12.1640625" style="11" customWidth="1"/>
    <col min="9494" max="9494" width="14.1640625" style="11" bestFit="1" customWidth="1"/>
    <col min="9495" max="9495" width="11.33203125" style="11" bestFit="1" customWidth="1"/>
    <col min="9496" max="9496" width="9.6640625" style="11" bestFit="1" customWidth="1"/>
    <col min="9497" max="9497" width="7.6640625" style="11" bestFit="1" customWidth="1"/>
    <col min="9498" max="9498" width="54.1640625" style="11" customWidth="1"/>
    <col min="9499" max="9499" width="19.1640625" style="11" customWidth="1"/>
    <col min="9500" max="9500" width="13.5" style="11" customWidth="1"/>
    <col min="9501" max="9501" width="14.5" style="11" customWidth="1"/>
    <col min="9502" max="9728" width="9.33203125" style="11"/>
    <col min="9729" max="9729" width="18.1640625" style="11" customWidth="1"/>
    <col min="9730" max="9730" width="2" style="11" customWidth="1"/>
    <col min="9731" max="9731" width="12.5" style="11" bestFit="1" customWidth="1"/>
    <col min="9732" max="9732" width="13" style="11" bestFit="1" customWidth="1"/>
    <col min="9733" max="9733" width="9.6640625" style="11" bestFit="1" customWidth="1"/>
    <col min="9734" max="9734" width="8" style="11" bestFit="1" customWidth="1"/>
    <col min="9735" max="9735" width="9" style="11" bestFit="1" customWidth="1"/>
    <col min="9736" max="9736" width="9.6640625" style="11" bestFit="1" customWidth="1"/>
    <col min="9737" max="9737" width="9.6640625" style="11" customWidth="1"/>
    <col min="9738" max="9738" width="13" style="11" bestFit="1" customWidth="1"/>
    <col min="9739" max="9739" width="8.33203125" style="11" bestFit="1" customWidth="1"/>
    <col min="9740" max="9740" width="13.5" style="11" bestFit="1" customWidth="1"/>
    <col min="9741" max="9741" width="7.6640625" style="11" bestFit="1" customWidth="1"/>
    <col min="9742" max="9742" width="6.83203125" style="11" bestFit="1" customWidth="1"/>
    <col min="9743" max="9743" width="7.33203125" style="11" bestFit="1" customWidth="1"/>
    <col min="9744" max="9744" width="8.83203125" style="11" bestFit="1" customWidth="1"/>
    <col min="9745" max="9745" width="11.5" style="11" customWidth="1"/>
    <col min="9746" max="9746" width="1.6640625" style="11" customWidth="1"/>
    <col min="9747" max="9747" width="8.6640625" style="11" customWidth="1"/>
    <col min="9748" max="9748" width="10.1640625" style="11" customWidth="1"/>
    <col min="9749" max="9749" width="12.1640625" style="11" customWidth="1"/>
    <col min="9750" max="9750" width="14.1640625" style="11" bestFit="1" customWidth="1"/>
    <col min="9751" max="9751" width="11.33203125" style="11" bestFit="1" customWidth="1"/>
    <col min="9752" max="9752" width="9.6640625" style="11" bestFit="1" customWidth="1"/>
    <col min="9753" max="9753" width="7.6640625" style="11" bestFit="1" customWidth="1"/>
    <col min="9754" max="9754" width="54.1640625" style="11" customWidth="1"/>
    <col min="9755" max="9755" width="19.1640625" style="11" customWidth="1"/>
    <col min="9756" max="9756" width="13.5" style="11" customWidth="1"/>
    <col min="9757" max="9757" width="14.5" style="11" customWidth="1"/>
    <col min="9758" max="9984" width="9.33203125" style="11"/>
    <col min="9985" max="9985" width="18.1640625" style="11" customWidth="1"/>
    <col min="9986" max="9986" width="2" style="11" customWidth="1"/>
    <col min="9987" max="9987" width="12.5" style="11" bestFit="1" customWidth="1"/>
    <col min="9988" max="9988" width="13" style="11" bestFit="1" customWidth="1"/>
    <col min="9989" max="9989" width="9.6640625" style="11" bestFit="1" customWidth="1"/>
    <col min="9990" max="9990" width="8" style="11" bestFit="1" customWidth="1"/>
    <col min="9991" max="9991" width="9" style="11" bestFit="1" customWidth="1"/>
    <col min="9992" max="9992" width="9.6640625" style="11" bestFit="1" customWidth="1"/>
    <col min="9993" max="9993" width="9.6640625" style="11" customWidth="1"/>
    <col min="9994" max="9994" width="13" style="11" bestFit="1" customWidth="1"/>
    <col min="9995" max="9995" width="8.33203125" style="11" bestFit="1" customWidth="1"/>
    <col min="9996" max="9996" width="13.5" style="11" bestFit="1" customWidth="1"/>
    <col min="9997" max="9997" width="7.6640625" style="11" bestFit="1" customWidth="1"/>
    <col min="9998" max="9998" width="6.83203125" style="11" bestFit="1" customWidth="1"/>
    <col min="9999" max="9999" width="7.33203125" style="11" bestFit="1" customWidth="1"/>
    <col min="10000" max="10000" width="8.83203125" style="11" bestFit="1" customWidth="1"/>
    <col min="10001" max="10001" width="11.5" style="11" customWidth="1"/>
    <col min="10002" max="10002" width="1.6640625" style="11" customWidth="1"/>
    <col min="10003" max="10003" width="8.6640625" style="11" customWidth="1"/>
    <col min="10004" max="10004" width="10.1640625" style="11" customWidth="1"/>
    <col min="10005" max="10005" width="12.1640625" style="11" customWidth="1"/>
    <col min="10006" max="10006" width="14.1640625" style="11" bestFit="1" customWidth="1"/>
    <col min="10007" max="10007" width="11.33203125" style="11" bestFit="1" customWidth="1"/>
    <col min="10008" max="10008" width="9.6640625" style="11" bestFit="1" customWidth="1"/>
    <col min="10009" max="10009" width="7.6640625" style="11" bestFit="1" customWidth="1"/>
    <col min="10010" max="10010" width="54.1640625" style="11" customWidth="1"/>
    <col min="10011" max="10011" width="19.1640625" style="11" customWidth="1"/>
    <col min="10012" max="10012" width="13.5" style="11" customWidth="1"/>
    <col min="10013" max="10013" width="14.5" style="11" customWidth="1"/>
    <col min="10014" max="10240" width="9.33203125" style="11"/>
    <col min="10241" max="10241" width="18.1640625" style="11" customWidth="1"/>
    <col min="10242" max="10242" width="2" style="11" customWidth="1"/>
    <col min="10243" max="10243" width="12.5" style="11" bestFit="1" customWidth="1"/>
    <col min="10244" max="10244" width="13" style="11" bestFit="1" customWidth="1"/>
    <col min="10245" max="10245" width="9.6640625" style="11" bestFit="1" customWidth="1"/>
    <col min="10246" max="10246" width="8" style="11" bestFit="1" customWidth="1"/>
    <col min="10247" max="10247" width="9" style="11" bestFit="1" customWidth="1"/>
    <col min="10248" max="10248" width="9.6640625" style="11" bestFit="1" customWidth="1"/>
    <col min="10249" max="10249" width="9.6640625" style="11" customWidth="1"/>
    <col min="10250" max="10250" width="13" style="11" bestFit="1" customWidth="1"/>
    <col min="10251" max="10251" width="8.33203125" style="11" bestFit="1" customWidth="1"/>
    <col min="10252" max="10252" width="13.5" style="11" bestFit="1" customWidth="1"/>
    <col min="10253" max="10253" width="7.6640625" style="11" bestFit="1" customWidth="1"/>
    <col min="10254" max="10254" width="6.83203125" style="11" bestFit="1" customWidth="1"/>
    <col min="10255" max="10255" width="7.33203125" style="11" bestFit="1" customWidth="1"/>
    <col min="10256" max="10256" width="8.83203125" style="11" bestFit="1" customWidth="1"/>
    <col min="10257" max="10257" width="11.5" style="11" customWidth="1"/>
    <col min="10258" max="10258" width="1.6640625" style="11" customWidth="1"/>
    <col min="10259" max="10259" width="8.6640625" style="11" customWidth="1"/>
    <col min="10260" max="10260" width="10.1640625" style="11" customWidth="1"/>
    <col min="10261" max="10261" width="12.1640625" style="11" customWidth="1"/>
    <col min="10262" max="10262" width="14.1640625" style="11" bestFit="1" customWidth="1"/>
    <col min="10263" max="10263" width="11.33203125" style="11" bestFit="1" customWidth="1"/>
    <col min="10264" max="10264" width="9.6640625" style="11" bestFit="1" customWidth="1"/>
    <col min="10265" max="10265" width="7.6640625" style="11" bestFit="1" customWidth="1"/>
    <col min="10266" max="10266" width="54.1640625" style="11" customWidth="1"/>
    <col min="10267" max="10267" width="19.1640625" style="11" customWidth="1"/>
    <col min="10268" max="10268" width="13.5" style="11" customWidth="1"/>
    <col min="10269" max="10269" width="14.5" style="11" customWidth="1"/>
    <col min="10270" max="10496" width="9.33203125" style="11"/>
    <col min="10497" max="10497" width="18.1640625" style="11" customWidth="1"/>
    <col min="10498" max="10498" width="2" style="11" customWidth="1"/>
    <col min="10499" max="10499" width="12.5" style="11" bestFit="1" customWidth="1"/>
    <col min="10500" max="10500" width="13" style="11" bestFit="1" customWidth="1"/>
    <col min="10501" max="10501" width="9.6640625" style="11" bestFit="1" customWidth="1"/>
    <col min="10502" max="10502" width="8" style="11" bestFit="1" customWidth="1"/>
    <col min="10503" max="10503" width="9" style="11" bestFit="1" customWidth="1"/>
    <col min="10504" max="10504" width="9.6640625" style="11" bestFit="1" customWidth="1"/>
    <col min="10505" max="10505" width="9.6640625" style="11" customWidth="1"/>
    <col min="10506" max="10506" width="13" style="11" bestFit="1" customWidth="1"/>
    <col min="10507" max="10507" width="8.33203125" style="11" bestFit="1" customWidth="1"/>
    <col min="10508" max="10508" width="13.5" style="11" bestFit="1" customWidth="1"/>
    <col min="10509" max="10509" width="7.6640625" style="11" bestFit="1" customWidth="1"/>
    <col min="10510" max="10510" width="6.83203125" style="11" bestFit="1" customWidth="1"/>
    <col min="10511" max="10511" width="7.33203125" style="11" bestFit="1" customWidth="1"/>
    <col min="10512" max="10512" width="8.83203125" style="11" bestFit="1" customWidth="1"/>
    <col min="10513" max="10513" width="11.5" style="11" customWidth="1"/>
    <col min="10514" max="10514" width="1.6640625" style="11" customWidth="1"/>
    <col min="10515" max="10515" width="8.6640625" style="11" customWidth="1"/>
    <col min="10516" max="10516" width="10.1640625" style="11" customWidth="1"/>
    <col min="10517" max="10517" width="12.1640625" style="11" customWidth="1"/>
    <col min="10518" max="10518" width="14.1640625" style="11" bestFit="1" customWidth="1"/>
    <col min="10519" max="10519" width="11.33203125" style="11" bestFit="1" customWidth="1"/>
    <col min="10520" max="10520" width="9.6640625" style="11" bestFit="1" customWidth="1"/>
    <col min="10521" max="10521" width="7.6640625" style="11" bestFit="1" customWidth="1"/>
    <col min="10522" max="10522" width="54.1640625" style="11" customWidth="1"/>
    <col min="10523" max="10523" width="19.1640625" style="11" customWidth="1"/>
    <col min="10524" max="10524" width="13.5" style="11" customWidth="1"/>
    <col min="10525" max="10525" width="14.5" style="11" customWidth="1"/>
    <col min="10526" max="10752" width="9.33203125" style="11"/>
    <col min="10753" max="10753" width="18.1640625" style="11" customWidth="1"/>
    <col min="10754" max="10754" width="2" style="11" customWidth="1"/>
    <col min="10755" max="10755" width="12.5" style="11" bestFit="1" customWidth="1"/>
    <col min="10756" max="10756" width="13" style="11" bestFit="1" customWidth="1"/>
    <col min="10757" max="10757" width="9.6640625" style="11" bestFit="1" customWidth="1"/>
    <col min="10758" max="10758" width="8" style="11" bestFit="1" customWidth="1"/>
    <col min="10759" max="10759" width="9" style="11" bestFit="1" customWidth="1"/>
    <col min="10760" max="10760" width="9.6640625" style="11" bestFit="1" customWidth="1"/>
    <col min="10761" max="10761" width="9.6640625" style="11" customWidth="1"/>
    <col min="10762" max="10762" width="13" style="11" bestFit="1" customWidth="1"/>
    <col min="10763" max="10763" width="8.33203125" style="11" bestFit="1" customWidth="1"/>
    <col min="10764" max="10764" width="13.5" style="11" bestFit="1" customWidth="1"/>
    <col min="10765" max="10765" width="7.6640625" style="11" bestFit="1" customWidth="1"/>
    <col min="10766" max="10766" width="6.83203125" style="11" bestFit="1" customWidth="1"/>
    <col min="10767" max="10767" width="7.33203125" style="11" bestFit="1" customWidth="1"/>
    <col min="10768" max="10768" width="8.83203125" style="11" bestFit="1" customWidth="1"/>
    <col min="10769" max="10769" width="11.5" style="11" customWidth="1"/>
    <col min="10770" max="10770" width="1.6640625" style="11" customWidth="1"/>
    <col min="10771" max="10771" width="8.6640625" style="11" customWidth="1"/>
    <col min="10772" max="10772" width="10.1640625" style="11" customWidth="1"/>
    <col min="10773" max="10773" width="12.1640625" style="11" customWidth="1"/>
    <col min="10774" max="10774" width="14.1640625" style="11" bestFit="1" customWidth="1"/>
    <col min="10775" max="10775" width="11.33203125" style="11" bestFit="1" customWidth="1"/>
    <col min="10776" max="10776" width="9.6640625" style="11" bestFit="1" customWidth="1"/>
    <col min="10777" max="10777" width="7.6640625" style="11" bestFit="1" customWidth="1"/>
    <col min="10778" max="10778" width="54.1640625" style="11" customWidth="1"/>
    <col min="10779" max="10779" width="19.1640625" style="11" customWidth="1"/>
    <col min="10780" max="10780" width="13.5" style="11" customWidth="1"/>
    <col min="10781" max="10781" width="14.5" style="11" customWidth="1"/>
    <col min="10782" max="11008" width="9.33203125" style="11"/>
    <col min="11009" max="11009" width="18.1640625" style="11" customWidth="1"/>
    <col min="11010" max="11010" width="2" style="11" customWidth="1"/>
    <col min="11011" max="11011" width="12.5" style="11" bestFit="1" customWidth="1"/>
    <col min="11012" max="11012" width="13" style="11" bestFit="1" customWidth="1"/>
    <col min="11013" max="11013" width="9.6640625" style="11" bestFit="1" customWidth="1"/>
    <col min="11014" max="11014" width="8" style="11" bestFit="1" customWidth="1"/>
    <col min="11015" max="11015" width="9" style="11" bestFit="1" customWidth="1"/>
    <col min="11016" max="11016" width="9.6640625" style="11" bestFit="1" customWidth="1"/>
    <col min="11017" max="11017" width="9.6640625" style="11" customWidth="1"/>
    <col min="11018" max="11018" width="13" style="11" bestFit="1" customWidth="1"/>
    <col min="11019" max="11019" width="8.33203125" style="11" bestFit="1" customWidth="1"/>
    <col min="11020" max="11020" width="13.5" style="11" bestFit="1" customWidth="1"/>
    <col min="11021" max="11021" width="7.6640625" style="11" bestFit="1" customWidth="1"/>
    <col min="11022" max="11022" width="6.83203125" style="11" bestFit="1" customWidth="1"/>
    <col min="11023" max="11023" width="7.33203125" style="11" bestFit="1" customWidth="1"/>
    <col min="11024" max="11024" width="8.83203125" style="11" bestFit="1" customWidth="1"/>
    <col min="11025" max="11025" width="11.5" style="11" customWidth="1"/>
    <col min="11026" max="11026" width="1.6640625" style="11" customWidth="1"/>
    <col min="11027" max="11027" width="8.6640625" style="11" customWidth="1"/>
    <col min="11028" max="11028" width="10.1640625" style="11" customWidth="1"/>
    <col min="11029" max="11029" width="12.1640625" style="11" customWidth="1"/>
    <col min="11030" max="11030" width="14.1640625" style="11" bestFit="1" customWidth="1"/>
    <col min="11031" max="11031" width="11.33203125" style="11" bestFit="1" customWidth="1"/>
    <col min="11032" max="11032" width="9.6640625" style="11" bestFit="1" customWidth="1"/>
    <col min="11033" max="11033" width="7.6640625" style="11" bestFit="1" customWidth="1"/>
    <col min="11034" max="11034" width="54.1640625" style="11" customWidth="1"/>
    <col min="11035" max="11035" width="19.1640625" style="11" customWidth="1"/>
    <col min="11036" max="11036" width="13.5" style="11" customWidth="1"/>
    <col min="11037" max="11037" width="14.5" style="11" customWidth="1"/>
    <col min="11038" max="11264" width="9.33203125" style="11"/>
    <col min="11265" max="11265" width="18.1640625" style="11" customWidth="1"/>
    <col min="11266" max="11266" width="2" style="11" customWidth="1"/>
    <col min="11267" max="11267" width="12.5" style="11" bestFit="1" customWidth="1"/>
    <col min="11268" max="11268" width="13" style="11" bestFit="1" customWidth="1"/>
    <col min="11269" max="11269" width="9.6640625" style="11" bestFit="1" customWidth="1"/>
    <col min="11270" max="11270" width="8" style="11" bestFit="1" customWidth="1"/>
    <col min="11271" max="11271" width="9" style="11" bestFit="1" customWidth="1"/>
    <col min="11272" max="11272" width="9.6640625" style="11" bestFit="1" customWidth="1"/>
    <col min="11273" max="11273" width="9.6640625" style="11" customWidth="1"/>
    <col min="11274" max="11274" width="13" style="11" bestFit="1" customWidth="1"/>
    <col min="11275" max="11275" width="8.33203125" style="11" bestFit="1" customWidth="1"/>
    <col min="11276" max="11276" width="13.5" style="11" bestFit="1" customWidth="1"/>
    <col min="11277" max="11277" width="7.6640625" style="11" bestFit="1" customWidth="1"/>
    <col min="11278" max="11278" width="6.83203125" style="11" bestFit="1" customWidth="1"/>
    <col min="11279" max="11279" width="7.33203125" style="11" bestFit="1" customWidth="1"/>
    <col min="11280" max="11280" width="8.83203125" style="11" bestFit="1" customWidth="1"/>
    <col min="11281" max="11281" width="11.5" style="11" customWidth="1"/>
    <col min="11282" max="11282" width="1.6640625" style="11" customWidth="1"/>
    <col min="11283" max="11283" width="8.6640625" style="11" customWidth="1"/>
    <col min="11284" max="11284" width="10.1640625" style="11" customWidth="1"/>
    <col min="11285" max="11285" width="12.1640625" style="11" customWidth="1"/>
    <col min="11286" max="11286" width="14.1640625" style="11" bestFit="1" customWidth="1"/>
    <col min="11287" max="11287" width="11.33203125" style="11" bestFit="1" customWidth="1"/>
    <col min="11288" max="11288" width="9.6640625" style="11" bestFit="1" customWidth="1"/>
    <col min="11289" max="11289" width="7.6640625" style="11" bestFit="1" customWidth="1"/>
    <col min="11290" max="11290" width="54.1640625" style="11" customWidth="1"/>
    <col min="11291" max="11291" width="19.1640625" style="11" customWidth="1"/>
    <col min="11292" max="11292" width="13.5" style="11" customWidth="1"/>
    <col min="11293" max="11293" width="14.5" style="11" customWidth="1"/>
    <col min="11294" max="11520" width="9.33203125" style="11"/>
    <col min="11521" max="11521" width="18.1640625" style="11" customWidth="1"/>
    <col min="11522" max="11522" width="2" style="11" customWidth="1"/>
    <col min="11523" max="11523" width="12.5" style="11" bestFit="1" customWidth="1"/>
    <col min="11524" max="11524" width="13" style="11" bestFit="1" customWidth="1"/>
    <col min="11525" max="11525" width="9.6640625" style="11" bestFit="1" customWidth="1"/>
    <col min="11526" max="11526" width="8" style="11" bestFit="1" customWidth="1"/>
    <col min="11527" max="11527" width="9" style="11" bestFit="1" customWidth="1"/>
    <col min="11528" max="11528" width="9.6640625" style="11" bestFit="1" customWidth="1"/>
    <col min="11529" max="11529" width="9.6640625" style="11" customWidth="1"/>
    <col min="11530" max="11530" width="13" style="11" bestFit="1" customWidth="1"/>
    <col min="11531" max="11531" width="8.33203125" style="11" bestFit="1" customWidth="1"/>
    <col min="11532" max="11532" width="13.5" style="11" bestFit="1" customWidth="1"/>
    <col min="11533" max="11533" width="7.6640625" style="11" bestFit="1" customWidth="1"/>
    <col min="11534" max="11534" width="6.83203125" style="11" bestFit="1" customWidth="1"/>
    <col min="11535" max="11535" width="7.33203125" style="11" bestFit="1" customWidth="1"/>
    <col min="11536" max="11536" width="8.83203125" style="11" bestFit="1" customWidth="1"/>
    <col min="11537" max="11537" width="11.5" style="11" customWidth="1"/>
    <col min="11538" max="11538" width="1.6640625" style="11" customWidth="1"/>
    <col min="11539" max="11539" width="8.6640625" style="11" customWidth="1"/>
    <col min="11540" max="11540" width="10.1640625" style="11" customWidth="1"/>
    <col min="11541" max="11541" width="12.1640625" style="11" customWidth="1"/>
    <col min="11542" max="11542" width="14.1640625" style="11" bestFit="1" customWidth="1"/>
    <col min="11543" max="11543" width="11.33203125" style="11" bestFit="1" customWidth="1"/>
    <col min="11544" max="11544" width="9.6640625" style="11" bestFit="1" customWidth="1"/>
    <col min="11545" max="11545" width="7.6640625" style="11" bestFit="1" customWidth="1"/>
    <col min="11546" max="11546" width="54.1640625" style="11" customWidth="1"/>
    <col min="11547" max="11547" width="19.1640625" style="11" customWidth="1"/>
    <col min="11548" max="11548" width="13.5" style="11" customWidth="1"/>
    <col min="11549" max="11549" width="14.5" style="11" customWidth="1"/>
    <col min="11550" max="11776" width="9.33203125" style="11"/>
    <col min="11777" max="11777" width="18.1640625" style="11" customWidth="1"/>
    <col min="11778" max="11778" width="2" style="11" customWidth="1"/>
    <col min="11779" max="11779" width="12.5" style="11" bestFit="1" customWidth="1"/>
    <col min="11780" max="11780" width="13" style="11" bestFit="1" customWidth="1"/>
    <col min="11781" max="11781" width="9.6640625" style="11" bestFit="1" customWidth="1"/>
    <col min="11782" max="11782" width="8" style="11" bestFit="1" customWidth="1"/>
    <col min="11783" max="11783" width="9" style="11" bestFit="1" customWidth="1"/>
    <col min="11784" max="11784" width="9.6640625" style="11" bestFit="1" customWidth="1"/>
    <col min="11785" max="11785" width="9.6640625" style="11" customWidth="1"/>
    <col min="11786" max="11786" width="13" style="11" bestFit="1" customWidth="1"/>
    <col min="11787" max="11787" width="8.33203125" style="11" bestFit="1" customWidth="1"/>
    <col min="11788" max="11788" width="13.5" style="11" bestFit="1" customWidth="1"/>
    <col min="11789" max="11789" width="7.6640625" style="11" bestFit="1" customWidth="1"/>
    <col min="11790" max="11790" width="6.83203125" style="11" bestFit="1" customWidth="1"/>
    <col min="11791" max="11791" width="7.33203125" style="11" bestFit="1" customWidth="1"/>
    <col min="11792" max="11792" width="8.83203125" style="11" bestFit="1" customWidth="1"/>
    <col min="11793" max="11793" width="11.5" style="11" customWidth="1"/>
    <col min="11794" max="11794" width="1.6640625" style="11" customWidth="1"/>
    <col min="11795" max="11795" width="8.6640625" style="11" customWidth="1"/>
    <col min="11796" max="11796" width="10.1640625" style="11" customWidth="1"/>
    <col min="11797" max="11797" width="12.1640625" style="11" customWidth="1"/>
    <col min="11798" max="11798" width="14.1640625" style="11" bestFit="1" customWidth="1"/>
    <col min="11799" max="11799" width="11.33203125" style="11" bestFit="1" customWidth="1"/>
    <col min="11800" max="11800" width="9.6640625" style="11" bestFit="1" customWidth="1"/>
    <col min="11801" max="11801" width="7.6640625" style="11" bestFit="1" customWidth="1"/>
    <col min="11802" max="11802" width="54.1640625" style="11" customWidth="1"/>
    <col min="11803" max="11803" width="19.1640625" style="11" customWidth="1"/>
    <col min="11804" max="11804" width="13.5" style="11" customWidth="1"/>
    <col min="11805" max="11805" width="14.5" style="11" customWidth="1"/>
    <col min="11806" max="12032" width="9.33203125" style="11"/>
    <col min="12033" max="12033" width="18.1640625" style="11" customWidth="1"/>
    <col min="12034" max="12034" width="2" style="11" customWidth="1"/>
    <col min="12035" max="12035" width="12.5" style="11" bestFit="1" customWidth="1"/>
    <col min="12036" max="12036" width="13" style="11" bestFit="1" customWidth="1"/>
    <col min="12037" max="12037" width="9.6640625" style="11" bestFit="1" customWidth="1"/>
    <col min="12038" max="12038" width="8" style="11" bestFit="1" customWidth="1"/>
    <col min="12039" max="12039" width="9" style="11" bestFit="1" customWidth="1"/>
    <col min="12040" max="12040" width="9.6640625" style="11" bestFit="1" customWidth="1"/>
    <col min="12041" max="12041" width="9.6640625" style="11" customWidth="1"/>
    <col min="12042" max="12042" width="13" style="11" bestFit="1" customWidth="1"/>
    <col min="12043" max="12043" width="8.33203125" style="11" bestFit="1" customWidth="1"/>
    <col min="12044" max="12044" width="13.5" style="11" bestFit="1" customWidth="1"/>
    <col min="12045" max="12045" width="7.6640625" style="11" bestFit="1" customWidth="1"/>
    <col min="12046" max="12046" width="6.83203125" style="11" bestFit="1" customWidth="1"/>
    <col min="12047" max="12047" width="7.33203125" style="11" bestFit="1" customWidth="1"/>
    <col min="12048" max="12048" width="8.83203125" style="11" bestFit="1" customWidth="1"/>
    <col min="12049" max="12049" width="11.5" style="11" customWidth="1"/>
    <col min="12050" max="12050" width="1.6640625" style="11" customWidth="1"/>
    <col min="12051" max="12051" width="8.6640625" style="11" customWidth="1"/>
    <col min="12052" max="12052" width="10.1640625" style="11" customWidth="1"/>
    <col min="12053" max="12053" width="12.1640625" style="11" customWidth="1"/>
    <col min="12054" max="12054" width="14.1640625" style="11" bestFit="1" customWidth="1"/>
    <col min="12055" max="12055" width="11.33203125" style="11" bestFit="1" customWidth="1"/>
    <col min="12056" max="12056" width="9.6640625" style="11" bestFit="1" customWidth="1"/>
    <col min="12057" max="12057" width="7.6640625" style="11" bestFit="1" customWidth="1"/>
    <col min="12058" max="12058" width="54.1640625" style="11" customWidth="1"/>
    <col min="12059" max="12059" width="19.1640625" style="11" customWidth="1"/>
    <col min="12060" max="12060" width="13.5" style="11" customWidth="1"/>
    <col min="12061" max="12061" width="14.5" style="11" customWidth="1"/>
    <col min="12062" max="12288" width="9.33203125" style="11"/>
    <col min="12289" max="12289" width="18.1640625" style="11" customWidth="1"/>
    <col min="12290" max="12290" width="2" style="11" customWidth="1"/>
    <col min="12291" max="12291" width="12.5" style="11" bestFit="1" customWidth="1"/>
    <col min="12292" max="12292" width="13" style="11" bestFit="1" customWidth="1"/>
    <col min="12293" max="12293" width="9.6640625" style="11" bestFit="1" customWidth="1"/>
    <col min="12294" max="12294" width="8" style="11" bestFit="1" customWidth="1"/>
    <col min="12295" max="12295" width="9" style="11" bestFit="1" customWidth="1"/>
    <col min="12296" max="12296" width="9.6640625" style="11" bestFit="1" customWidth="1"/>
    <col min="12297" max="12297" width="9.6640625" style="11" customWidth="1"/>
    <col min="12298" max="12298" width="13" style="11" bestFit="1" customWidth="1"/>
    <col min="12299" max="12299" width="8.33203125" style="11" bestFit="1" customWidth="1"/>
    <col min="12300" max="12300" width="13.5" style="11" bestFit="1" customWidth="1"/>
    <col min="12301" max="12301" width="7.6640625" style="11" bestFit="1" customWidth="1"/>
    <col min="12302" max="12302" width="6.83203125" style="11" bestFit="1" customWidth="1"/>
    <col min="12303" max="12303" width="7.33203125" style="11" bestFit="1" customWidth="1"/>
    <col min="12304" max="12304" width="8.83203125" style="11" bestFit="1" customWidth="1"/>
    <col min="12305" max="12305" width="11.5" style="11" customWidth="1"/>
    <col min="12306" max="12306" width="1.6640625" style="11" customWidth="1"/>
    <col min="12307" max="12307" width="8.6640625" style="11" customWidth="1"/>
    <col min="12308" max="12308" width="10.1640625" style="11" customWidth="1"/>
    <col min="12309" max="12309" width="12.1640625" style="11" customWidth="1"/>
    <col min="12310" max="12310" width="14.1640625" style="11" bestFit="1" customWidth="1"/>
    <col min="12311" max="12311" width="11.33203125" style="11" bestFit="1" customWidth="1"/>
    <col min="12312" max="12312" width="9.6640625" style="11" bestFit="1" customWidth="1"/>
    <col min="12313" max="12313" width="7.6640625" style="11" bestFit="1" customWidth="1"/>
    <col min="12314" max="12314" width="54.1640625" style="11" customWidth="1"/>
    <col min="12315" max="12315" width="19.1640625" style="11" customWidth="1"/>
    <col min="12316" max="12316" width="13.5" style="11" customWidth="1"/>
    <col min="12317" max="12317" width="14.5" style="11" customWidth="1"/>
    <col min="12318" max="12544" width="9.33203125" style="11"/>
    <col min="12545" max="12545" width="18.1640625" style="11" customWidth="1"/>
    <col min="12546" max="12546" width="2" style="11" customWidth="1"/>
    <col min="12547" max="12547" width="12.5" style="11" bestFit="1" customWidth="1"/>
    <col min="12548" max="12548" width="13" style="11" bestFit="1" customWidth="1"/>
    <col min="12549" max="12549" width="9.6640625" style="11" bestFit="1" customWidth="1"/>
    <col min="12550" max="12550" width="8" style="11" bestFit="1" customWidth="1"/>
    <col min="12551" max="12551" width="9" style="11" bestFit="1" customWidth="1"/>
    <col min="12552" max="12552" width="9.6640625" style="11" bestFit="1" customWidth="1"/>
    <col min="12553" max="12553" width="9.6640625" style="11" customWidth="1"/>
    <col min="12554" max="12554" width="13" style="11" bestFit="1" customWidth="1"/>
    <col min="12555" max="12555" width="8.33203125" style="11" bestFit="1" customWidth="1"/>
    <col min="12556" max="12556" width="13.5" style="11" bestFit="1" customWidth="1"/>
    <col min="12557" max="12557" width="7.6640625" style="11" bestFit="1" customWidth="1"/>
    <col min="12558" max="12558" width="6.83203125" style="11" bestFit="1" customWidth="1"/>
    <col min="12559" max="12559" width="7.33203125" style="11" bestFit="1" customWidth="1"/>
    <col min="12560" max="12560" width="8.83203125" style="11" bestFit="1" customWidth="1"/>
    <col min="12561" max="12561" width="11.5" style="11" customWidth="1"/>
    <col min="12562" max="12562" width="1.6640625" style="11" customWidth="1"/>
    <col min="12563" max="12563" width="8.6640625" style="11" customWidth="1"/>
    <col min="12564" max="12564" width="10.1640625" style="11" customWidth="1"/>
    <col min="12565" max="12565" width="12.1640625" style="11" customWidth="1"/>
    <col min="12566" max="12566" width="14.1640625" style="11" bestFit="1" customWidth="1"/>
    <col min="12567" max="12567" width="11.33203125" style="11" bestFit="1" customWidth="1"/>
    <col min="12568" max="12568" width="9.6640625" style="11" bestFit="1" customWidth="1"/>
    <col min="12569" max="12569" width="7.6640625" style="11" bestFit="1" customWidth="1"/>
    <col min="12570" max="12570" width="54.1640625" style="11" customWidth="1"/>
    <col min="12571" max="12571" width="19.1640625" style="11" customWidth="1"/>
    <col min="12572" max="12572" width="13.5" style="11" customWidth="1"/>
    <col min="12573" max="12573" width="14.5" style="11" customWidth="1"/>
    <col min="12574" max="12800" width="9.33203125" style="11"/>
    <col min="12801" max="12801" width="18.1640625" style="11" customWidth="1"/>
    <col min="12802" max="12802" width="2" style="11" customWidth="1"/>
    <col min="12803" max="12803" width="12.5" style="11" bestFit="1" customWidth="1"/>
    <col min="12804" max="12804" width="13" style="11" bestFit="1" customWidth="1"/>
    <col min="12805" max="12805" width="9.6640625" style="11" bestFit="1" customWidth="1"/>
    <col min="12806" max="12806" width="8" style="11" bestFit="1" customWidth="1"/>
    <col min="12807" max="12807" width="9" style="11" bestFit="1" customWidth="1"/>
    <col min="12808" max="12808" width="9.6640625" style="11" bestFit="1" customWidth="1"/>
    <col min="12809" max="12809" width="9.6640625" style="11" customWidth="1"/>
    <col min="12810" max="12810" width="13" style="11" bestFit="1" customWidth="1"/>
    <col min="12811" max="12811" width="8.33203125" style="11" bestFit="1" customWidth="1"/>
    <col min="12812" max="12812" width="13.5" style="11" bestFit="1" customWidth="1"/>
    <col min="12813" max="12813" width="7.6640625" style="11" bestFit="1" customWidth="1"/>
    <col min="12814" max="12814" width="6.83203125" style="11" bestFit="1" customWidth="1"/>
    <col min="12815" max="12815" width="7.33203125" style="11" bestFit="1" customWidth="1"/>
    <col min="12816" max="12816" width="8.83203125" style="11" bestFit="1" customWidth="1"/>
    <col min="12817" max="12817" width="11.5" style="11" customWidth="1"/>
    <col min="12818" max="12818" width="1.6640625" style="11" customWidth="1"/>
    <col min="12819" max="12819" width="8.6640625" style="11" customWidth="1"/>
    <col min="12820" max="12820" width="10.1640625" style="11" customWidth="1"/>
    <col min="12821" max="12821" width="12.1640625" style="11" customWidth="1"/>
    <col min="12822" max="12822" width="14.1640625" style="11" bestFit="1" customWidth="1"/>
    <col min="12823" max="12823" width="11.33203125" style="11" bestFit="1" customWidth="1"/>
    <col min="12824" max="12824" width="9.6640625" style="11" bestFit="1" customWidth="1"/>
    <col min="12825" max="12825" width="7.6640625" style="11" bestFit="1" customWidth="1"/>
    <col min="12826" max="12826" width="54.1640625" style="11" customWidth="1"/>
    <col min="12827" max="12827" width="19.1640625" style="11" customWidth="1"/>
    <col min="12828" max="12828" width="13.5" style="11" customWidth="1"/>
    <col min="12829" max="12829" width="14.5" style="11" customWidth="1"/>
    <col min="12830" max="13056" width="9.33203125" style="11"/>
    <col min="13057" max="13057" width="18.1640625" style="11" customWidth="1"/>
    <col min="13058" max="13058" width="2" style="11" customWidth="1"/>
    <col min="13059" max="13059" width="12.5" style="11" bestFit="1" customWidth="1"/>
    <col min="13060" max="13060" width="13" style="11" bestFit="1" customWidth="1"/>
    <col min="13061" max="13061" width="9.6640625" style="11" bestFit="1" customWidth="1"/>
    <col min="13062" max="13062" width="8" style="11" bestFit="1" customWidth="1"/>
    <col min="13063" max="13063" width="9" style="11" bestFit="1" customWidth="1"/>
    <col min="13064" max="13064" width="9.6640625" style="11" bestFit="1" customWidth="1"/>
    <col min="13065" max="13065" width="9.6640625" style="11" customWidth="1"/>
    <col min="13066" max="13066" width="13" style="11" bestFit="1" customWidth="1"/>
    <col min="13067" max="13067" width="8.33203125" style="11" bestFit="1" customWidth="1"/>
    <col min="13068" max="13068" width="13.5" style="11" bestFit="1" customWidth="1"/>
    <col min="13069" max="13069" width="7.6640625" style="11" bestFit="1" customWidth="1"/>
    <col min="13070" max="13070" width="6.83203125" style="11" bestFit="1" customWidth="1"/>
    <col min="13071" max="13071" width="7.33203125" style="11" bestFit="1" customWidth="1"/>
    <col min="13072" max="13072" width="8.83203125" style="11" bestFit="1" customWidth="1"/>
    <col min="13073" max="13073" width="11.5" style="11" customWidth="1"/>
    <col min="13074" max="13074" width="1.6640625" style="11" customWidth="1"/>
    <col min="13075" max="13075" width="8.6640625" style="11" customWidth="1"/>
    <col min="13076" max="13076" width="10.1640625" style="11" customWidth="1"/>
    <col min="13077" max="13077" width="12.1640625" style="11" customWidth="1"/>
    <col min="13078" max="13078" width="14.1640625" style="11" bestFit="1" customWidth="1"/>
    <col min="13079" max="13079" width="11.33203125" style="11" bestFit="1" customWidth="1"/>
    <col min="13080" max="13080" width="9.6640625" style="11" bestFit="1" customWidth="1"/>
    <col min="13081" max="13081" width="7.6640625" style="11" bestFit="1" customWidth="1"/>
    <col min="13082" max="13082" width="54.1640625" style="11" customWidth="1"/>
    <col min="13083" max="13083" width="19.1640625" style="11" customWidth="1"/>
    <col min="13084" max="13084" width="13.5" style="11" customWidth="1"/>
    <col min="13085" max="13085" width="14.5" style="11" customWidth="1"/>
    <col min="13086" max="13312" width="9.33203125" style="11"/>
    <col min="13313" max="13313" width="18.1640625" style="11" customWidth="1"/>
    <col min="13314" max="13314" width="2" style="11" customWidth="1"/>
    <col min="13315" max="13315" width="12.5" style="11" bestFit="1" customWidth="1"/>
    <col min="13316" max="13316" width="13" style="11" bestFit="1" customWidth="1"/>
    <col min="13317" max="13317" width="9.6640625" style="11" bestFit="1" customWidth="1"/>
    <col min="13318" max="13318" width="8" style="11" bestFit="1" customWidth="1"/>
    <col min="13319" max="13319" width="9" style="11" bestFit="1" customWidth="1"/>
    <col min="13320" max="13320" width="9.6640625" style="11" bestFit="1" customWidth="1"/>
    <col min="13321" max="13321" width="9.6640625" style="11" customWidth="1"/>
    <col min="13322" max="13322" width="13" style="11" bestFit="1" customWidth="1"/>
    <col min="13323" max="13323" width="8.33203125" style="11" bestFit="1" customWidth="1"/>
    <col min="13324" max="13324" width="13.5" style="11" bestFit="1" customWidth="1"/>
    <col min="13325" max="13325" width="7.6640625" style="11" bestFit="1" customWidth="1"/>
    <col min="13326" max="13326" width="6.83203125" style="11" bestFit="1" customWidth="1"/>
    <col min="13327" max="13327" width="7.33203125" style="11" bestFit="1" customWidth="1"/>
    <col min="13328" max="13328" width="8.83203125" style="11" bestFit="1" customWidth="1"/>
    <col min="13329" max="13329" width="11.5" style="11" customWidth="1"/>
    <col min="13330" max="13330" width="1.6640625" style="11" customWidth="1"/>
    <col min="13331" max="13331" width="8.6640625" style="11" customWidth="1"/>
    <col min="13332" max="13332" width="10.1640625" style="11" customWidth="1"/>
    <col min="13333" max="13333" width="12.1640625" style="11" customWidth="1"/>
    <col min="13334" max="13334" width="14.1640625" style="11" bestFit="1" customWidth="1"/>
    <col min="13335" max="13335" width="11.33203125" style="11" bestFit="1" customWidth="1"/>
    <col min="13336" max="13336" width="9.6640625" style="11" bestFit="1" customWidth="1"/>
    <col min="13337" max="13337" width="7.6640625" style="11" bestFit="1" customWidth="1"/>
    <col min="13338" max="13338" width="54.1640625" style="11" customWidth="1"/>
    <col min="13339" max="13339" width="19.1640625" style="11" customWidth="1"/>
    <col min="13340" max="13340" width="13.5" style="11" customWidth="1"/>
    <col min="13341" max="13341" width="14.5" style="11" customWidth="1"/>
    <col min="13342" max="13568" width="9.33203125" style="11"/>
    <col min="13569" max="13569" width="18.1640625" style="11" customWidth="1"/>
    <col min="13570" max="13570" width="2" style="11" customWidth="1"/>
    <col min="13571" max="13571" width="12.5" style="11" bestFit="1" customWidth="1"/>
    <col min="13572" max="13572" width="13" style="11" bestFit="1" customWidth="1"/>
    <col min="13573" max="13573" width="9.6640625" style="11" bestFit="1" customWidth="1"/>
    <col min="13574" max="13574" width="8" style="11" bestFit="1" customWidth="1"/>
    <col min="13575" max="13575" width="9" style="11" bestFit="1" customWidth="1"/>
    <col min="13576" max="13576" width="9.6640625" style="11" bestFit="1" customWidth="1"/>
    <col min="13577" max="13577" width="9.6640625" style="11" customWidth="1"/>
    <col min="13578" max="13578" width="13" style="11" bestFit="1" customWidth="1"/>
    <col min="13579" max="13579" width="8.33203125" style="11" bestFit="1" customWidth="1"/>
    <col min="13580" max="13580" width="13.5" style="11" bestFit="1" customWidth="1"/>
    <col min="13581" max="13581" width="7.6640625" style="11" bestFit="1" customWidth="1"/>
    <col min="13582" max="13582" width="6.83203125" style="11" bestFit="1" customWidth="1"/>
    <col min="13583" max="13583" width="7.33203125" style="11" bestFit="1" customWidth="1"/>
    <col min="13584" max="13584" width="8.83203125" style="11" bestFit="1" customWidth="1"/>
    <col min="13585" max="13585" width="11.5" style="11" customWidth="1"/>
    <col min="13586" max="13586" width="1.6640625" style="11" customWidth="1"/>
    <col min="13587" max="13587" width="8.6640625" style="11" customWidth="1"/>
    <col min="13588" max="13588" width="10.1640625" style="11" customWidth="1"/>
    <col min="13589" max="13589" width="12.1640625" style="11" customWidth="1"/>
    <col min="13590" max="13590" width="14.1640625" style="11" bestFit="1" customWidth="1"/>
    <col min="13591" max="13591" width="11.33203125" style="11" bestFit="1" customWidth="1"/>
    <col min="13592" max="13592" width="9.6640625" style="11" bestFit="1" customWidth="1"/>
    <col min="13593" max="13593" width="7.6640625" style="11" bestFit="1" customWidth="1"/>
    <col min="13594" max="13594" width="54.1640625" style="11" customWidth="1"/>
    <col min="13595" max="13595" width="19.1640625" style="11" customWidth="1"/>
    <col min="13596" max="13596" width="13.5" style="11" customWidth="1"/>
    <col min="13597" max="13597" width="14.5" style="11" customWidth="1"/>
    <col min="13598" max="13824" width="9.33203125" style="11"/>
    <col min="13825" max="13825" width="18.1640625" style="11" customWidth="1"/>
    <col min="13826" max="13826" width="2" style="11" customWidth="1"/>
    <col min="13827" max="13827" width="12.5" style="11" bestFit="1" customWidth="1"/>
    <col min="13828" max="13828" width="13" style="11" bestFit="1" customWidth="1"/>
    <col min="13829" max="13829" width="9.6640625" style="11" bestFit="1" customWidth="1"/>
    <col min="13830" max="13830" width="8" style="11" bestFit="1" customWidth="1"/>
    <col min="13831" max="13831" width="9" style="11" bestFit="1" customWidth="1"/>
    <col min="13832" max="13832" width="9.6640625" style="11" bestFit="1" customWidth="1"/>
    <col min="13833" max="13833" width="9.6640625" style="11" customWidth="1"/>
    <col min="13834" max="13834" width="13" style="11" bestFit="1" customWidth="1"/>
    <col min="13835" max="13835" width="8.33203125" style="11" bestFit="1" customWidth="1"/>
    <col min="13836" max="13836" width="13.5" style="11" bestFit="1" customWidth="1"/>
    <col min="13837" max="13837" width="7.6640625" style="11" bestFit="1" customWidth="1"/>
    <col min="13838" max="13838" width="6.83203125" style="11" bestFit="1" customWidth="1"/>
    <col min="13839" max="13839" width="7.33203125" style="11" bestFit="1" customWidth="1"/>
    <col min="13840" max="13840" width="8.83203125" style="11" bestFit="1" customWidth="1"/>
    <col min="13841" max="13841" width="11.5" style="11" customWidth="1"/>
    <col min="13842" max="13842" width="1.6640625" style="11" customWidth="1"/>
    <col min="13843" max="13843" width="8.6640625" style="11" customWidth="1"/>
    <col min="13844" max="13844" width="10.1640625" style="11" customWidth="1"/>
    <col min="13845" max="13845" width="12.1640625" style="11" customWidth="1"/>
    <col min="13846" max="13846" width="14.1640625" style="11" bestFit="1" customWidth="1"/>
    <col min="13847" max="13847" width="11.33203125" style="11" bestFit="1" customWidth="1"/>
    <col min="13848" max="13848" width="9.6640625" style="11" bestFit="1" customWidth="1"/>
    <col min="13849" max="13849" width="7.6640625" style="11" bestFit="1" customWidth="1"/>
    <col min="13850" max="13850" width="54.1640625" style="11" customWidth="1"/>
    <col min="13851" max="13851" width="19.1640625" style="11" customWidth="1"/>
    <col min="13852" max="13852" width="13.5" style="11" customWidth="1"/>
    <col min="13853" max="13853" width="14.5" style="11" customWidth="1"/>
    <col min="13854" max="14080" width="9.33203125" style="11"/>
    <col min="14081" max="14081" width="18.1640625" style="11" customWidth="1"/>
    <col min="14082" max="14082" width="2" style="11" customWidth="1"/>
    <col min="14083" max="14083" width="12.5" style="11" bestFit="1" customWidth="1"/>
    <col min="14084" max="14084" width="13" style="11" bestFit="1" customWidth="1"/>
    <col min="14085" max="14085" width="9.6640625" style="11" bestFit="1" customWidth="1"/>
    <col min="14086" max="14086" width="8" style="11" bestFit="1" customWidth="1"/>
    <col min="14087" max="14087" width="9" style="11" bestFit="1" customWidth="1"/>
    <col min="14088" max="14088" width="9.6640625" style="11" bestFit="1" customWidth="1"/>
    <col min="14089" max="14089" width="9.6640625" style="11" customWidth="1"/>
    <col min="14090" max="14090" width="13" style="11" bestFit="1" customWidth="1"/>
    <col min="14091" max="14091" width="8.33203125" style="11" bestFit="1" customWidth="1"/>
    <col min="14092" max="14092" width="13.5" style="11" bestFit="1" customWidth="1"/>
    <col min="14093" max="14093" width="7.6640625" style="11" bestFit="1" customWidth="1"/>
    <col min="14094" max="14094" width="6.83203125" style="11" bestFit="1" customWidth="1"/>
    <col min="14095" max="14095" width="7.33203125" style="11" bestFit="1" customWidth="1"/>
    <col min="14096" max="14096" width="8.83203125" style="11" bestFit="1" customWidth="1"/>
    <col min="14097" max="14097" width="11.5" style="11" customWidth="1"/>
    <col min="14098" max="14098" width="1.6640625" style="11" customWidth="1"/>
    <col min="14099" max="14099" width="8.6640625" style="11" customWidth="1"/>
    <col min="14100" max="14100" width="10.1640625" style="11" customWidth="1"/>
    <col min="14101" max="14101" width="12.1640625" style="11" customWidth="1"/>
    <col min="14102" max="14102" width="14.1640625" style="11" bestFit="1" customWidth="1"/>
    <col min="14103" max="14103" width="11.33203125" style="11" bestFit="1" customWidth="1"/>
    <col min="14104" max="14104" width="9.6640625" style="11" bestFit="1" customWidth="1"/>
    <col min="14105" max="14105" width="7.6640625" style="11" bestFit="1" customWidth="1"/>
    <col min="14106" max="14106" width="54.1640625" style="11" customWidth="1"/>
    <col min="14107" max="14107" width="19.1640625" style="11" customWidth="1"/>
    <col min="14108" max="14108" width="13.5" style="11" customWidth="1"/>
    <col min="14109" max="14109" width="14.5" style="11" customWidth="1"/>
    <col min="14110" max="14336" width="9.33203125" style="11"/>
    <col min="14337" max="14337" width="18.1640625" style="11" customWidth="1"/>
    <col min="14338" max="14338" width="2" style="11" customWidth="1"/>
    <col min="14339" max="14339" width="12.5" style="11" bestFit="1" customWidth="1"/>
    <col min="14340" max="14340" width="13" style="11" bestFit="1" customWidth="1"/>
    <col min="14341" max="14341" width="9.6640625" style="11" bestFit="1" customWidth="1"/>
    <col min="14342" max="14342" width="8" style="11" bestFit="1" customWidth="1"/>
    <col min="14343" max="14343" width="9" style="11" bestFit="1" customWidth="1"/>
    <col min="14344" max="14344" width="9.6640625" style="11" bestFit="1" customWidth="1"/>
    <col min="14345" max="14345" width="9.6640625" style="11" customWidth="1"/>
    <col min="14346" max="14346" width="13" style="11" bestFit="1" customWidth="1"/>
    <col min="14347" max="14347" width="8.33203125" style="11" bestFit="1" customWidth="1"/>
    <col min="14348" max="14348" width="13.5" style="11" bestFit="1" customWidth="1"/>
    <col min="14349" max="14349" width="7.6640625" style="11" bestFit="1" customWidth="1"/>
    <col min="14350" max="14350" width="6.83203125" style="11" bestFit="1" customWidth="1"/>
    <col min="14351" max="14351" width="7.33203125" style="11" bestFit="1" customWidth="1"/>
    <col min="14352" max="14352" width="8.83203125" style="11" bestFit="1" customWidth="1"/>
    <col min="14353" max="14353" width="11.5" style="11" customWidth="1"/>
    <col min="14354" max="14354" width="1.6640625" style="11" customWidth="1"/>
    <col min="14355" max="14355" width="8.6640625" style="11" customWidth="1"/>
    <col min="14356" max="14356" width="10.1640625" style="11" customWidth="1"/>
    <col min="14357" max="14357" width="12.1640625" style="11" customWidth="1"/>
    <col min="14358" max="14358" width="14.1640625" style="11" bestFit="1" customWidth="1"/>
    <col min="14359" max="14359" width="11.33203125" style="11" bestFit="1" customWidth="1"/>
    <col min="14360" max="14360" width="9.6640625" style="11" bestFit="1" customWidth="1"/>
    <col min="14361" max="14361" width="7.6640625" style="11" bestFit="1" customWidth="1"/>
    <col min="14362" max="14362" width="54.1640625" style="11" customWidth="1"/>
    <col min="14363" max="14363" width="19.1640625" style="11" customWidth="1"/>
    <col min="14364" max="14364" width="13.5" style="11" customWidth="1"/>
    <col min="14365" max="14365" width="14.5" style="11" customWidth="1"/>
    <col min="14366" max="14592" width="9.33203125" style="11"/>
    <col min="14593" max="14593" width="18.1640625" style="11" customWidth="1"/>
    <col min="14594" max="14594" width="2" style="11" customWidth="1"/>
    <col min="14595" max="14595" width="12.5" style="11" bestFit="1" customWidth="1"/>
    <col min="14596" max="14596" width="13" style="11" bestFit="1" customWidth="1"/>
    <col min="14597" max="14597" width="9.6640625" style="11" bestFit="1" customWidth="1"/>
    <col min="14598" max="14598" width="8" style="11" bestFit="1" customWidth="1"/>
    <col min="14599" max="14599" width="9" style="11" bestFit="1" customWidth="1"/>
    <col min="14600" max="14600" width="9.6640625" style="11" bestFit="1" customWidth="1"/>
    <col min="14601" max="14601" width="9.6640625" style="11" customWidth="1"/>
    <col min="14602" max="14602" width="13" style="11" bestFit="1" customWidth="1"/>
    <col min="14603" max="14603" width="8.33203125" style="11" bestFit="1" customWidth="1"/>
    <col min="14604" max="14604" width="13.5" style="11" bestFit="1" customWidth="1"/>
    <col min="14605" max="14605" width="7.6640625" style="11" bestFit="1" customWidth="1"/>
    <col min="14606" max="14606" width="6.83203125" style="11" bestFit="1" customWidth="1"/>
    <col min="14607" max="14607" width="7.33203125" style="11" bestFit="1" customWidth="1"/>
    <col min="14608" max="14608" width="8.83203125" style="11" bestFit="1" customWidth="1"/>
    <col min="14609" max="14609" width="11.5" style="11" customWidth="1"/>
    <col min="14610" max="14610" width="1.6640625" style="11" customWidth="1"/>
    <col min="14611" max="14611" width="8.6640625" style="11" customWidth="1"/>
    <col min="14612" max="14612" width="10.1640625" style="11" customWidth="1"/>
    <col min="14613" max="14613" width="12.1640625" style="11" customWidth="1"/>
    <col min="14614" max="14614" width="14.1640625" style="11" bestFit="1" customWidth="1"/>
    <col min="14615" max="14615" width="11.33203125" style="11" bestFit="1" customWidth="1"/>
    <col min="14616" max="14616" width="9.6640625" style="11" bestFit="1" customWidth="1"/>
    <col min="14617" max="14617" width="7.6640625" style="11" bestFit="1" customWidth="1"/>
    <col min="14618" max="14618" width="54.1640625" style="11" customWidth="1"/>
    <col min="14619" max="14619" width="19.1640625" style="11" customWidth="1"/>
    <col min="14620" max="14620" width="13.5" style="11" customWidth="1"/>
    <col min="14621" max="14621" width="14.5" style="11" customWidth="1"/>
    <col min="14622" max="14848" width="9.33203125" style="11"/>
    <col min="14849" max="14849" width="18.1640625" style="11" customWidth="1"/>
    <col min="14850" max="14850" width="2" style="11" customWidth="1"/>
    <col min="14851" max="14851" width="12.5" style="11" bestFit="1" customWidth="1"/>
    <col min="14852" max="14852" width="13" style="11" bestFit="1" customWidth="1"/>
    <col min="14853" max="14853" width="9.6640625" style="11" bestFit="1" customWidth="1"/>
    <col min="14854" max="14854" width="8" style="11" bestFit="1" customWidth="1"/>
    <col min="14855" max="14855" width="9" style="11" bestFit="1" customWidth="1"/>
    <col min="14856" max="14856" width="9.6640625" style="11" bestFit="1" customWidth="1"/>
    <col min="14857" max="14857" width="9.6640625" style="11" customWidth="1"/>
    <col min="14858" max="14858" width="13" style="11" bestFit="1" customWidth="1"/>
    <col min="14859" max="14859" width="8.33203125" style="11" bestFit="1" customWidth="1"/>
    <col min="14860" max="14860" width="13.5" style="11" bestFit="1" customWidth="1"/>
    <col min="14861" max="14861" width="7.6640625" style="11" bestFit="1" customWidth="1"/>
    <col min="14862" max="14862" width="6.83203125" style="11" bestFit="1" customWidth="1"/>
    <col min="14863" max="14863" width="7.33203125" style="11" bestFit="1" customWidth="1"/>
    <col min="14864" max="14864" width="8.83203125" style="11" bestFit="1" customWidth="1"/>
    <col min="14865" max="14865" width="11.5" style="11" customWidth="1"/>
    <col min="14866" max="14866" width="1.6640625" style="11" customWidth="1"/>
    <col min="14867" max="14867" width="8.6640625" style="11" customWidth="1"/>
    <col min="14868" max="14868" width="10.1640625" style="11" customWidth="1"/>
    <col min="14869" max="14869" width="12.1640625" style="11" customWidth="1"/>
    <col min="14870" max="14870" width="14.1640625" style="11" bestFit="1" customWidth="1"/>
    <col min="14871" max="14871" width="11.33203125" style="11" bestFit="1" customWidth="1"/>
    <col min="14872" max="14872" width="9.6640625" style="11" bestFit="1" customWidth="1"/>
    <col min="14873" max="14873" width="7.6640625" style="11" bestFit="1" customWidth="1"/>
    <col min="14874" max="14874" width="54.1640625" style="11" customWidth="1"/>
    <col min="14875" max="14875" width="19.1640625" style="11" customWidth="1"/>
    <col min="14876" max="14876" width="13.5" style="11" customWidth="1"/>
    <col min="14877" max="14877" width="14.5" style="11" customWidth="1"/>
    <col min="14878" max="15104" width="9.33203125" style="11"/>
    <col min="15105" max="15105" width="18.1640625" style="11" customWidth="1"/>
    <col min="15106" max="15106" width="2" style="11" customWidth="1"/>
    <col min="15107" max="15107" width="12.5" style="11" bestFit="1" customWidth="1"/>
    <col min="15108" max="15108" width="13" style="11" bestFit="1" customWidth="1"/>
    <col min="15109" max="15109" width="9.6640625" style="11" bestFit="1" customWidth="1"/>
    <col min="15110" max="15110" width="8" style="11" bestFit="1" customWidth="1"/>
    <col min="15111" max="15111" width="9" style="11" bestFit="1" customWidth="1"/>
    <col min="15112" max="15112" width="9.6640625" style="11" bestFit="1" customWidth="1"/>
    <col min="15113" max="15113" width="9.6640625" style="11" customWidth="1"/>
    <col min="15114" max="15114" width="13" style="11" bestFit="1" customWidth="1"/>
    <col min="15115" max="15115" width="8.33203125" style="11" bestFit="1" customWidth="1"/>
    <col min="15116" max="15116" width="13.5" style="11" bestFit="1" customWidth="1"/>
    <col min="15117" max="15117" width="7.6640625" style="11" bestFit="1" customWidth="1"/>
    <col min="15118" max="15118" width="6.83203125" style="11" bestFit="1" customWidth="1"/>
    <col min="15119" max="15119" width="7.33203125" style="11" bestFit="1" customWidth="1"/>
    <col min="15120" max="15120" width="8.83203125" style="11" bestFit="1" customWidth="1"/>
    <col min="15121" max="15121" width="11.5" style="11" customWidth="1"/>
    <col min="15122" max="15122" width="1.6640625" style="11" customWidth="1"/>
    <col min="15123" max="15123" width="8.6640625" style="11" customWidth="1"/>
    <col min="15124" max="15124" width="10.1640625" style="11" customWidth="1"/>
    <col min="15125" max="15125" width="12.1640625" style="11" customWidth="1"/>
    <col min="15126" max="15126" width="14.1640625" style="11" bestFit="1" customWidth="1"/>
    <col min="15127" max="15127" width="11.33203125" style="11" bestFit="1" customWidth="1"/>
    <col min="15128" max="15128" width="9.6640625" style="11" bestFit="1" customWidth="1"/>
    <col min="15129" max="15129" width="7.6640625" style="11" bestFit="1" customWidth="1"/>
    <col min="15130" max="15130" width="54.1640625" style="11" customWidth="1"/>
    <col min="15131" max="15131" width="19.1640625" style="11" customWidth="1"/>
    <col min="15132" max="15132" width="13.5" style="11" customWidth="1"/>
    <col min="15133" max="15133" width="14.5" style="11" customWidth="1"/>
    <col min="15134" max="15360" width="9.33203125" style="11"/>
    <col min="15361" max="15361" width="18.1640625" style="11" customWidth="1"/>
    <col min="15362" max="15362" width="2" style="11" customWidth="1"/>
    <col min="15363" max="15363" width="12.5" style="11" bestFit="1" customWidth="1"/>
    <col min="15364" max="15364" width="13" style="11" bestFit="1" customWidth="1"/>
    <col min="15365" max="15365" width="9.6640625" style="11" bestFit="1" customWidth="1"/>
    <col min="15366" max="15366" width="8" style="11" bestFit="1" customWidth="1"/>
    <col min="15367" max="15367" width="9" style="11" bestFit="1" customWidth="1"/>
    <col min="15368" max="15368" width="9.6640625" style="11" bestFit="1" customWidth="1"/>
    <col min="15369" max="15369" width="9.6640625" style="11" customWidth="1"/>
    <col min="15370" max="15370" width="13" style="11" bestFit="1" customWidth="1"/>
    <col min="15371" max="15371" width="8.33203125" style="11" bestFit="1" customWidth="1"/>
    <col min="15372" max="15372" width="13.5" style="11" bestFit="1" customWidth="1"/>
    <col min="15373" max="15373" width="7.6640625" style="11" bestFit="1" customWidth="1"/>
    <col min="15374" max="15374" width="6.83203125" style="11" bestFit="1" customWidth="1"/>
    <col min="15375" max="15375" width="7.33203125" style="11" bestFit="1" customWidth="1"/>
    <col min="15376" max="15376" width="8.83203125" style="11" bestFit="1" customWidth="1"/>
    <col min="15377" max="15377" width="11.5" style="11" customWidth="1"/>
    <col min="15378" max="15378" width="1.6640625" style="11" customWidth="1"/>
    <col min="15379" max="15379" width="8.6640625" style="11" customWidth="1"/>
    <col min="15380" max="15380" width="10.1640625" style="11" customWidth="1"/>
    <col min="15381" max="15381" width="12.1640625" style="11" customWidth="1"/>
    <col min="15382" max="15382" width="14.1640625" style="11" bestFit="1" customWidth="1"/>
    <col min="15383" max="15383" width="11.33203125" style="11" bestFit="1" customWidth="1"/>
    <col min="15384" max="15384" width="9.6640625" style="11" bestFit="1" customWidth="1"/>
    <col min="15385" max="15385" width="7.6640625" style="11" bestFit="1" customWidth="1"/>
    <col min="15386" max="15386" width="54.1640625" style="11" customWidth="1"/>
    <col min="15387" max="15387" width="19.1640625" style="11" customWidth="1"/>
    <col min="15388" max="15388" width="13.5" style="11" customWidth="1"/>
    <col min="15389" max="15389" width="14.5" style="11" customWidth="1"/>
    <col min="15390" max="15616" width="9.33203125" style="11"/>
    <col min="15617" max="15617" width="18.1640625" style="11" customWidth="1"/>
    <col min="15618" max="15618" width="2" style="11" customWidth="1"/>
    <col min="15619" max="15619" width="12.5" style="11" bestFit="1" customWidth="1"/>
    <col min="15620" max="15620" width="13" style="11" bestFit="1" customWidth="1"/>
    <col min="15621" max="15621" width="9.6640625" style="11" bestFit="1" customWidth="1"/>
    <col min="15622" max="15622" width="8" style="11" bestFit="1" customWidth="1"/>
    <col min="15623" max="15623" width="9" style="11" bestFit="1" customWidth="1"/>
    <col min="15624" max="15624" width="9.6640625" style="11" bestFit="1" customWidth="1"/>
    <col min="15625" max="15625" width="9.6640625" style="11" customWidth="1"/>
    <col min="15626" max="15626" width="13" style="11" bestFit="1" customWidth="1"/>
    <col min="15627" max="15627" width="8.33203125" style="11" bestFit="1" customWidth="1"/>
    <col min="15628" max="15628" width="13.5" style="11" bestFit="1" customWidth="1"/>
    <col min="15629" max="15629" width="7.6640625" style="11" bestFit="1" customWidth="1"/>
    <col min="15630" max="15630" width="6.83203125" style="11" bestFit="1" customWidth="1"/>
    <col min="15631" max="15631" width="7.33203125" style="11" bestFit="1" customWidth="1"/>
    <col min="15632" max="15632" width="8.83203125" style="11" bestFit="1" customWidth="1"/>
    <col min="15633" max="15633" width="11.5" style="11" customWidth="1"/>
    <col min="15634" max="15634" width="1.6640625" style="11" customWidth="1"/>
    <col min="15635" max="15635" width="8.6640625" style="11" customWidth="1"/>
    <col min="15636" max="15636" width="10.1640625" style="11" customWidth="1"/>
    <col min="15637" max="15637" width="12.1640625" style="11" customWidth="1"/>
    <col min="15638" max="15638" width="14.1640625" style="11" bestFit="1" customWidth="1"/>
    <col min="15639" max="15639" width="11.33203125" style="11" bestFit="1" customWidth="1"/>
    <col min="15640" max="15640" width="9.6640625" style="11" bestFit="1" customWidth="1"/>
    <col min="15641" max="15641" width="7.6640625" style="11" bestFit="1" customWidth="1"/>
    <col min="15642" max="15642" width="54.1640625" style="11" customWidth="1"/>
    <col min="15643" max="15643" width="19.1640625" style="11" customWidth="1"/>
    <col min="15644" max="15644" width="13.5" style="11" customWidth="1"/>
    <col min="15645" max="15645" width="14.5" style="11" customWidth="1"/>
    <col min="15646" max="15872" width="9.33203125" style="11"/>
    <col min="15873" max="15873" width="18.1640625" style="11" customWidth="1"/>
    <col min="15874" max="15874" width="2" style="11" customWidth="1"/>
    <col min="15875" max="15875" width="12.5" style="11" bestFit="1" customWidth="1"/>
    <col min="15876" max="15876" width="13" style="11" bestFit="1" customWidth="1"/>
    <col min="15877" max="15877" width="9.6640625" style="11" bestFit="1" customWidth="1"/>
    <col min="15878" max="15878" width="8" style="11" bestFit="1" customWidth="1"/>
    <col min="15879" max="15879" width="9" style="11" bestFit="1" customWidth="1"/>
    <col min="15880" max="15880" width="9.6640625" style="11" bestFit="1" customWidth="1"/>
    <col min="15881" max="15881" width="9.6640625" style="11" customWidth="1"/>
    <col min="15882" max="15882" width="13" style="11" bestFit="1" customWidth="1"/>
    <col min="15883" max="15883" width="8.33203125" style="11" bestFit="1" customWidth="1"/>
    <col min="15884" max="15884" width="13.5" style="11" bestFit="1" customWidth="1"/>
    <col min="15885" max="15885" width="7.6640625" style="11" bestFit="1" customWidth="1"/>
    <col min="15886" max="15886" width="6.83203125" style="11" bestFit="1" customWidth="1"/>
    <col min="15887" max="15887" width="7.33203125" style="11" bestFit="1" customWidth="1"/>
    <col min="15888" max="15888" width="8.83203125" style="11" bestFit="1" customWidth="1"/>
    <col min="15889" max="15889" width="11.5" style="11" customWidth="1"/>
    <col min="15890" max="15890" width="1.6640625" style="11" customWidth="1"/>
    <col min="15891" max="15891" width="8.6640625" style="11" customWidth="1"/>
    <col min="15892" max="15892" width="10.1640625" style="11" customWidth="1"/>
    <col min="15893" max="15893" width="12.1640625" style="11" customWidth="1"/>
    <col min="15894" max="15894" width="14.1640625" style="11" bestFit="1" customWidth="1"/>
    <col min="15895" max="15895" width="11.33203125" style="11" bestFit="1" customWidth="1"/>
    <col min="15896" max="15896" width="9.6640625" style="11" bestFit="1" customWidth="1"/>
    <col min="15897" max="15897" width="7.6640625" style="11" bestFit="1" customWidth="1"/>
    <col min="15898" max="15898" width="54.1640625" style="11" customWidth="1"/>
    <col min="15899" max="15899" width="19.1640625" style="11" customWidth="1"/>
    <col min="15900" max="15900" width="13.5" style="11" customWidth="1"/>
    <col min="15901" max="15901" width="14.5" style="11" customWidth="1"/>
    <col min="15902" max="16128" width="9.33203125" style="11"/>
    <col min="16129" max="16129" width="18.1640625" style="11" customWidth="1"/>
    <col min="16130" max="16130" width="2" style="11" customWidth="1"/>
    <col min="16131" max="16131" width="12.5" style="11" bestFit="1" customWidth="1"/>
    <col min="16132" max="16132" width="13" style="11" bestFit="1" customWidth="1"/>
    <col min="16133" max="16133" width="9.6640625" style="11" bestFit="1" customWidth="1"/>
    <col min="16134" max="16134" width="8" style="11" bestFit="1" customWidth="1"/>
    <col min="16135" max="16135" width="9" style="11" bestFit="1" customWidth="1"/>
    <col min="16136" max="16136" width="9.6640625" style="11" bestFit="1" customWidth="1"/>
    <col min="16137" max="16137" width="9.6640625" style="11" customWidth="1"/>
    <col min="16138" max="16138" width="13" style="11" bestFit="1" customWidth="1"/>
    <col min="16139" max="16139" width="8.33203125" style="11" bestFit="1" customWidth="1"/>
    <col min="16140" max="16140" width="13.5" style="11" bestFit="1" customWidth="1"/>
    <col min="16141" max="16141" width="7.6640625" style="11" bestFit="1" customWidth="1"/>
    <col min="16142" max="16142" width="6.83203125" style="11" bestFit="1" customWidth="1"/>
    <col min="16143" max="16143" width="7.33203125" style="11" bestFit="1" customWidth="1"/>
    <col min="16144" max="16144" width="8.83203125" style="11" bestFit="1" customWidth="1"/>
    <col min="16145" max="16145" width="11.5" style="11" customWidth="1"/>
    <col min="16146" max="16146" width="1.6640625" style="11" customWidth="1"/>
    <col min="16147" max="16147" width="8.6640625" style="11" customWidth="1"/>
    <col min="16148" max="16148" width="10.1640625" style="11" customWidth="1"/>
    <col min="16149" max="16149" width="12.1640625" style="11" customWidth="1"/>
    <col min="16150" max="16150" width="14.1640625" style="11" bestFit="1" customWidth="1"/>
    <col min="16151" max="16151" width="11.33203125" style="11" bestFit="1" customWidth="1"/>
    <col min="16152" max="16152" width="9.6640625" style="11" bestFit="1" customWidth="1"/>
    <col min="16153" max="16153" width="7.6640625" style="11" bestFit="1" customWidth="1"/>
    <col min="16154" max="16154" width="54.1640625" style="11" customWidth="1"/>
    <col min="16155" max="16155" width="19.1640625" style="11" customWidth="1"/>
    <col min="16156" max="16156" width="13.5" style="11" customWidth="1"/>
    <col min="16157" max="16157" width="14.5" style="11" customWidth="1"/>
    <col min="16158" max="16384" width="9.33203125" style="11"/>
  </cols>
  <sheetData>
    <row r="1" spans="1:31" ht="13.5" customHeight="1" thickBot="1" x14ac:dyDescent="0.25">
      <c r="A1" s="141" t="s">
        <v>0</v>
      </c>
      <c r="B1" s="14"/>
      <c r="C1" s="144" t="s">
        <v>485</v>
      </c>
      <c r="D1" s="128" t="s">
        <v>486</v>
      </c>
      <c r="E1" s="138" t="s">
        <v>487</v>
      </c>
      <c r="F1" s="125" t="s">
        <v>488</v>
      </c>
      <c r="G1" s="138" t="s">
        <v>489</v>
      </c>
      <c r="H1" s="125" t="s">
        <v>490</v>
      </c>
      <c r="I1" s="125" t="s">
        <v>491</v>
      </c>
      <c r="J1" s="128" t="s">
        <v>492</v>
      </c>
      <c r="K1" s="131" t="s">
        <v>493</v>
      </c>
      <c r="L1" s="134" t="s">
        <v>494</v>
      </c>
      <c r="M1" s="15"/>
      <c r="N1" s="15"/>
      <c r="O1" s="15"/>
      <c r="P1" s="15"/>
      <c r="Q1" s="15"/>
      <c r="R1" s="16"/>
      <c r="S1" s="137" t="s">
        <v>797</v>
      </c>
      <c r="T1" s="137"/>
      <c r="U1" s="137"/>
      <c r="V1" s="137"/>
      <c r="W1" s="137"/>
      <c r="X1" s="137"/>
      <c r="Y1" s="137"/>
      <c r="Z1" s="119" t="s">
        <v>495</v>
      </c>
      <c r="AA1" s="120"/>
      <c r="AB1" s="120"/>
      <c r="AC1" s="120"/>
      <c r="AD1" s="120"/>
      <c r="AE1" s="75" t="s">
        <v>797</v>
      </c>
    </row>
    <row r="2" spans="1:31" ht="13.5" customHeight="1" thickBot="1" x14ac:dyDescent="0.25">
      <c r="A2" s="142"/>
      <c r="B2" s="16"/>
      <c r="C2" s="145"/>
      <c r="D2" s="129"/>
      <c r="E2" s="139"/>
      <c r="F2" s="126"/>
      <c r="G2" s="139"/>
      <c r="H2" s="126"/>
      <c r="I2" s="126"/>
      <c r="J2" s="129"/>
      <c r="K2" s="132"/>
      <c r="L2" s="135"/>
      <c r="M2" s="123" t="s">
        <v>496</v>
      </c>
      <c r="N2" s="123"/>
      <c r="O2" s="123"/>
      <c r="P2" s="123"/>
      <c r="Q2" s="124"/>
      <c r="R2" s="17"/>
      <c r="S2" s="137"/>
      <c r="T2" s="137"/>
      <c r="U2" s="137"/>
      <c r="V2" s="137"/>
      <c r="W2" s="137"/>
      <c r="X2" s="137"/>
      <c r="Y2" s="137"/>
      <c r="Z2" s="121"/>
      <c r="AA2" s="122"/>
      <c r="AB2" s="122"/>
      <c r="AC2" s="122"/>
      <c r="AD2" s="122"/>
      <c r="AE2" s="75" t="s">
        <v>818</v>
      </c>
    </row>
    <row r="3" spans="1:31" ht="63.75" thickBot="1" x14ac:dyDescent="0.25">
      <c r="A3" s="143"/>
      <c r="B3" s="16"/>
      <c r="C3" s="146"/>
      <c r="D3" s="130"/>
      <c r="E3" s="140"/>
      <c r="F3" s="127"/>
      <c r="G3" s="140"/>
      <c r="H3" s="127"/>
      <c r="I3" s="127"/>
      <c r="J3" s="130"/>
      <c r="K3" s="133"/>
      <c r="L3" s="136"/>
      <c r="M3" s="18" t="s">
        <v>497</v>
      </c>
      <c r="N3" s="19" t="s">
        <v>498</v>
      </c>
      <c r="O3" s="19" t="s">
        <v>499</v>
      </c>
      <c r="P3" s="20" t="s">
        <v>500</v>
      </c>
      <c r="Q3" s="21" t="s">
        <v>501</v>
      </c>
      <c r="R3" s="22"/>
      <c r="S3" s="23" t="s">
        <v>819</v>
      </c>
      <c r="T3" s="23" t="s">
        <v>820</v>
      </c>
      <c r="U3" s="24" t="s">
        <v>502</v>
      </c>
      <c r="V3" s="25" t="s">
        <v>503</v>
      </c>
      <c r="W3" s="25" t="s">
        <v>823</v>
      </c>
      <c r="X3" s="26" t="s">
        <v>504</v>
      </c>
      <c r="Y3" s="26" t="s">
        <v>494</v>
      </c>
      <c r="Z3" s="27" t="s">
        <v>839</v>
      </c>
      <c r="AA3" s="28" t="s">
        <v>840</v>
      </c>
      <c r="AB3" s="28" t="s">
        <v>824</v>
      </c>
      <c r="AC3" s="28" t="s">
        <v>826</v>
      </c>
      <c r="AD3" s="28" t="s">
        <v>825</v>
      </c>
    </row>
    <row r="4" spans="1:31" ht="15.75" thickBot="1" x14ac:dyDescent="0.25">
      <c r="A4" s="29" t="s">
        <v>227</v>
      </c>
      <c r="B4" s="16"/>
      <c r="C4" s="30">
        <v>240</v>
      </c>
      <c r="D4" s="31">
        <v>0.36</v>
      </c>
      <c r="E4" s="32">
        <v>14.44</v>
      </c>
      <c r="F4" s="32">
        <v>12.53</v>
      </c>
      <c r="G4" s="32">
        <v>8.1199999999999992</v>
      </c>
      <c r="H4" s="32">
        <v>39.200000000000003</v>
      </c>
      <c r="I4" s="32">
        <f>(H4/C4)</f>
        <v>0.16333333333333336</v>
      </c>
      <c r="J4" s="30" t="s">
        <v>505</v>
      </c>
      <c r="K4" s="33" t="s">
        <v>506</v>
      </c>
      <c r="L4" s="34">
        <v>3.8E-3</v>
      </c>
      <c r="M4" s="35">
        <v>43.31</v>
      </c>
      <c r="N4" s="35">
        <v>50.12</v>
      </c>
      <c r="O4" s="35">
        <v>38</v>
      </c>
      <c r="P4" s="36">
        <v>2009</v>
      </c>
      <c r="Q4" s="37">
        <v>48</v>
      </c>
      <c r="R4" s="38"/>
      <c r="S4" s="39">
        <f>IF($S$1="ASSAULT RATE",SUMIF('Loads + CPFs by TAMCN'!$C$8:$C$1000,'Ammo Pallet Calculator'!A4,'Loads + CPFs by TAMCN'!$L$8:$L$1000),0)</f>
        <v>1786.08</v>
      </c>
      <c r="T4" s="40">
        <f>IF($S$1="SUSTAIN RATE",SUMIF('Loads + CPFs by TAMCN'!$C$8:$C$1000,'Ammo Pallet Calculator'!A4,'Loads + CPFs by TAMCN'!$M$8:$M$1000),0)</f>
        <v>0</v>
      </c>
      <c r="U4" s="41">
        <f t="shared" ref="U4:U73" si="0">SUM(S4:T4)</f>
        <v>1786.08</v>
      </c>
      <c r="V4" s="42">
        <f>SUM(U4/C4)</f>
        <v>7.4419999999999993</v>
      </c>
      <c r="W4" s="42">
        <f t="shared" ref="W4:W51" si="1">(V4/Q4)</f>
        <v>0.15504166666666666</v>
      </c>
      <c r="X4" s="43">
        <f>SUM(V4*H4)</f>
        <v>291.72640000000001</v>
      </c>
      <c r="Y4" s="43">
        <f t="shared" ref="Y4:Y72" si="2">U4*L4</f>
        <v>6.7871039999999994</v>
      </c>
      <c r="Z4" s="44" t="s">
        <v>822</v>
      </c>
      <c r="AA4" s="45">
        <v>6</v>
      </c>
      <c r="AB4" s="45">
        <v>24400</v>
      </c>
      <c r="AC4" s="45">
        <f>($AA$20/AA4)</f>
        <v>21.885249770710786</v>
      </c>
      <c r="AD4" s="45">
        <f>($Z$17/AB4)</f>
        <v>20.915604290604346</v>
      </c>
    </row>
    <row r="5" spans="1:31" ht="15.75" thickBot="1" x14ac:dyDescent="0.25">
      <c r="A5" s="29" t="s">
        <v>507</v>
      </c>
      <c r="B5" s="16"/>
      <c r="C5" s="46">
        <v>240</v>
      </c>
      <c r="D5" s="47">
        <v>0.25</v>
      </c>
      <c r="E5" s="35">
        <v>14.44</v>
      </c>
      <c r="F5" s="35">
        <v>12.53</v>
      </c>
      <c r="G5" s="35">
        <v>8.1199999999999992</v>
      </c>
      <c r="H5" s="35">
        <v>39.200000000000003</v>
      </c>
      <c r="I5" s="35">
        <f t="shared" ref="I5:I86" si="3">(H5/C5)</f>
        <v>0.16333333333333336</v>
      </c>
      <c r="J5" s="46" t="s">
        <v>505</v>
      </c>
      <c r="K5" s="48" t="s">
        <v>506</v>
      </c>
      <c r="L5" s="49">
        <v>2.8300000000000001E-3</v>
      </c>
      <c r="M5" s="35">
        <v>43.31</v>
      </c>
      <c r="N5" s="35">
        <v>50.12</v>
      </c>
      <c r="O5" s="35">
        <v>38</v>
      </c>
      <c r="P5" s="36">
        <v>2009</v>
      </c>
      <c r="Q5" s="37">
        <v>48</v>
      </c>
      <c r="R5" s="38"/>
      <c r="S5" s="39">
        <f>IF($S$1="ASSAULT RATE",SUMIF('Loads + CPFs by TAMCN'!$C$8:$C$1000,'Ammo Pallet Calculator'!A5,'Loads + CPFs by TAMCN'!$L$8:$L$1000),0)</f>
        <v>0</v>
      </c>
      <c r="T5" s="40">
        <f>IF($S$1="SUSTAIN RATE",SUMIF('Loads + CPFs by TAMCN'!$C$8:$C$1000,'Ammo Pallet Calculator'!A5,'Loads + CPFs by TAMCN'!$M$8:$M$1000),0)</f>
        <v>0</v>
      </c>
      <c r="U5" s="41">
        <f t="shared" si="0"/>
        <v>0</v>
      </c>
      <c r="V5" s="42">
        <f>SUM(U5/C5)</f>
        <v>0</v>
      </c>
      <c r="W5" s="42">
        <f t="shared" si="1"/>
        <v>0</v>
      </c>
      <c r="X5" s="43">
        <f>SUM(V5*H5)</f>
        <v>0</v>
      </c>
      <c r="Y5" s="43">
        <f t="shared" si="2"/>
        <v>0</v>
      </c>
      <c r="Z5" s="44" t="s">
        <v>821</v>
      </c>
      <c r="AA5" s="45">
        <v>8</v>
      </c>
      <c r="AB5" s="45">
        <v>30000</v>
      </c>
      <c r="AC5" s="45">
        <f t="shared" ref="AC5:AC14" si="4">($AA$20/AA5)</f>
        <v>16.413937328033089</v>
      </c>
      <c r="AD5" s="45">
        <f t="shared" ref="AD5:AD14" si="5">($Z$17/AB5)</f>
        <v>17.011358156358199</v>
      </c>
    </row>
    <row r="6" spans="1:31" ht="15.75" thickBot="1" x14ac:dyDescent="0.25">
      <c r="A6" s="29" t="s">
        <v>508</v>
      </c>
      <c r="B6" s="16"/>
      <c r="C6" s="46">
        <v>240</v>
      </c>
      <c r="D6" s="47">
        <v>0.57999999999999996</v>
      </c>
      <c r="E6" s="35">
        <v>14.44</v>
      </c>
      <c r="F6" s="35">
        <v>12.53</v>
      </c>
      <c r="G6" s="35">
        <v>8.1199999999999992</v>
      </c>
      <c r="H6" s="35">
        <v>45.9</v>
      </c>
      <c r="I6" s="35">
        <f t="shared" si="3"/>
        <v>0.19125</v>
      </c>
      <c r="J6" s="46" t="s">
        <v>505</v>
      </c>
      <c r="K6" s="48" t="s">
        <v>506</v>
      </c>
      <c r="L6" s="49">
        <v>5.4999999999999997E-3</v>
      </c>
      <c r="M6" s="35">
        <v>43.31</v>
      </c>
      <c r="N6" s="35">
        <v>50.12</v>
      </c>
      <c r="O6" s="35">
        <v>38</v>
      </c>
      <c r="P6" s="36">
        <v>2278</v>
      </c>
      <c r="Q6" s="37">
        <v>48</v>
      </c>
      <c r="R6" s="38"/>
      <c r="S6" s="39">
        <f>IF($S$1="ASSAULT RATE",SUMIF('Loads + CPFs by TAMCN'!$C$8:$C$1000,'Ammo Pallet Calculator'!A6,'Loads + CPFs by TAMCN'!$L$8:$L$1000),0)</f>
        <v>0</v>
      </c>
      <c r="T6" s="40">
        <f>IF($S$1="SUSTAIN RATE",SUMIF('Loads + CPFs by TAMCN'!$C$8:$C$1000,'Ammo Pallet Calculator'!A6,'Loads + CPFs by TAMCN'!$M$8:$M$1000),0)</f>
        <v>0</v>
      </c>
      <c r="U6" s="41">
        <f t="shared" si="0"/>
        <v>0</v>
      </c>
      <c r="V6" s="42">
        <f>SUM(U6/C6)</f>
        <v>0</v>
      </c>
      <c r="W6" s="42">
        <f t="shared" si="1"/>
        <v>0</v>
      </c>
      <c r="X6" s="43">
        <f>SUM(V6*H6)</f>
        <v>0</v>
      </c>
      <c r="Y6" s="43">
        <f t="shared" si="2"/>
        <v>0</v>
      </c>
      <c r="Z6" s="44" t="s">
        <v>509</v>
      </c>
      <c r="AA6" s="45">
        <v>8</v>
      </c>
      <c r="AB6" s="45">
        <v>45000</v>
      </c>
      <c r="AC6" s="45">
        <f t="shared" si="4"/>
        <v>16.413937328033089</v>
      </c>
      <c r="AD6" s="45">
        <f t="shared" si="5"/>
        <v>11.340905437572134</v>
      </c>
    </row>
    <row r="7" spans="1:31" ht="15.75" thickBot="1" x14ac:dyDescent="0.25">
      <c r="A7" s="29" t="s">
        <v>510</v>
      </c>
      <c r="B7" s="16"/>
      <c r="C7" s="46">
        <v>320</v>
      </c>
      <c r="D7" s="47">
        <v>2.29</v>
      </c>
      <c r="E7" s="35">
        <v>14.44</v>
      </c>
      <c r="F7" s="35">
        <v>12.53</v>
      </c>
      <c r="G7" s="35">
        <v>8.1199999999999992</v>
      </c>
      <c r="H7" s="35">
        <v>49</v>
      </c>
      <c r="I7" s="35">
        <f t="shared" si="3"/>
        <v>0.15312500000000001</v>
      </c>
      <c r="J7" s="46" t="s">
        <v>505</v>
      </c>
      <c r="K7" s="48" t="s">
        <v>506</v>
      </c>
      <c r="L7" s="49">
        <v>3.0999999999999999E-3</v>
      </c>
      <c r="M7" s="35">
        <v>43.31</v>
      </c>
      <c r="N7" s="35">
        <v>50.12</v>
      </c>
      <c r="O7" s="35">
        <v>38</v>
      </c>
      <c r="P7" s="36">
        <v>2427</v>
      </c>
      <c r="Q7" s="37">
        <v>48</v>
      </c>
      <c r="R7" s="38"/>
      <c r="S7" s="39">
        <f>IF($S$1="ASSAULT RATE",SUMIF('Loads + CPFs by TAMCN'!$C$8:$C$1000,'Ammo Pallet Calculator'!A7,'Loads + CPFs by TAMCN'!$L$8:$L$1000),0)</f>
        <v>0</v>
      </c>
      <c r="T7" s="40">
        <f>IF($S$1="SUSTAIN RATE",SUMIF('Loads + CPFs by TAMCN'!$C$8:$C$1000,'Ammo Pallet Calculator'!A7,'Loads + CPFs by TAMCN'!$M$8:$M$1000),0)</f>
        <v>0</v>
      </c>
      <c r="U7" s="41">
        <f t="shared" si="0"/>
        <v>0</v>
      </c>
      <c r="V7" s="42">
        <f>SUM(U7/C7)</f>
        <v>0</v>
      </c>
      <c r="W7" s="42">
        <f t="shared" si="1"/>
        <v>0</v>
      </c>
      <c r="X7" s="43">
        <f>SUM(V7*H7)</f>
        <v>0</v>
      </c>
      <c r="Y7" s="43">
        <f t="shared" si="2"/>
        <v>0</v>
      </c>
      <c r="Z7" s="44" t="s">
        <v>511</v>
      </c>
      <c r="AA7" s="45">
        <v>16</v>
      </c>
      <c r="AB7" s="45">
        <v>50000</v>
      </c>
      <c r="AC7" s="45">
        <f t="shared" si="4"/>
        <v>8.2069686640165447</v>
      </c>
      <c r="AD7" s="45">
        <f t="shared" si="5"/>
        <v>10.20681489381492</v>
      </c>
    </row>
    <row r="8" spans="1:31" ht="15.75" thickBot="1" x14ac:dyDescent="0.25">
      <c r="A8" s="29" t="s">
        <v>229</v>
      </c>
      <c r="B8" s="16"/>
      <c r="C8" s="46">
        <v>1680</v>
      </c>
      <c r="D8" s="47">
        <v>0.56000000000000005</v>
      </c>
      <c r="E8" s="35">
        <v>14.44</v>
      </c>
      <c r="F8" s="35">
        <v>12.53</v>
      </c>
      <c r="G8" s="35">
        <v>8.1199999999999992</v>
      </c>
      <c r="H8" s="35">
        <v>67</v>
      </c>
      <c r="I8" s="35">
        <f t="shared" si="3"/>
        <v>3.9880952380952378E-2</v>
      </c>
      <c r="J8" s="46" t="s">
        <v>505</v>
      </c>
      <c r="K8" s="48" t="s">
        <v>506</v>
      </c>
      <c r="L8" s="49">
        <v>3.79E-3</v>
      </c>
      <c r="M8" s="35">
        <v>43.31</v>
      </c>
      <c r="N8" s="35">
        <v>50.12</v>
      </c>
      <c r="O8" s="35">
        <v>38</v>
      </c>
      <c r="P8" s="36">
        <v>3310</v>
      </c>
      <c r="Q8" s="37">
        <v>48</v>
      </c>
      <c r="R8" s="38"/>
      <c r="S8" s="39">
        <f>IF($S$1="ASSAULT RATE",SUMIF('Loads + CPFs by TAMCN'!$C$8:$C$1000,'Ammo Pallet Calculator'!A8,'Loads + CPFs by TAMCN'!$L$8:$L$1000),0)</f>
        <v>164144.302</v>
      </c>
      <c r="T8" s="40">
        <f>IF($S$1="SUSTAIN RATE",SUMIF('Loads + CPFs by TAMCN'!$C$8:$C$1000,'Ammo Pallet Calculator'!A8,'Loads + CPFs by TAMCN'!$M$8:$M$1000),0)</f>
        <v>0</v>
      </c>
      <c r="U8" s="41">
        <f t="shared" si="0"/>
        <v>164144.302</v>
      </c>
      <c r="V8" s="42">
        <f>(U8/C8)</f>
        <v>97.70494166666667</v>
      </c>
      <c r="W8" s="42">
        <f t="shared" si="1"/>
        <v>2.0355196180555555</v>
      </c>
      <c r="X8" s="43">
        <v>0</v>
      </c>
      <c r="Y8" s="43">
        <f t="shared" si="2"/>
        <v>622.10690457999999</v>
      </c>
      <c r="Z8" s="44" t="s">
        <v>512</v>
      </c>
      <c r="AA8" s="45">
        <v>4</v>
      </c>
      <c r="AB8" s="45">
        <v>10000</v>
      </c>
      <c r="AC8" s="45">
        <f t="shared" si="4"/>
        <v>32.827874656066179</v>
      </c>
      <c r="AD8" s="45">
        <f t="shared" si="5"/>
        <v>51.034074469074604</v>
      </c>
    </row>
    <row r="9" spans="1:31" ht="15.75" thickBot="1" x14ac:dyDescent="0.25">
      <c r="A9" s="29" t="s">
        <v>231</v>
      </c>
      <c r="B9" s="16"/>
      <c r="C9" s="46">
        <v>1640</v>
      </c>
      <c r="D9" s="47">
        <v>0.6</v>
      </c>
      <c r="E9" s="35">
        <v>14.44</v>
      </c>
      <c r="F9" s="35">
        <v>12.53</v>
      </c>
      <c r="G9" s="35">
        <v>8.1199999999999992</v>
      </c>
      <c r="H9" s="35">
        <v>66.7</v>
      </c>
      <c r="I9" s="35">
        <f t="shared" si="3"/>
        <v>4.0670731707317075E-2</v>
      </c>
      <c r="J9" s="46" t="s">
        <v>505</v>
      </c>
      <c r="K9" s="48" t="s">
        <v>506</v>
      </c>
      <c r="L9" s="49">
        <v>3.5599999999999998E-3</v>
      </c>
      <c r="M9" s="35">
        <v>43.31</v>
      </c>
      <c r="N9" s="35">
        <v>50.12</v>
      </c>
      <c r="O9" s="35">
        <v>38</v>
      </c>
      <c r="P9" s="36">
        <v>3310</v>
      </c>
      <c r="Q9" s="37">
        <v>48</v>
      </c>
      <c r="R9" s="38"/>
      <c r="S9" s="39">
        <f>IF($S$1="ASSAULT RATE",SUMIF('Loads + CPFs by TAMCN'!$C$8:$C$1000,'Ammo Pallet Calculator'!A9,'Loads + CPFs by TAMCN'!$L$8:$L$1000),0)</f>
        <v>20937.829000000002</v>
      </c>
      <c r="T9" s="40">
        <f>IF($S$1="SUSTAIN RATE",SUMIF('Loads + CPFs by TAMCN'!$C$8:$C$1000,'Ammo Pallet Calculator'!A9,'Loads + CPFs by TAMCN'!$M$8:$M$1000),0)</f>
        <v>0</v>
      </c>
      <c r="U9" s="41">
        <f t="shared" si="0"/>
        <v>20937.829000000002</v>
      </c>
      <c r="V9" s="42">
        <f>(U9/C9)</f>
        <v>12.766968902439025</v>
      </c>
      <c r="W9" s="42">
        <f t="shared" si="1"/>
        <v>0.26597851880081302</v>
      </c>
      <c r="X9" s="43">
        <f>(V9*H9)</f>
        <v>851.55682579268307</v>
      </c>
      <c r="Y9" s="43">
        <f t="shared" si="2"/>
        <v>74.538671239999999</v>
      </c>
      <c r="Z9" s="44" t="s">
        <v>513</v>
      </c>
      <c r="AA9" s="45">
        <v>16</v>
      </c>
      <c r="AB9" s="45">
        <v>44800</v>
      </c>
      <c r="AC9" s="45">
        <f t="shared" si="4"/>
        <v>8.2069686640165447</v>
      </c>
      <c r="AD9" s="45">
        <f t="shared" si="5"/>
        <v>11.391534479704152</v>
      </c>
    </row>
    <row r="10" spans="1:31" ht="15.75" thickBot="1" x14ac:dyDescent="0.25">
      <c r="A10" s="29" t="s">
        <v>233</v>
      </c>
      <c r="B10" s="16"/>
      <c r="C10" s="46">
        <v>1600</v>
      </c>
      <c r="D10" s="47">
        <v>0.63</v>
      </c>
      <c r="E10" s="35">
        <v>17</v>
      </c>
      <c r="F10" s="35">
        <v>13.38</v>
      </c>
      <c r="G10" s="35">
        <v>9.3800000000000008</v>
      </c>
      <c r="H10" s="35">
        <v>75</v>
      </c>
      <c r="I10" s="35">
        <f t="shared" si="3"/>
        <v>4.6875E-2</v>
      </c>
      <c r="J10" s="46" t="s">
        <v>505</v>
      </c>
      <c r="K10" s="48" t="s">
        <v>506</v>
      </c>
      <c r="L10" s="49">
        <v>4.4000000000000003E-3</v>
      </c>
      <c r="M10" s="35">
        <v>40.119999999999997</v>
      </c>
      <c r="N10" s="35">
        <v>51</v>
      </c>
      <c r="O10" s="35">
        <v>43</v>
      </c>
      <c r="P10" s="36">
        <v>2682</v>
      </c>
      <c r="Q10" s="37">
        <v>36</v>
      </c>
      <c r="R10" s="38"/>
      <c r="S10" s="39">
        <f>IF($S$1="ASSAULT RATE",SUMIF('Loads + CPFs by TAMCN'!$C$8:$C$1000,'Ammo Pallet Calculator'!A10,'Loads + CPFs by TAMCN'!$L$8:$L$1000),0)</f>
        <v>78492.714999999997</v>
      </c>
      <c r="T10" s="40">
        <f>IF($S$1="SUSTAIN RATE",SUMIF('Loads + CPFs by TAMCN'!$C$8:$C$1000,'Ammo Pallet Calculator'!A10,'Loads + CPFs by TAMCN'!$M$8:$M$1000),0)</f>
        <v>0</v>
      </c>
      <c r="U10" s="41">
        <f t="shared" si="0"/>
        <v>78492.714999999997</v>
      </c>
      <c r="V10" s="42">
        <f t="shared" ref="V10:V51" si="6">SUM(U10/C10)</f>
        <v>49.057946874999999</v>
      </c>
      <c r="W10" s="42">
        <f t="shared" si="1"/>
        <v>1.3627207465277777</v>
      </c>
      <c r="X10" s="43">
        <v>0</v>
      </c>
      <c r="Y10" s="43">
        <f t="shared" si="2"/>
        <v>345.36794600000002</v>
      </c>
      <c r="Z10" s="44" t="s">
        <v>514</v>
      </c>
      <c r="AA10" s="45">
        <v>4</v>
      </c>
      <c r="AB10" s="45">
        <v>10000</v>
      </c>
      <c r="AC10" s="45">
        <f t="shared" si="4"/>
        <v>32.827874656066179</v>
      </c>
      <c r="AD10" s="45">
        <f t="shared" si="5"/>
        <v>51.034074469074604</v>
      </c>
    </row>
    <row r="11" spans="1:31" ht="15.75" thickBot="1" x14ac:dyDescent="0.25">
      <c r="A11" s="29" t="s">
        <v>237</v>
      </c>
      <c r="B11" s="16"/>
      <c r="C11" s="46">
        <v>800</v>
      </c>
      <c r="D11" s="47">
        <v>0.73</v>
      </c>
      <c r="E11" s="35">
        <v>17.38</v>
      </c>
      <c r="F11" s="35">
        <v>11.5</v>
      </c>
      <c r="G11" s="35">
        <v>8.1199999999999992</v>
      </c>
      <c r="H11" s="35">
        <v>77.8</v>
      </c>
      <c r="I11" s="35">
        <f t="shared" si="3"/>
        <v>9.7250000000000003E-2</v>
      </c>
      <c r="J11" s="46" t="s">
        <v>505</v>
      </c>
      <c r="K11" s="48" t="s">
        <v>506</v>
      </c>
      <c r="L11" s="49">
        <v>6.7000000000000002E-3</v>
      </c>
      <c r="M11" s="35">
        <v>35</v>
      </c>
      <c r="N11" s="35">
        <v>46</v>
      </c>
      <c r="O11" s="35">
        <v>46.12</v>
      </c>
      <c r="P11" s="36">
        <v>3152</v>
      </c>
      <c r="Q11" s="37">
        <v>40</v>
      </c>
      <c r="R11" s="38"/>
      <c r="S11" s="39">
        <f>IF($S$1="ASSAULT RATE",SUMIF('Loads + CPFs by TAMCN'!$C$8:$C$1000,'Ammo Pallet Calculator'!A11,'Loads + CPFs by TAMCN'!$L$8:$L$1000),0)</f>
        <v>145557.59099999999</v>
      </c>
      <c r="T11" s="40">
        <f>IF($S$1="SUSTAIN RATE",SUMIF('Loads + CPFs by TAMCN'!$C$8:$C$1000,'Ammo Pallet Calculator'!A11,'Loads + CPFs by TAMCN'!$M$8:$M$1000),0)</f>
        <v>0</v>
      </c>
      <c r="U11" s="41">
        <f t="shared" si="0"/>
        <v>145557.59099999999</v>
      </c>
      <c r="V11" s="42">
        <f t="shared" si="6"/>
        <v>181.94698874999997</v>
      </c>
      <c r="W11" s="42">
        <f t="shared" si="1"/>
        <v>4.5486747187499992</v>
      </c>
      <c r="X11" s="43">
        <f t="shared" ref="X11:X51" si="7">SUM(V11*H11)</f>
        <v>14155.475724749998</v>
      </c>
      <c r="Y11" s="43">
        <f t="shared" si="2"/>
        <v>975.23585969999999</v>
      </c>
      <c r="Z11" s="44" t="s">
        <v>830</v>
      </c>
      <c r="AA11" s="45">
        <v>24</v>
      </c>
      <c r="AB11" s="45">
        <v>24000</v>
      </c>
      <c r="AC11" s="45">
        <f t="shared" si="4"/>
        <v>5.4713124426776965</v>
      </c>
      <c r="AD11" s="45">
        <f t="shared" si="5"/>
        <v>21.264197695447752</v>
      </c>
    </row>
    <row r="12" spans="1:31" ht="15.75" thickBot="1" x14ac:dyDescent="0.25">
      <c r="A12" s="29" t="s">
        <v>515</v>
      </c>
      <c r="B12" s="16"/>
      <c r="C12" s="46">
        <v>2000</v>
      </c>
      <c r="D12" s="47">
        <v>0.13</v>
      </c>
      <c r="E12" s="35">
        <v>14.44</v>
      </c>
      <c r="F12" s="35">
        <v>12.53</v>
      </c>
      <c r="G12" s="35">
        <v>8.5</v>
      </c>
      <c r="H12" s="35">
        <v>82.3</v>
      </c>
      <c r="I12" s="35">
        <f t="shared" si="3"/>
        <v>4.1149999999999999E-2</v>
      </c>
      <c r="J12" s="46" t="s">
        <v>505</v>
      </c>
      <c r="K12" s="48" t="s">
        <v>506</v>
      </c>
      <c r="L12" s="49">
        <v>6.9999999999999999E-4</v>
      </c>
      <c r="M12" s="35">
        <v>43.31</v>
      </c>
      <c r="N12" s="35">
        <v>50.12</v>
      </c>
      <c r="O12" s="35">
        <v>38</v>
      </c>
      <c r="P12" s="36">
        <v>4025</v>
      </c>
      <c r="Q12" s="37">
        <v>48</v>
      </c>
      <c r="R12" s="38"/>
      <c r="S12" s="39">
        <f>IF($S$1="ASSAULT RATE",SUMIF('Loads + CPFs by TAMCN'!$C$8:$C$1000,'Ammo Pallet Calculator'!A12,'Loads + CPFs by TAMCN'!$L$8:$L$1000),0)</f>
        <v>0</v>
      </c>
      <c r="T12" s="40">
        <f>IF($S$1="SUSTAIN RATE",SUMIF('Loads + CPFs by TAMCN'!$C$8:$C$1000,'Ammo Pallet Calculator'!A12,'Loads + CPFs by TAMCN'!$M$8:$M$1000),0)</f>
        <v>0</v>
      </c>
      <c r="U12" s="41">
        <f t="shared" si="0"/>
        <v>0</v>
      </c>
      <c r="V12" s="42">
        <f t="shared" si="6"/>
        <v>0</v>
      </c>
      <c r="W12" s="42">
        <f t="shared" si="1"/>
        <v>0</v>
      </c>
      <c r="X12" s="43">
        <f t="shared" si="7"/>
        <v>0</v>
      </c>
      <c r="Y12" s="43">
        <f t="shared" si="2"/>
        <v>0</v>
      </c>
      <c r="Z12" s="44" t="s">
        <v>829</v>
      </c>
      <c r="AA12" s="45">
        <v>52</v>
      </c>
      <c r="AB12" s="45">
        <v>38000</v>
      </c>
      <c r="AC12" s="45">
        <f t="shared" si="4"/>
        <v>2.5252211273897061</v>
      </c>
      <c r="AD12" s="45">
        <f t="shared" si="5"/>
        <v>13.430019597124895</v>
      </c>
    </row>
    <row r="13" spans="1:31" ht="15.75" thickBot="1" x14ac:dyDescent="0.25">
      <c r="A13" s="29" t="s">
        <v>239</v>
      </c>
      <c r="B13" s="16"/>
      <c r="C13" s="46">
        <v>2000</v>
      </c>
      <c r="D13" s="47">
        <v>0.13</v>
      </c>
      <c r="E13" s="35">
        <v>14.44</v>
      </c>
      <c r="F13" s="35">
        <v>12.53</v>
      </c>
      <c r="G13" s="35">
        <v>8.5</v>
      </c>
      <c r="H13" s="35">
        <v>79.7</v>
      </c>
      <c r="I13" s="35">
        <f t="shared" si="3"/>
        <v>3.9850000000000003E-2</v>
      </c>
      <c r="J13" s="46" t="s">
        <v>505</v>
      </c>
      <c r="K13" s="48" t="s">
        <v>506</v>
      </c>
      <c r="L13" s="49">
        <v>9.1100000000000003E-4</v>
      </c>
      <c r="M13" s="35">
        <v>43.31</v>
      </c>
      <c r="N13" s="35">
        <v>50.12</v>
      </c>
      <c r="O13" s="35">
        <v>38</v>
      </c>
      <c r="P13" s="36">
        <v>3934</v>
      </c>
      <c r="Q13" s="37">
        <v>48</v>
      </c>
      <c r="R13" s="38"/>
      <c r="S13" s="39">
        <f>IF($S$1="ASSAULT RATE",SUMIF('Loads + CPFs by TAMCN'!$C$8:$C$1000,'Ammo Pallet Calculator'!A13,'Loads + CPFs by TAMCN'!$L$8:$L$1000),0)</f>
        <v>3034.56</v>
      </c>
      <c r="T13" s="40">
        <f>IF($S$1="SUSTAIN RATE",SUMIF('Loads + CPFs by TAMCN'!$C$8:$C$1000,'Ammo Pallet Calculator'!A13,'Loads + CPFs by TAMCN'!$M$8:$M$1000),0)</f>
        <v>0</v>
      </c>
      <c r="U13" s="41">
        <f t="shared" si="0"/>
        <v>3034.56</v>
      </c>
      <c r="V13" s="42">
        <f t="shared" si="6"/>
        <v>1.51728</v>
      </c>
      <c r="W13" s="42">
        <f t="shared" si="1"/>
        <v>3.1609999999999999E-2</v>
      </c>
      <c r="X13" s="43">
        <f t="shared" si="7"/>
        <v>120.927216</v>
      </c>
      <c r="Y13" s="43">
        <f t="shared" si="2"/>
        <v>2.7644841599999999</v>
      </c>
      <c r="Z13" s="44" t="s">
        <v>828</v>
      </c>
      <c r="AA13" s="45">
        <v>144</v>
      </c>
      <c r="AB13" s="45">
        <v>120000</v>
      </c>
      <c r="AC13" s="45">
        <f t="shared" si="4"/>
        <v>0.91188540711294941</v>
      </c>
      <c r="AD13" s="45">
        <f t="shared" si="5"/>
        <v>4.2528395390895497</v>
      </c>
    </row>
    <row r="14" spans="1:31" ht="15.75" thickBot="1" x14ac:dyDescent="0.25">
      <c r="A14" s="29" t="s">
        <v>241</v>
      </c>
      <c r="B14" s="16"/>
      <c r="C14" s="46">
        <v>2000</v>
      </c>
      <c r="D14" s="47">
        <v>0.21</v>
      </c>
      <c r="E14" s="35">
        <v>14.44</v>
      </c>
      <c r="F14" s="35">
        <v>12.53</v>
      </c>
      <c r="G14" s="35">
        <v>8.5</v>
      </c>
      <c r="H14" s="35">
        <v>107</v>
      </c>
      <c r="I14" s="35">
        <f t="shared" si="3"/>
        <v>5.3499999999999999E-2</v>
      </c>
      <c r="J14" s="46" t="s">
        <v>505</v>
      </c>
      <c r="K14" s="48" t="s">
        <v>506</v>
      </c>
      <c r="L14" s="49">
        <v>8.0000000000000004E-4</v>
      </c>
      <c r="M14" s="35">
        <v>43.31</v>
      </c>
      <c r="N14" s="35">
        <v>50.12</v>
      </c>
      <c r="O14" s="35">
        <v>29.88</v>
      </c>
      <c r="P14" s="36">
        <v>3977</v>
      </c>
      <c r="Q14" s="37">
        <v>36</v>
      </c>
      <c r="R14" s="38"/>
      <c r="S14" s="39">
        <f>IF($S$1="ASSAULT RATE",SUMIF('Loads + CPFs by TAMCN'!$C$8:$C$1000,'Ammo Pallet Calculator'!A14,'Loads + CPFs by TAMCN'!$L$8:$L$1000),0)</f>
        <v>0</v>
      </c>
      <c r="T14" s="40">
        <f>IF($S$1="SUSTAIN RATE",SUMIF('Loads + CPFs by TAMCN'!$C$8:$C$1000,'Ammo Pallet Calculator'!A14,'Loads + CPFs by TAMCN'!$M$8:$M$1000),0)</f>
        <v>0</v>
      </c>
      <c r="U14" s="41">
        <f t="shared" si="0"/>
        <v>0</v>
      </c>
      <c r="V14" s="42">
        <f t="shared" si="6"/>
        <v>0</v>
      </c>
      <c r="W14" s="42">
        <f t="shared" si="1"/>
        <v>0</v>
      </c>
      <c r="X14" s="43">
        <f t="shared" si="7"/>
        <v>0</v>
      </c>
      <c r="Y14" s="43">
        <f t="shared" si="2"/>
        <v>0</v>
      </c>
      <c r="Z14" s="44" t="s">
        <v>827</v>
      </c>
      <c r="AA14" s="45">
        <v>72</v>
      </c>
      <c r="AB14" s="45">
        <v>90000</v>
      </c>
      <c r="AC14" s="45">
        <f t="shared" si="4"/>
        <v>1.8237708142258988</v>
      </c>
      <c r="AD14" s="45">
        <f t="shared" si="5"/>
        <v>5.6704527187860672</v>
      </c>
    </row>
    <row r="15" spans="1:31" ht="13.5" thickBot="1" x14ac:dyDescent="0.25">
      <c r="A15" s="29" t="s">
        <v>243</v>
      </c>
      <c r="B15" s="16"/>
      <c r="C15" s="46">
        <v>200</v>
      </c>
      <c r="D15" s="47">
        <v>8.6300000000000008</v>
      </c>
      <c r="E15" s="35">
        <v>14.44</v>
      </c>
      <c r="F15" s="35">
        <v>12.53</v>
      </c>
      <c r="G15" s="35">
        <v>8.5</v>
      </c>
      <c r="H15" s="35">
        <v>77</v>
      </c>
      <c r="I15" s="35">
        <f t="shared" si="3"/>
        <v>0.38500000000000001</v>
      </c>
      <c r="J15" s="46" t="s">
        <v>516</v>
      </c>
      <c r="K15" s="48" t="s">
        <v>517</v>
      </c>
      <c r="L15" s="49">
        <v>4.2009999999999999E-2</v>
      </c>
      <c r="M15" s="35">
        <v>43.31</v>
      </c>
      <c r="N15" s="35">
        <v>50.12</v>
      </c>
      <c r="O15" s="35">
        <v>38</v>
      </c>
      <c r="P15" s="36">
        <v>3771</v>
      </c>
      <c r="Q15" s="37">
        <v>48</v>
      </c>
      <c r="R15" s="38"/>
      <c r="S15" s="39">
        <f>IF($S$1="ASSAULT RATE",SUMIF('Loads + CPFs by TAMCN'!$C$8:$C$1000,'Ammo Pallet Calculator'!A15,'Loads + CPFs by TAMCN'!$L$8:$L$1000),0)</f>
        <v>328.34800000000001</v>
      </c>
      <c r="T15" s="40">
        <f>IF($S$1="SUSTAIN RATE",SUMIF('Loads + CPFs by TAMCN'!$C$8:$C$1000,'Ammo Pallet Calculator'!A15,'Loads + CPFs by TAMCN'!$M$8:$M$1000),0)</f>
        <v>0</v>
      </c>
      <c r="U15" s="41">
        <f t="shared" si="0"/>
        <v>328.34800000000001</v>
      </c>
      <c r="V15" s="42">
        <f t="shared" si="6"/>
        <v>1.64174</v>
      </c>
      <c r="W15" s="42">
        <f t="shared" si="1"/>
        <v>3.4202916666666666E-2</v>
      </c>
      <c r="X15" s="43">
        <f t="shared" si="7"/>
        <v>126.41398</v>
      </c>
      <c r="Y15" s="43">
        <f t="shared" si="2"/>
        <v>13.79389948</v>
      </c>
      <c r="Z15" s="50"/>
      <c r="AA15" s="50"/>
    </row>
    <row r="16" spans="1:31" ht="13.5" thickBot="1" x14ac:dyDescent="0.25">
      <c r="A16" s="29" t="s">
        <v>245</v>
      </c>
      <c r="B16" s="16"/>
      <c r="C16" s="46">
        <v>200</v>
      </c>
      <c r="D16" s="47">
        <v>3.29</v>
      </c>
      <c r="E16" s="35">
        <v>14.44</v>
      </c>
      <c r="F16" s="35">
        <v>12.53</v>
      </c>
      <c r="G16" s="35">
        <v>8.5</v>
      </c>
      <c r="H16" s="35">
        <v>77.099999999999994</v>
      </c>
      <c r="I16" s="35">
        <f t="shared" si="3"/>
        <v>0.38549999999999995</v>
      </c>
      <c r="J16" s="46" t="s">
        <v>516</v>
      </c>
      <c r="K16" s="48" t="s">
        <v>518</v>
      </c>
      <c r="L16" s="49">
        <v>3.3599999999999998E-2</v>
      </c>
      <c r="M16" s="35">
        <v>43.31</v>
      </c>
      <c r="N16" s="35">
        <v>50.12</v>
      </c>
      <c r="O16" s="35">
        <v>38</v>
      </c>
      <c r="P16" s="36">
        <v>3691</v>
      </c>
      <c r="Q16" s="37">
        <v>48</v>
      </c>
      <c r="R16" s="38"/>
      <c r="S16" s="39">
        <f>IF($S$1="ASSAULT RATE",SUMIF('Loads + CPFs by TAMCN'!$C$8:$C$1000,'Ammo Pallet Calculator'!A16,'Loads + CPFs by TAMCN'!$L$8:$L$1000),0)</f>
        <v>106965.15800000001</v>
      </c>
      <c r="T16" s="40">
        <f>IF($S$1="SUSTAIN RATE",SUMIF('Loads + CPFs by TAMCN'!$C$8:$C$1000,'Ammo Pallet Calculator'!A16,'Loads + CPFs by TAMCN'!$M$8:$M$1000),0)</f>
        <v>0</v>
      </c>
      <c r="U16" s="41">
        <f t="shared" si="0"/>
        <v>106965.15800000001</v>
      </c>
      <c r="V16" s="42">
        <f t="shared" si="6"/>
        <v>534.8257900000001</v>
      </c>
      <c r="W16" s="42">
        <f t="shared" si="1"/>
        <v>11.142203958333335</v>
      </c>
      <c r="X16" s="43">
        <f t="shared" si="7"/>
        <v>41235.068409000007</v>
      </c>
      <c r="Y16" s="43">
        <f t="shared" si="2"/>
        <v>3594.0293088000003</v>
      </c>
      <c r="Z16" s="51" t="s">
        <v>519</v>
      </c>
      <c r="AA16" s="51" t="s">
        <v>520</v>
      </c>
    </row>
    <row r="17" spans="1:28" ht="13.5" thickBot="1" x14ac:dyDescent="0.25">
      <c r="A17" s="29" t="s">
        <v>247</v>
      </c>
      <c r="B17" s="16"/>
      <c r="C17" s="46">
        <v>240</v>
      </c>
      <c r="D17" s="47">
        <v>8.76</v>
      </c>
      <c r="E17" s="35">
        <v>14.44</v>
      </c>
      <c r="F17" s="35">
        <v>12.53</v>
      </c>
      <c r="G17" s="35">
        <v>8.5</v>
      </c>
      <c r="H17" s="35">
        <v>79</v>
      </c>
      <c r="I17" s="35">
        <f t="shared" si="3"/>
        <v>0.32916666666666666</v>
      </c>
      <c r="J17" s="46" t="s">
        <v>521</v>
      </c>
      <c r="K17" s="48" t="s">
        <v>518</v>
      </c>
      <c r="L17" s="49">
        <v>3.9399999999999998E-2</v>
      </c>
      <c r="M17" s="35">
        <v>43.31</v>
      </c>
      <c r="N17" s="35">
        <v>50.12</v>
      </c>
      <c r="O17" s="35">
        <v>38</v>
      </c>
      <c r="P17" s="36">
        <v>3867</v>
      </c>
      <c r="Q17" s="37">
        <v>48</v>
      </c>
      <c r="R17" s="38"/>
      <c r="S17" s="39">
        <f>IF($S$1="ASSAULT RATE",SUMIF('Loads + CPFs by TAMCN'!$C$8:$C$1000,'Ammo Pallet Calculator'!A17,'Loads + CPFs by TAMCN'!$L$8:$L$1000),0)</f>
        <v>287.94499999999999</v>
      </c>
      <c r="T17" s="40">
        <f>IF($S$1="SUSTAIN RATE",SUMIF('Loads + CPFs by TAMCN'!$C$8:$C$1000,'Ammo Pallet Calculator'!A17,'Loads + CPFs by TAMCN'!$M$8:$M$1000),0)</f>
        <v>0</v>
      </c>
      <c r="U17" s="41">
        <f t="shared" si="0"/>
        <v>287.94499999999999</v>
      </c>
      <c r="V17" s="42">
        <f t="shared" si="6"/>
        <v>1.1997708333333332</v>
      </c>
      <c r="W17" s="42">
        <f t="shared" si="1"/>
        <v>2.4995225694444442E-2</v>
      </c>
      <c r="X17" s="43">
        <f t="shared" si="7"/>
        <v>94.781895833333323</v>
      </c>
      <c r="Y17" s="43">
        <f t="shared" si="2"/>
        <v>11.345032999999999</v>
      </c>
      <c r="Z17" s="43">
        <f>SUM(X4:X174)</f>
        <v>510340.74469074601</v>
      </c>
      <c r="AA17" s="43">
        <f>SUM(Y4:Y174)</f>
        <v>77622.328554815991</v>
      </c>
    </row>
    <row r="18" spans="1:28" ht="13.5" thickBot="1" x14ac:dyDescent="0.25">
      <c r="A18" s="29" t="s">
        <v>249</v>
      </c>
      <c r="B18" s="16"/>
      <c r="C18" s="46">
        <v>55</v>
      </c>
      <c r="D18" s="47">
        <v>26.56</v>
      </c>
      <c r="E18" s="35">
        <v>18.62</v>
      </c>
      <c r="F18" s="35">
        <v>10.62</v>
      </c>
      <c r="G18" s="35">
        <v>14.62</v>
      </c>
      <c r="H18" s="35">
        <v>98.5</v>
      </c>
      <c r="I18" s="35">
        <f t="shared" si="3"/>
        <v>1.790909090909091</v>
      </c>
      <c r="J18" s="46" t="s">
        <v>516</v>
      </c>
      <c r="K18" s="48" t="s">
        <v>517</v>
      </c>
      <c r="L18" s="49">
        <v>0.21661</v>
      </c>
      <c r="M18" s="35">
        <v>44.75</v>
      </c>
      <c r="N18" s="35">
        <v>53.12</v>
      </c>
      <c r="O18" s="35">
        <v>34.75</v>
      </c>
      <c r="P18" s="36">
        <v>2139</v>
      </c>
      <c r="Q18" s="37">
        <v>20</v>
      </c>
      <c r="R18" s="38"/>
      <c r="S18" s="39">
        <f>IF($S$1="ASSAULT RATE",SUMIF('Loads + CPFs by TAMCN'!$C$8:$C$1000,'Ammo Pallet Calculator'!A18,'Loads + CPFs by TAMCN'!$L$8:$L$1000),0)</f>
        <v>356.97200000000004</v>
      </c>
      <c r="T18" s="40">
        <f>IF($S$1="SUSTAIN RATE",SUMIF('Loads + CPFs by TAMCN'!$C$8:$C$1000,'Ammo Pallet Calculator'!A18,'Loads + CPFs by TAMCN'!$M$8:$M$1000),0)</f>
        <v>0</v>
      </c>
      <c r="U18" s="41">
        <f t="shared" si="0"/>
        <v>356.97200000000004</v>
      </c>
      <c r="V18" s="42">
        <f t="shared" si="6"/>
        <v>6.4904000000000011</v>
      </c>
      <c r="W18" s="42">
        <f t="shared" si="1"/>
        <v>0.32452000000000003</v>
      </c>
      <c r="X18" s="43">
        <f t="shared" si="7"/>
        <v>639.3044000000001</v>
      </c>
      <c r="Y18" s="43">
        <f t="shared" si="2"/>
        <v>77.323704920000011</v>
      </c>
      <c r="Z18" s="52"/>
      <c r="AA18" s="52"/>
    </row>
    <row r="19" spans="1:28" ht="13.5" thickBot="1" x14ac:dyDescent="0.25">
      <c r="A19" s="29" t="s">
        <v>251</v>
      </c>
      <c r="B19" s="16"/>
      <c r="C19" s="46">
        <v>55</v>
      </c>
      <c r="D19" s="47">
        <v>35.56</v>
      </c>
      <c r="E19" s="35">
        <v>18.62</v>
      </c>
      <c r="F19" s="35">
        <v>10.62</v>
      </c>
      <c r="G19" s="35">
        <v>14.62</v>
      </c>
      <c r="H19" s="35">
        <v>98.5</v>
      </c>
      <c r="I19" s="35">
        <f t="shared" si="3"/>
        <v>1.790909090909091</v>
      </c>
      <c r="J19" s="46" t="s">
        <v>522</v>
      </c>
      <c r="K19" s="48" t="s">
        <v>523</v>
      </c>
      <c r="L19" s="49">
        <v>0.26898499999999997</v>
      </c>
      <c r="M19" s="35">
        <v>44.75</v>
      </c>
      <c r="N19" s="35">
        <v>53.12</v>
      </c>
      <c r="O19" s="35">
        <v>34.75</v>
      </c>
      <c r="P19" s="36">
        <v>2139</v>
      </c>
      <c r="Q19" s="37">
        <v>20</v>
      </c>
      <c r="R19" s="38"/>
      <c r="S19" s="39">
        <f>IF($S$1="ASSAULT RATE",SUMIF('Loads + CPFs by TAMCN'!$C$8:$C$1000,'Ammo Pallet Calculator'!A19,'Loads + CPFs by TAMCN'!$L$8:$L$1000),0)</f>
        <v>1154.3</v>
      </c>
      <c r="T19" s="40">
        <f>IF($S$1="SUSTAIN RATE",SUMIF('Loads + CPFs by TAMCN'!$C$8:$C$1000,'Ammo Pallet Calculator'!A19,'Loads + CPFs by TAMCN'!$M$8:$M$1000),0)</f>
        <v>0</v>
      </c>
      <c r="U19" s="41">
        <f t="shared" si="0"/>
        <v>1154.3</v>
      </c>
      <c r="V19" s="42">
        <f t="shared" si="6"/>
        <v>20.987272727272728</v>
      </c>
      <c r="W19" s="42">
        <f t="shared" si="1"/>
        <v>1.0493636363636365</v>
      </c>
      <c r="X19" s="43">
        <f t="shared" si="7"/>
        <v>2067.2463636363636</v>
      </c>
      <c r="Y19" s="43">
        <f t="shared" si="2"/>
        <v>310.48938549999997</v>
      </c>
      <c r="Z19" s="51" t="s">
        <v>524</v>
      </c>
      <c r="AA19" s="51" t="s">
        <v>525</v>
      </c>
    </row>
    <row r="20" spans="1:28" ht="13.5" thickBot="1" x14ac:dyDescent="0.25">
      <c r="A20" s="29" t="s">
        <v>259</v>
      </c>
      <c r="B20" s="16"/>
      <c r="C20" s="46">
        <v>920</v>
      </c>
      <c r="D20" s="47">
        <v>0.7</v>
      </c>
      <c r="E20" s="35">
        <v>14.44</v>
      </c>
      <c r="F20" s="35">
        <v>12.53</v>
      </c>
      <c r="G20" s="35">
        <v>8.5</v>
      </c>
      <c r="H20" s="35">
        <v>73.5</v>
      </c>
      <c r="I20" s="35">
        <f t="shared" si="3"/>
        <v>7.9891304347826084E-2</v>
      </c>
      <c r="J20" s="46" t="s">
        <v>505</v>
      </c>
      <c r="K20" s="48" t="s">
        <v>506</v>
      </c>
      <c r="L20" s="49">
        <v>6.7000000000000002E-3</v>
      </c>
      <c r="M20" s="35">
        <v>43.31</v>
      </c>
      <c r="N20" s="35">
        <v>50.12</v>
      </c>
      <c r="O20" s="35">
        <v>38</v>
      </c>
      <c r="P20" s="36">
        <v>3603</v>
      </c>
      <c r="Q20" s="37">
        <v>48</v>
      </c>
      <c r="R20" s="38"/>
      <c r="S20" s="39">
        <f>IF($S$1="ASSAULT RATE",SUMIF('Loads + CPFs by TAMCN'!$C$8:$C$1000,'Ammo Pallet Calculator'!A20,'Loads + CPFs by TAMCN'!$L$8:$L$1000),0)</f>
        <v>308.25599999999997</v>
      </c>
      <c r="T20" s="40">
        <f>IF($S$1="SUSTAIN RATE",SUMIF('Loads + CPFs by TAMCN'!$C$8:$C$1000,'Ammo Pallet Calculator'!A20,'Loads + CPFs by TAMCN'!$M$8:$M$1000),0)</f>
        <v>0</v>
      </c>
      <c r="U20" s="41">
        <f t="shared" si="0"/>
        <v>308.25599999999997</v>
      </c>
      <c r="V20" s="42">
        <f t="shared" si="6"/>
        <v>0.33506086956521736</v>
      </c>
      <c r="W20" s="42">
        <f t="shared" si="1"/>
        <v>6.9804347826086946E-3</v>
      </c>
      <c r="X20" s="43">
        <f t="shared" si="7"/>
        <v>24.626973913043475</v>
      </c>
      <c r="Y20" s="43">
        <f t="shared" si="2"/>
        <v>2.0653151999999997</v>
      </c>
      <c r="Z20" s="53">
        <f>Z17/2000</f>
        <v>255.17037234537301</v>
      </c>
      <c r="AA20" s="53">
        <f>SUM(W4:W174)</f>
        <v>131.31149862426471</v>
      </c>
    </row>
    <row r="21" spans="1:28" ht="13.5" thickBot="1" x14ac:dyDescent="0.25">
      <c r="A21" s="29" t="s">
        <v>649</v>
      </c>
      <c r="B21" s="16"/>
      <c r="C21" s="46">
        <v>920</v>
      </c>
      <c r="D21" s="47">
        <v>0.7</v>
      </c>
      <c r="E21" s="35">
        <v>14.44</v>
      </c>
      <c r="F21" s="35">
        <v>12.53</v>
      </c>
      <c r="G21" s="35">
        <v>8.5</v>
      </c>
      <c r="H21" s="35">
        <v>73.5</v>
      </c>
      <c r="I21" s="35">
        <f t="shared" si="3"/>
        <v>7.9891304347826084E-2</v>
      </c>
      <c r="J21" s="46" t="s">
        <v>505</v>
      </c>
      <c r="K21" s="48" t="s">
        <v>506</v>
      </c>
      <c r="L21" s="49">
        <v>6.7000000000000002E-3</v>
      </c>
      <c r="M21" s="35">
        <v>43.31</v>
      </c>
      <c r="N21" s="35">
        <v>50.12</v>
      </c>
      <c r="O21" s="35">
        <v>38</v>
      </c>
      <c r="P21" s="36">
        <v>3603</v>
      </c>
      <c r="Q21" s="37">
        <v>48</v>
      </c>
      <c r="R21" s="38"/>
      <c r="S21" s="39">
        <f>IF($S$1="ASSAULT RATE",SUMIF('Loads + CPFs by TAMCN'!$C$8:$C$1000,'Ammo Pallet Calculator'!A21,'Loads + CPFs by TAMCN'!$L$8:$L$1000),0)</f>
        <v>0</v>
      </c>
      <c r="T21" s="40">
        <f>IF($S$1="SUSTAIN RATE",SUMIF('Loads + CPFs by TAMCN'!$C$8:$C$1000,'Ammo Pallet Calculator'!A21,'Loads + CPFs by TAMCN'!$M$8:$M$1000),0)</f>
        <v>0</v>
      </c>
      <c r="U21" s="41">
        <f t="shared" si="0"/>
        <v>0</v>
      </c>
      <c r="V21" s="42">
        <f t="shared" ref="V21" si="8">SUM(U21/C21)</f>
        <v>0</v>
      </c>
      <c r="W21" s="42">
        <f t="shared" ref="W21" si="9">(V21/Q21)</f>
        <v>0</v>
      </c>
      <c r="X21" s="43">
        <f t="shared" ref="X21" si="10">SUM(V21*H21)</f>
        <v>0</v>
      </c>
      <c r="Y21" s="43">
        <f t="shared" ref="Y21" si="11">U21*L21</f>
        <v>0</v>
      </c>
      <c r="Z21" s="72"/>
      <c r="AA21" s="72"/>
    </row>
    <row r="22" spans="1:28" ht="13.5" thickBot="1" x14ac:dyDescent="0.25">
      <c r="A22" s="29" t="s">
        <v>253</v>
      </c>
      <c r="B22" s="16"/>
      <c r="C22" s="46">
        <v>42</v>
      </c>
      <c r="D22" s="47"/>
      <c r="E22" s="35">
        <v>44.81</v>
      </c>
      <c r="F22" s="35">
        <v>40.75</v>
      </c>
      <c r="G22" s="35">
        <v>33.619999999999997</v>
      </c>
      <c r="H22" s="35">
        <v>2465</v>
      </c>
      <c r="I22" s="35">
        <f t="shared" si="3"/>
        <v>58.69047619047619</v>
      </c>
      <c r="J22" s="46" t="s">
        <v>800</v>
      </c>
      <c r="K22" s="48" t="s">
        <v>546</v>
      </c>
      <c r="L22" s="49">
        <v>0.21410000000000001</v>
      </c>
      <c r="M22" s="35">
        <v>44.81</v>
      </c>
      <c r="N22" s="35">
        <v>40.75</v>
      </c>
      <c r="O22" s="35">
        <v>33.619999999999997</v>
      </c>
      <c r="P22" s="36">
        <v>2465</v>
      </c>
      <c r="Q22" s="37">
        <v>42</v>
      </c>
      <c r="R22" s="38"/>
      <c r="S22" s="39">
        <f>IF($S$1="ASSAULT RATE",SUMIF('Loads + CPFs by TAMCN'!$C$8:$C$1000,'Ammo Pallet Calculator'!A22,'Loads + CPFs by TAMCN'!$L$8:$L$1000),0)</f>
        <v>152.99200000000002</v>
      </c>
      <c r="T22" s="40">
        <f>IF($S$1="SUSTAIN RATE",SUMIF('Loads + CPFs by TAMCN'!$C$8:$C$1000,'Ammo Pallet Calculator'!A22,'Loads + CPFs by TAMCN'!$M$8:$M$1000),0)</f>
        <v>0</v>
      </c>
      <c r="U22" s="41">
        <f t="shared" si="0"/>
        <v>152.99200000000002</v>
      </c>
      <c r="V22" s="42">
        <f t="shared" si="6"/>
        <v>3.6426666666666669</v>
      </c>
      <c r="W22" s="42">
        <f t="shared" si="1"/>
        <v>8.6730158730158741E-2</v>
      </c>
      <c r="X22" s="43">
        <f t="shared" si="7"/>
        <v>8979.1733333333341</v>
      </c>
      <c r="Y22" s="43">
        <f t="shared" si="2"/>
        <v>32.755587200000008</v>
      </c>
      <c r="Z22"/>
      <c r="AA22"/>
    </row>
    <row r="23" spans="1:28" s="73" customFormat="1" ht="13.5" thickBot="1" x14ac:dyDescent="0.25">
      <c r="A23" s="29" t="s">
        <v>526</v>
      </c>
      <c r="B23" s="16"/>
      <c r="C23" s="46">
        <v>320</v>
      </c>
      <c r="D23" s="47">
        <v>3.75</v>
      </c>
      <c r="E23" s="35">
        <v>14.44</v>
      </c>
      <c r="F23" s="35">
        <v>12.53</v>
      </c>
      <c r="G23" s="35">
        <v>8.1199999999999992</v>
      </c>
      <c r="H23" s="35">
        <v>55.5</v>
      </c>
      <c r="I23" s="35">
        <f t="shared" si="3"/>
        <v>0.17343749999999999</v>
      </c>
      <c r="J23" s="46" t="s">
        <v>505</v>
      </c>
      <c r="K23" s="48" t="s">
        <v>506</v>
      </c>
      <c r="L23" s="49">
        <v>6.0999999999999997E-4</v>
      </c>
      <c r="M23" s="35">
        <v>43.31</v>
      </c>
      <c r="N23" s="35">
        <v>50.12</v>
      </c>
      <c r="O23" s="35">
        <v>38</v>
      </c>
      <c r="P23" s="36">
        <v>2739</v>
      </c>
      <c r="Q23" s="37">
        <v>48</v>
      </c>
      <c r="R23" s="38"/>
      <c r="S23" s="39">
        <f>IF($S$1="ASSAULT RATE",SUMIF('Loads + CPFs by TAMCN'!$C$8:$C$1000,'Ammo Pallet Calculator'!A23,'Loads + CPFs by TAMCN'!$L$8:$L$1000),0)</f>
        <v>0</v>
      </c>
      <c r="T23" s="40">
        <f>IF($S$1="SUSTAIN RATE",SUMIF('Loads + CPFs by TAMCN'!$C$8:$C$1000,'Ammo Pallet Calculator'!A23,'Loads + CPFs by TAMCN'!$M$8:$M$1000),0)</f>
        <v>0</v>
      </c>
      <c r="U23" s="41">
        <f t="shared" si="0"/>
        <v>0</v>
      </c>
      <c r="V23" s="42">
        <f t="shared" si="6"/>
        <v>0</v>
      </c>
      <c r="W23" s="42">
        <f t="shared" si="1"/>
        <v>0</v>
      </c>
      <c r="X23" s="43">
        <f t="shared" si="7"/>
        <v>0</v>
      </c>
      <c r="Y23" s="43">
        <f t="shared" si="2"/>
        <v>0</v>
      </c>
      <c r="Z23"/>
      <c r="AA23"/>
    </row>
    <row r="24" spans="1:28" ht="13.5" thickBot="1" x14ac:dyDescent="0.25">
      <c r="A24" s="29" t="s">
        <v>255</v>
      </c>
      <c r="B24" s="16"/>
      <c r="C24" s="46">
        <v>960</v>
      </c>
      <c r="D24" s="47"/>
      <c r="E24" s="35">
        <v>17.38</v>
      </c>
      <c r="F24" s="35">
        <v>11.5</v>
      </c>
      <c r="G24" s="35">
        <v>8.1199999999999992</v>
      </c>
      <c r="H24" s="35">
        <v>79.8</v>
      </c>
      <c r="I24" s="35">
        <f t="shared" si="3"/>
        <v>8.3124999999999991E-2</v>
      </c>
      <c r="J24" s="46" t="s">
        <v>516</v>
      </c>
      <c r="K24" s="48" t="s">
        <v>517</v>
      </c>
      <c r="L24" s="49">
        <v>6.4489999999999999E-3</v>
      </c>
      <c r="M24" s="35">
        <v>46</v>
      </c>
      <c r="N24" s="35">
        <v>35</v>
      </c>
      <c r="O24" s="35">
        <v>46.13</v>
      </c>
      <c r="P24" s="36">
        <v>3033</v>
      </c>
      <c r="Q24" s="37">
        <v>40</v>
      </c>
      <c r="R24" s="38"/>
      <c r="S24" s="39">
        <f>IF($S$1="ASSAULT RATE",SUMIF('Loads + CPFs by TAMCN'!$C$8:$C$1000,'Ammo Pallet Calculator'!A24,'Loads + CPFs by TAMCN'!$L$8:$L$1000),0)</f>
        <v>1116.288</v>
      </c>
      <c r="T24" s="40">
        <f>IF($S$1="SUSTAIN RATE",SUMIF('Loads + CPFs by TAMCN'!$C$8:$C$1000,'Ammo Pallet Calculator'!A24,'Loads + CPFs by TAMCN'!$M$8:$M$1000),0)</f>
        <v>0</v>
      </c>
      <c r="U24" s="41">
        <f t="shared" si="0"/>
        <v>1116.288</v>
      </c>
      <c r="V24" s="42">
        <f t="shared" si="6"/>
        <v>1.1628000000000001</v>
      </c>
      <c r="W24" s="42">
        <f t="shared" si="1"/>
        <v>2.9070000000000002E-2</v>
      </c>
      <c r="X24" s="43">
        <f t="shared" si="7"/>
        <v>92.791439999999994</v>
      </c>
      <c r="Y24" s="43">
        <f t="shared" si="2"/>
        <v>7.1989413119999996</v>
      </c>
    </row>
    <row r="25" spans="1:28" ht="13.5" thickBot="1" x14ac:dyDescent="0.25">
      <c r="A25" s="29" t="s">
        <v>257</v>
      </c>
      <c r="B25" s="16"/>
      <c r="C25" s="46">
        <v>800</v>
      </c>
      <c r="D25" s="47"/>
      <c r="E25" s="35">
        <v>17.8</v>
      </c>
      <c r="F25" s="35">
        <v>11.5</v>
      </c>
      <c r="G25" s="35">
        <v>8.1199999999999992</v>
      </c>
      <c r="H25" s="35">
        <v>79.66</v>
      </c>
      <c r="I25" s="35">
        <f t="shared" si="3"/>
        <v>9.9574999999999997E-2</v>
      </c>
      <c r="J25" s="46" t="s">
        <v>516</v>
      </c>
      <c r="K25" s="48" t="s">
        <v>517</v>
      </c>
      <c r="L25" s="49">
        <v>7.8740000000000008E-3</v>
      </c>
      <c r="M25" s="35">
        <v>46</v>
      </c>
      <c r="N25" s="35">
        <v>35</v>
      </c>
      <c r="O25" s="35">
        <v>46.13</v>
      </c>
      <c r="P25" s="36">
        <v>3113</v>
      </c>
      <c r="Q25" s="37">
        <v>40</v>
      </c>
      <c r="R25" s="38"/>
      <c r="S25" s="39">
        <f>IF($S$1="ASSAULT RATE",SUMIF('Loads + CPFs by TAMCN'!$C$8:$C$1000,'Ammo Pallet Calculator'!A25,'Loads + CPFs by TAMCN'!$L$8:$L$1000),0)</f>
        <v>9966.01</v>
      </c>
      <c r="T25" s="40">
        <f>IF($S$1="SUSTAIN RATE",SUMIF('Loads + CPFs by TAMCN'!$C$8:$C$1000,'Ammo Pallet Calculator'!A25,'Loads + CPFs by TAMCN'!$M$8:$M$1000),0)</f>
        <v>0</v>
      </c>
      <c r="U25" s="41">
        <f t="shared" si="0"/>
        <v>9966.01</v>
      </c>
      <c r="V25" s="42">
        <f t="shared" si="6"/>
        <v>12.4575125</v>
      </c>
      <c r="W25" s="42">
        <f t="shared" si="1"/>
        <v>0.31143781250000002</v>
      </c>
      <c r="X25" s="43">
        <f t="shared" si="7"/>
        <v>992.36544574999994</v>
      </c>
      <c r="Y25" s="43">
        <f t="shared" si="2"/>
        <v>78.472362740000008</v>
      </c>
      <c r="AB25" s="75"/>
    </row>
    <row r="26" spans="1:28" ht="13.5" thickBot="1" x14ac:dyDescent="0.25">
      <c r="A26" s="29" t="s">
        <v>55</v>
      </c>
      <c r="B26" s="16"/>
      <c r="C26" s="46">
        <v>320</v>
      </c>
      <c r="D26" s="47">
        <v>3.47</v>
      </c>
      <c r="E26" s="35">
        <v>14.5</v>
      </c>
      <c r="F26" s="35">
        <v>12.75</v>
      </c>
      <c r="G26" s="35">
        <v>8.3800000000000008</v>
      </c>
      <c r="H26" s="35">
        <v>29.9</v>
      </c>
      <c r="I26" s="35">
        <f t="shared" si="3"/>
        <v>9.3437499999999993E-2</v>
      </c>
      <c r="J26" s="46" t="s">
        <v>505</v>
      </c>
      <c r="K26" s="48" t="s">
        <v>527</v>
      </c>
      <c r="L26" s="49">
        <v>2.2599999999999999E-3</v>
      </c>
      <c r="M26" s="35">
        <v>43.31</v>
      </c>
      <c r="N26" s="35">
        <v>50.12</v>
      </c>
      <c r="O26" s="35">
        <v>38</v>
      </c>
      <c r="P26" s="36">
        <v>1510</v>
      </c>
      <c r="Q26" s="37">
        <v>48</v>
      </c>
      <c r="R26" s="38"/>
      <c r="S26" s="39">
        <f>IF($S$1="ASSAULT RATE",SUMIF('Loads + CPFs by TAMCN'!$C$8:$C$1000,'Ammo Pallet Calculator'!A26,'Loads + CPFs by TAMCN'!$L$8:$L$1000),0)</f>
        <v>0</v>
      </c>
      <c r="T26" s="40">
        <f>IF($S$1="SUSTAIN RATE",SUMIF('Loads + CPFs by TAMCN'!$C$8:$C$1000,'Ammo Pallet Calculator'!A26,'Loads + CPFs by TAMCN'!$M$8:$M$1000),0)</f>
        <v>0</v>
      </c>
      <c r="U26" s="41">
        <f t="shared" si="0"/>
        <v>0</v>
      </c>
      <c r="V26" s="42">
        <f t="shared" si="6"/>
        <v>0</v>
      </c>
      <c r="W26" s="42">
        <f t="shared" si="1"/>
        <v>0</v>
      </c>
      <c r="X26" s="43">
        <f t="shared" si="7"/>
        <v>0</v>
      </c>
      <c r="Y26" s="43">
        <f t="shared" si="2"/>
        <v>0</v>
      </c>
      <c r="AB26" s="75"/>
    </row>
    <row r="27" spans="1:28" ht="13.5" thickBot="1" x14ac:dyDescent="0.25">
      <c r="A27" s="29" t="s">
        <v>528</v>
      </c>
      <c r="B27" s="16"/>
      <c r="C27" s="46">
        <v>320</v>
      </c>
      <c r="D27" s="47">
        <v>4.16</v>
      </c>
      <c r="E27" s="35">
        <v>14.5</v>
      </c>
      <c r="F27" s="35">
        <v>12.75</v>
      </c>
      <c r="G27" s="35">
        <v>8.3800000000000008</v>
      </c>
      <c r="H27" s="35">
        <v>26.7</v>
      </c>
      <c r="I27" s="35">
        <f t="shared" si="3"/>
        <v>8.3437499999999998E-2</v>
      </c>
      <c r="J27" s="46" t="s">
        <v>505</v>
      </c>
      <c r="K27" s="48" t="s">
        <v>506</v>
      </c>
      <c r="L27" s="49">
        <v>8.1999999999999998E-4</v>
      </c>
      <c r="M27" s="35">
        <v>43.31</v>
      </c>
      <c r="N27" s="35">
        <v>50.12</v>
      </c>
      <c r="O27" s="35">
        <v>38</v>
      </c>
      <c r="P27" s="36">
        <v>1357</v>
      </c>
      <c r="Q27" s="37">
        <v>48</v>
      </c>
      <c r="R27" s="38"/>
      <c r="S27" s="39">
        <f>IF($S$1="ASSAULT RATE",SUMIF('Loads + CPFs by TAMCN'!$C$8:$C$1000,'Ammo Pallet Calculator'!A27,'Loads + CPFs by TAMCN'!$L$8:$L$1000),0)</f>
        <v>0</v>
      </c>
      <c r="T27" s="40">
        <f>IF($S$1="SUSTAIN RATE",SUMIF('Loads + CPFs by TAMCN'!$C$8:$C$1000,'Ammo Pallet Calculator'!A27,'Loads + CPFs by TAMCN'!$M$8:$M$1000),0)</f>
        <v>0</v>
      </c>
      <c r="U27" s="41">
        <f t="shared" si="0"/>
        <v>0</v>
      </c>
      <c r="V27" s="42">
        <f t="shared" si="6"/>
        <v>0</v>
      </c>
      <c r="W27" s="42">
        <f t="shared" si="1"/>
        <v>0</v>
      </c>
      <c r="X27" s="43">
        <f t="shared" si="7"/>
        <v>0</v>
      </c>
      <c r="Y27" s="43">
        <f t="shared" si="2"/>
        <v>0</v>
      </c>
      <c r="AA27" s="54"/>
    </row>
    <row r="28" spans="1:28" ht="13.5" thickBot="1" x14ac:dyDescent="0.25">
      <c r="A28" s="29" t="s">
        <v>263</v>
      </c>
      <c r="B28" s="16"/>
      <c r="C28" s="46">
        <v>500</v>
      </c>
      <c r="D28" s="47"/>
      <c r="E28" s="35">
        <v>22.25</v>
      </c>
      <c r="F28" s="35">
        <v>9.25</v>
      </c>
      <c r="G28" s="35">
        <v>8.31</v>
      </c>
      <c r="H28" s="35">
        <v>16.2</v>
      </c>
      <c r="I28" s="35">
        <f t="shared" si="3"/>
        <v>3.2399999999999998E-2</v>
      </c>
      <c r="J28" s="46" t="s">
        <v>505</v>
      </c>
      <c r="K28" s="48" t="s">
        <v>506</v>
      </c>
      <c r="L28" s="49">
        <v>3.62E-3</v>
      </c>
      <c r="M28" s="35">
        <v>46</v>
      </c>
      <c r="N28" s="35">
        <v>35</v>
      </c>
      <c r="O28" s="35">
        <v>46.13</v>
      </c>
      <c r="P28" s="36">
        <v>3033</v>
      </c>
      <c r="Q28" s="37">
        <v>40</v>
      </c>
      <c r="R28" s="38"/>
      <c r="S28" s="39">
        <f>IF($S$1="ASSAULT RATE",SUMIF('Loads + CPFs by TAMCN'!$C$8:$C$1000,'Ammo Pallet Calculator'!A28,'Loads + CPFs by TAMCN'!$L$8:$L$1000),0)</f>
        <v>1291.7579999999998</v>
      </c>
      <c r="T28" s="40">
        <f>IF($S$1="SUSTAIN RATE",SUMIF('Loads + CPFs by TAMCN'!$C$8:$C$1000,'Ammo Pallet Calculator'!A28,'Loads + CPFs by TAMCN'!$M$8:$M$1000),0)</f>
        <v>0</v>
      </c>
      <c r="U28" s="41">
        <f t="shared" si="0"/>
        <v>1291.7579999999998</v>
      </c>
      <c r="V28" s="42">
        <f t="shared" si="6"/>
        <v>2.5835159999999995</v>
      </c>
      <c r="W28" s="42">
        <f t="shared" si="1"/>
        <v>6.458789999999999E-2</v>
      </c>
      <c r="X28" s="43">
        <f t="shared" si="7"/>
        <v>41.852959199999987</v>
      </c>
      <c r="Y28" s="43">
        <f t="shared" si="2"/>
        <v>4.6761639599999993</v>
      </c>
    </row>
    <row r="29" spans="1:28" ht="13.5" thickBot="1" x14ac:dyDescent="0.25">
      <c r="A29" s="29" t="s">
        <v>265</v>
      </c>
      <c r="B29" s="16"/>
      <c r="C29" s="46">
        <v>320</v>
      </c>
      <c r="D29" s="47"/>
      <c r="E29" s="35">
        <v>14.44</v>
      </c>
      <c r="F29" s="35">
        <v>12.53</v>
      </c>
      <c r="G29" s="35">
        <v>10.25</v>
      </c>
      <c r="H29" s="35">
        <v>53</v>
      </c>
      <c r="I29" s="35">
        <f t="shared" si="3"/>
        <v>0.16562499999999999</v>
      </c>
      <c r="J29" s="46" t="s">
        <v>505</v>
      </c>
      <c r="K29" s="48" t="s">
        <v>506</v>
      </c>
      <c r="L29" s="49">
        <v>3.4099999999999998E-3</v>
      </c>
      <c r="M29" s="35">
        <v>51</v>
      </c>
      <c r="N29" s="35">
        <v>43.5</v>
      </c>
      <c r="O29" s="35">
        <v>39</v>
      </c>
      <c r="P29" s="36">
        <v>2730</v>
      </c>
      <c r="Q29" s="37">
        <v>48</v>
      </c>
      <c r="R29" s="38"/>
      <c r="S29" s="39">
        <f>IF($S$1="ASSAULT RATE",SUMIF('Loads + CPFs by TAMCN'!$C$8:$C$1000,'Ammo Pallet Calculator'!A29,'Loads + CPFs by TAMCN'!$L$8:$L$1000),0)</f>
        <v>570</v>
      </c>
      <c r="T29" s="40">
        <f>IF($S$1="SUSTAIN RATE",SUMIF('Loads + CPFs by TAMCN'!$C$8:$C$1000,'Ammo Pallet Calculator'!A29,'Loads + CPFs by TAMCN'!$M$8:$M$1000),0)</f>
        <v>0</v>
      </c>
      <c r="U29" s="41">
        <f t="shared" si="0"/>
        <v>570</v>
      </c>
      <c r="V29" s="42">
        <f t="shared" si="6"/>
        <v>1.78125</v>
      </c>
      <c r="W29" s="42">
        <f t="shared" si="1"/>
        <v>3.7109375E-2</v>
      </c>
      <c r="X29" s="43">
        <f t="shared" si="7"/>
        <v>94.40625</v>
      </c>
      <c r="Y29" s="43">
        <f t="shared" si="2"/>
        <v>1.9437</v>
      </c>
    </row>
    <row r="30" spans="1:28" ht="13.5" thickBot="1" x14ac:dyDescent="0.25">
      <c r="A30" s="29" t="s">
        <v>267</v>
      </c>
      <c r="B30" s="16"/>
      <c r="C30" s="46">
        <v>240</v>
      </c>
      <c r="D30" s="47"/>
      <c r="E30" s="35">
        <v>14.44</v>
      </c>
      <c r="F30" s="35">
        <v>12.53</v>
      </c>
      <c r="G30" s="35">
        <v>8.1300000000000008</v>
      </c>
      <c r="H30" s="35">
        <v>56.94</v>
      </c>
      <c r="I30" s="35">
        <f t="shared" si="3"/>
        <v>0.23724999999999999</v>
      </c>
      <c r="J30" s="46" t="s">
        <v>505</v>
      </c>
      <c r="K30" s="48" t="s">
        <v>506</v>
      </c>
      <c r="L30" s="49">
        <v>5.2700000000000004E-3</v>
      </c>
      <c r="M30" s="35">
        <v>51</v>
      </c>
      <c r="N30" s="35">
        <v>43.5</v>
      </c>
      <c r="O30" s="35">
        <v>39</v>
      </c>
      <c r="P30" s="36">
        <v>2834</v>
      </c>
      <c r="Q30" s="37">
        <v>48</v>
      </c>
      <c r="R30" s="38"/>
      <c r="S30" s="39">
        <f>IF($S$1="ASSAULT RATE",SUMIF('Loads + CPFs by TAMCN'!$C$8:$C$1000,'Ammo Pallet Calculator'!A30,'Loads + CPFs by TAMCN'!$L$8:$L$1000),0)</f>
        <v>334.89</v>
      </c>
      <c r="T30" s="40">
        <f>IF($S$1="SUSTAIN RATE",SUMIF('Loads + CPFs by TAMCN'!$C$8:$C$1000,'Ammo Pallet Calculator'!A30,'Loads + CPFs by TAMCN'!$M$8:$M$1000),0)</f>
        <v>0</v>
      </c>
      <c r="U30" s="41">
        <f t="shared" si="0"/>
        <v>334.89</v>
      </c>
      <c r="V30" s="42">
        <f t="shared" si="6"/>
        <v>1.395375</v>
      </c>
      <c r="W30" s="42">
        <f t="shared" si="1"/>
        <v>2.9070312500000001E-2</v>
      </c>
      <c r="X30" s="43">
        <f t="shared" si="7"/>
        <v>79.452652499999999</v>
      </c>
      <c r="Y30" s="43">
        <f t="shared" si="2"/>
        <v>1.7648703000000001</v>
      </c>
    </row>
    <row r="31" spans="1:28" ht="13.5" thickBot="1" x14ac:dyDescent="0.25">
      <c r="A31" s="29" t="s">
        <v>277</v>
      </c>
      <c r="B31" s="16"/>
      <c r="C31" s="46">
        <v>6000</v>
      </c>
      <c r="D31" s="47">
        <v>0.01</v>
      </c>
      <c r="E31" s="35">
        <v>14.44</v>
      </c>
      <c r="F31" s="35">
        <v>12.53</v>
      </c>
      <c r="G31" s="35">
        <v>8.1199999999999992</v>
      </c>
      <c r="H31" s="35">
        <v>39.14</v>
      </c>
      <c r="I31" s="35">
        <f t="shared" si="3"/>
        <v>6.5233333333333332E-3</v>
      </c>
      <c r="J31" s="46" t="s">
        <v>505</v>
      </c>
      <c r="K31" s="48" t="s">
        <v>529</v>
      </c>
      <c r="L31" s="49">
        <v>1.26E-4</v>
      </c>
      <c r="M31" s="35">
        <v>43.31</v>
      </c>
      <c r="N31" s="35">
        <v>50.12</v>
      </c>
      <c r="O31" s="35">
        <v>38</v>
      </c>
      <c r="P31" s="36">
        <v>2936</v>
      </c>
      <c r="Q31" s="37">
        <v>48</v>
      </c>
      <c r="R31" s="38"/>
      <c r="S31" s="39">
        <f>IF($S$1="ASSAULT RATE",SUMIF('Loads + CPFs by TAMCN'!$C$8:$C$1000,'Ammo Pallet Calculator'!A31,'Loads + CPFs by TAMCN'!$L$8:$L$1000),0)</f>
        <v>0</v>
      </c>
      <c r="T31" s="40">
        <f>IF($S$1="SUSTAIN RATE",SUMIF('Loads + CPFs by TAMCN'!$C$8:$C$1000,'Ammo Pallet Calculator'!A31,'Loads + CPFs by TAMCN'!$M$8:$M$1000),0)</f>
        <v>0</v>
      </c>
      <c r="U31" s="41">
        <f t="shared" si="0"/>
        <v>0</v>
      </c>
      <c r="V31" s="42">
        <f t="shared" si="6"/>
        <v>0</v>
      </c>
      <c r="W31" s="42">
        <f t="shared" si="1"/>
        <v>0</v>
      </c>
      <c r="X31" s="43">
        <f t="shared" si="7"/>
        <v>0</v>
      </c>
      <c r="Y31" s="43">
        <f t="shared" si="2"/>
        <v>0</v>
      </c>
    </row>
    <row r="32" spans="1:28" ht="13.5" thickBot="1" x14ac:dyDescent="0.25">
      <c r="A32" s="29" t="s">
        <v>279</v>
      </c>
      <c r="B32" s="16"/>
      <c r="C32" s="46">
        <v>44</v>
      </c>
      <c r="D32" s="47">
        <v>20.76</v>
      </c>
      <c r="E32" s="35">
        <v>14.62</v>
      </c>
      <c r="F32" s="35">
        <v>13.18</v>
      </c>
      <c r="G32" s="35">
        <v>8.56</v>
      </c>
      <c r="H32" s="35">
        <v>45.9</v>
      </c>
      <c r="I32" s="35">
        <f t="shared" si="3"/>
        <v>1.0431818181818182</v>
      </c>
      <c r="J32" s="46" t="s">
        <v>521</v>
      </c>
      <c r="K32" s="48" t="s">
        <v>530</v>
      </c>
      <c r="L32" s="49">
        <v>0.18781999999999999</v>
      </c>
      <c r="M32" s="35">
        <v>43.88</v>
      </c>
      <c r="N32" s="35">
        <v>52.75</v>
      </c>
      <c r="O32" s="35">
        <v>39.75</v>
      </c>
      <c r="P32" s="36">
        <v>2296</v>
      </c>
      <c r="Q32" s="37">
        <v>48</v>
      </c>
      <c r="R32" s="38"/>
      <c r="S32" s="39">
        <f>IF($S$1="ASSAULT RATE",SUMIF('Loads + CPFs by TAMCN'!$C$8:$C$1000,'Ammo Pallet Calculator'!A32,'Loads + CPFs by TAMCN'!$L$8:$L$1000),0)</f>
        <v>10.332000000000001</v>
      </c>
      <c r="T32" s="40">
        <f>IF($S$1="SUSTAIN RATE",SUMIF('Loads + CPFs by TAMCN'!$C$8:$C$1000,'Ammo Pallet Calculator'!A32,'Loads + CPFs by TAMCN'!$M$8:$M$1000),0)</f>
        <v>0</v>
      </c>
      <c r="U32" s="41">
        <f t="shared" si="0"/>
        <v>10.332000000000001</v>
      </c>
      <c r="V32" s="42">
        <f t="shared" si="6"/>
        <v>0.23481818181818184</v>
      </c>
      <c r="W32" s="42">
        <f t="shared" si="1"/>
        <v>4.8920454545454553E-3</v>
      </c>
      <c r="X32" s="43">
        <f t="shared" si="7"/>
        <v>10.778154545454546</v>
      </c>
      <c r="Y32" s="43">
        <f t="shared" si="2"/>
        <v>1.94055624</v>
      </c>
    </row>
    <row r="33" spans="1:25" ht="13.5" thickBot="1" x14ac:dyDescent="0.25">
      <c r="A33" s="29" t="s">
        <v>281</v>
      </c>
      <c r="B33" s="16"/>
      <c r="C33" s="46">
        <v>44</v>
      </c>
      <c r="D33" s="47">
        <v>20.78</v>
      </c>
      <c r="E33" s="35">
        <v>14.62</v>
      </c>
      <c r="F33" s="35">
        <v>13.18</v>
      </c>
      <c r="G33" s="35">
        <v>8.56</v>
      </c>
      <c r="H33" s="35">
        <v>45.9</v>
      </c>
      <c r="I33" s="35">
        <f t="shared" si="3"/>
        <v>1.0431818181818182</v>
      </c>
      <c r="J33" s="46" t="s">
        <v>521</v>
      </c>
      <c r="K33" s="48" t="s">
        <v>530</v>
      </c>
      <c r="L33" s="49">
        <v>2.47E-3</v>
      </c>
      <c r="M33" s="35">
        <v>43.88</v>
      </c>
      <c r="N33" s="35">
        <v>52.75</v>
      </c>
      <c r="O33" s="35">
        <v>39.75</v>
      </c>
      <c r="P33" s="36">
        <v>2296</v>
      </c>
      <c r="Q33" s="37">
        <v>48</v>
      </c>
      <c r="R33" s="38"/>
      <c r="S33" s="39">
        <f>IF($S$1="ASSAULT RATE",SUMIF('Loads + CPFs by TAMCN'!$C$8:$C$1000,'Ammo Pallet Calculator'!A33,'Loads + CPFs by TAMCN'!$L$8:$L$1000),0)</f>
        <v>10.332000000000001</v>
      </c>
      <c r="T33" s="40">
        <f>IF($S$1="SUSTAIN RATE",SUMIF('Loads + CPFs by TAMCN'!$C$8:$C$1000,'Ammo Pallet Calculator'!A33,'Loads + CPFs by TAMCN'!$M$8:$M$1000),0)</f>
        <v>0</v>
      </c>
      <c r="U33" s="41">
        <f t="shared" si="0"/>
        <v>10.332000000000001</v>
      </c>
      <c r="V33" s="42">
        <f t="shared" si="6"/>
        <v>0.23481818181818184</v>
      </c>
      <c r="W33" s="42">
        <f t="shared" si="1"/>
        <v>4.8920454545454553E-3</v>
      </c>
      <c r="X33" s="43">
        <f t="shared" si="7"/>
        <v>10.778154545454546</v>
      </c>
      <c r="Y33" s="43">
        <f t="shared" si="2"/>
        <v>2.5520040000000001E-2</v>
      </c>
    </row>
    <row r="34" spans="1:25" ht="13.5" thickBot="1" x14ac:dyDescent="0.25">
      <c r="A34" s="29" t="s">
        <v>283</v>
      </c>
      <c r="B34" s="16"/>
      <c r="C34" s="46">
        <v>44</v>
      </c>
      <c r="D34" s="47">
        <v>17.899999999999999</v>
      </c>
      <c r="E34" s="35">
        <v>14.62</v>
      </c>
      <c r="F34" s="35">
        <v>13.18</v>
      </c>
      <c r="G34" s="35">
        <v>8.56</v>
      </c>
      <c r="H34" s="35">
        <v>45.9</v>
      </c>
      <c r="I34" s="35">
        <f t="shared" si="3"/>
        <v>1.0431818181818182</v>
      </c>
      <c r="J34" s="46" t="s">
        <v>521</v>
      </c>
      <c r="K34" s="48" t="s">
        <v>531</v>
      </c>
      <c r="L34" s="49">
        <v>0.17215</v>
      </c>
      <c r="M34" s="35">
        <v>43.88</v>
      </c>
      <c r="N34" s="35">
        <v>52.75</v>
      </c>
      <c r="O34" s="35">
        <v>39.75</v>
      </c>
      <c r="P34" s="36">
        <v>2296</v>
      </c>
      <c r="Q34" s="37">
        <v>48</v>
      </c>
      <c r="R34" s="38"/>
      <c r="S34" s="39">
        <f>IF($S$1="ASSAULT RATE",SUMIF('Loads + CPFs by TAMCN'!$C$8:$C$1000,'Ammo Pallet Calculator'!A34,'Loads + CPFs by TAMCN'!$L$8:$L$1000),0)</f>
        <v>0</v>
      </c>
      <c r="T34" s="40">
        <f>IF($S$1="SUSTAIN RATE",SUMIF('Loads + CPFs by TAMCN'!$C$8:$C$1000,'Ammo Pallet Calculator'!A34,'Loads + CPFs by TAMCN'!$M$8:$M$1000),0)</f>
        <v>0</v>
      </c>
      <c r="U34" s="41">
        <f t="shared" si="0"/>
        <v>0</v>
      </c>
      <c r="V34" s="42">
        <f t="shared" si="6"/>
        <v>0</v>
      </c>
      <c r="W34" s="42">
        <f t="shared" si="1"/>
        <v>0</v>
      </c>
      <c r="X34" s="43">
        <f t="shared" si="7"/>
        <v>0</v>
      </c>
      <c r="Y34" s="43">
        <f t="shared" si="2"/>
        <v>0</v>
      </c>
    </row>
    <row r="35" spans="1:25" ht="13.5" thickBot="1" x14ac:dyDescent="0.25">
      <c r="A35" s="29" t="s">
        <v>285</v>
      </c>
      <c r="B35" s="16"/>
      <c r="C35" s="46">
        <v>44</v>
      </c>
      <c r="D35" s="47">
        <v>17.48</v>
      </c>
      <c r="E35" s="35">
        <v>14.62</v>
      </c>
      <c r="F35" s="35">
        <v>13.18</v>
      </c>
      <c r="G35" s="35">
        <v>8.56</v>
      </c>
      <c r="H35" s="35">
        <v>45.9</v>
      </c>
      <c r="I35" s="35">
        <f t="shared" si="3"/>
        <v>1.0431818181818182</v>
      </c>
      <c r="J35" s="46" t="s">
        <v>521</v>
      </c>
      <c r="K35" s="48" t="s">
        <v>531</v>
      </c>
      <c r="L35" s="49">
        <v>0.17215</v>
      </c>
      <c r="M35" s="35">
        <v>43.88</v>
      </c>
      <c r="N35" s="35">
        <v>52.75</v>
      </c>
      <c r="O35" s="35">
        <v>39.75</v>
      </c>
      <c r="P35" s="36">
        <v>2296</v>
      </c>
      <c r="Q35" s="37">
        <v>48</v>
      </c>
      <c r="R35" s="38"/>
      <c r="S35" s="39">
        <f>IF($S$1="ASSAULT RATE",SUMIF('Loads + CPFs by TAMCN'!$C$8:$C$1000,'Ammo Pallet Calculator'!A35,'Loads + CPFs by TAMCN'!$L$8:$L$1000),0)</f>
        <v>10.332000000000001</v>
      </c>
      <c r="T35" s="40">
        <f>IF($S$1="SUSTAIN RATE",SUMIF('Loads + CPFs by TAMCN'!$C$8:$C$1000,'Ammo Pallet Calculator'!A35,'Loads + CPFs by TAMCN'!$M$8:$M$1000),0)</f>
        <v>0</v>
      </c>
      <c r="U35" s="41">
        <f t="shared" si="0"/>
        <v>10.332000000000001</v>
      </c>
      <c r="V35" s="42">
        <f t="shared" si="6"/>
        <v>0.23481818181818184</v>
      </c>
      <c r="W35" s="42">
        <f t="shared" si="1"/>
        <v>4.8920454545454553E-3</v>
      </c>
      <c r="X35" s="43">
        <f t="shared" si="7"/>
        <v>10.778154545454546</v>
      </c>
      <c r="Y35" s="43">
        <f t="shared" si="2"/>
        <v>1.7786538000000001</v>
      </c>
    </row>
    <row r="36" spans="1:25" ht="13.5" thickBot="1" x14ac:dyDescent="0.25">
      <c r="A36" s="29" t="s">
        <v>287</v>
      </c>
      <c r="B36" s="16"/>
      <c r="C36" s="46">
        <v>44</v>
      </c>
      <c r="D36" s="47">
        <v>17.93</v>
      </c>
      <c r="E36" s="35">
        <v>14.62</v>
      </c>
      <c r="F36" s="35">
        <v>13.18</v>
      </c>
      <c r="G36" s="35">
        <v>8.56</v>
      </c>
      <c r="H36" s="35">
        <v>45.9</v>
      </c>
      <c r="I36" s="35">
        <f t="shared" si="3"/>
        <v>1.0431818181818182</v>
      </c>
      <c r="J36" s="46" t="s">
        <v>521</v>
      </c>
      <c r="K36" s="48" t="s">
        <v>531</v>
      </c>
      <c r="L36" s="49">
        <v>0.17215</v>
      </c>
      <c r="M36" s="35">
        <v>43.88</v>
      </c>
      <c r="N36" s="35">
        <v>52.75</v>
      </c>
      <c r="O36" s="35">
        <v>39.75</v>
      </c>
      <c r="P36" s="36">
        <v>2296</v>
      </c>
      <c r="Q36" s="37">
        <v>48</v>
      </c>
      <c r="R36" s="38"/>
      <c r="S36" s="39">
        <f>IF($S$1="ASSAULT RATE",SUMIF('Loads + CPFs by TAMCN'!$C$8:$C$1000,'Ammo Pallet Calculator'!A36,'Loads + CPFs by TAMCN'!$L$8:$L$1000),0)</f>
        <v>10.332000000000001</v>
      </c>
      <c r="T36" s="40">
        <f>IF($S$1="SUSTAIN RATE",SUMIF('Loads + CPFs by TAMCN'!$C$8:$C$1000,'Ammo Pallet Calculator'!A36,'Loads + CPFs by TAMCN'!$M$8:$M$1000),0)</f>
        <v>0</v>
      </c>
      <c r="U36" s="41">
        <f t="shared" si="0"/>
        <v>10.332000000000001</v>
      </c>
      <c r="V36" s="42">
        <f t="shared" si="6"/>
        <v>0.23481818181818184</v>
      </c>
      <c r="W36" s="42">
        <f t="shared" si="1"/>
        <v>4.8920454545454553E-3</v>
      </c>
      <c r="X36" s="43">
        <f t="shared" si="7"/>
        <v>10.778154545454546</v>
      </c>
      <c r="Y36" s="43">
        <f t="shared" si="2"/>
        <v>1.7786538000000001</v>
      </c>
    </row>
    <row r="37" spans="1:25" ht="13.5" thickBot="1" x14ac:dyDescent="0.25">
      <c r="A37" s="29" t="s">
        <v>289</v>
      </c>
      <c r="B37" s="16"/>
      <c r="C37" s="46">
        <v>44</v>
      </c>
      <c r="D37" s="47">
        <v>50.44</v>
      </c>
      <c r="E37" s="35">
        <v>14.62</v>
      </c>
      <c r="F37" s="35">
        <v>13.18</v>
      </c>
      <c r="G37" s="35">
        <v>8.56</v>
      </c>
      <c r="H37" s="35">
        <v>45.9</v>
      </c>
      <c r="I37" s="35">
        <f t="shared" si="3"/>
        <v>1.0431818181818182</v>
      </c>
      <c r="J37" s="46" t="s">
        <v>521</v>
      </c>
      <c r="K37" s="48" t="s">
        <v>530</v>
      </c>
      <c r="L37" s="49">
        <v>0.20799999999999999</v>
      </c>
      <c r="M37" s="35">
        <v>43.88</v>
      </c>
      <c r="N37" s="35">
        <v>52.75</v>
      </c>
      <c r="O37" s="35">
        <v>39.75</v>
      </c>
      <c r="P37" s="36">
        <v>2296</v>
      </c>
      <c r="Q37" s="37">
        <v>48</v>
      </c>
      <c r="R37" s="38"/>
      <c r="S37" s="39">
        <f>IF($S$1="ASSAULT RATE",SUMIF('Loads + CPFs by TAMCN'!$C$8:$C$1000,'Ammo Pallet Calculator'!A37,'Loads + CPFs by TAMCN'!$L$8:$L$1000),0)</f>
        <v>11.07</v>
      </c>
      <c r="T37" s="40">
        <f>IF($S$1="SUSTAIN RATE",SUMIF('Loads + CPFs by TAMCN'!$C$8:$C$1000,'Ammo Pallet Calculator'!A37,'Loads + CPFs by TAMCN'!$M$8:$M$1000),0)</f>
        <v>0</v>
      </c>
      <c r="U37" s="41">
        <f t="shared" si="0"/>
        <v>11.07</v>
      </c>
      <c r="V37" s="42">
        <f t="shared" si="6"/>
        <v>0.25159090909090909</v>
      </c>
      <c r="W37" s="42">
        <f t="shared" si="1"/>
        <v>5.2414772727272727E-3</v>
      </c>
      <c r="X37" s="43">
        <f t="shared" si="7"/>
        <v>11.548022727272727</v>
      </c>
      <c r="Y37" s="43">
        <f t="shared" si="2"/>
        <v>2.3025600000000002</v>
      </c>
    </row>
    <row r="38" spans="1:25" ht="13.5" thickBot="1" x14ac:dyDescent="0.25">
      <c r="A38" s="29" t="s">
        <v>291</v>
      </c>
      <c r="B38" s="16"/>
      <c r="C38" s="46">
        <v>32</v>
      </c>
      <c r="D38" s="47">
        <v>11.41</v>
      </c>
      <c r="E38" s="35">
        <v>18.75</v>
      </c>
      <c r="F38" s="35">
        <v>6.38</v>
      </c>
      <c r="G38" s="35">
        <v>10.38</v>
      </c>
      <c r="H38" s="35">
        <v>42</v>
      </c>
      <c r="I38" s="35">
        <f t="shared" si="3"/>
        <v>1.3125</v>
      </c>
      <c r="J38" s="46" t="s">
        <v>532</v>
      </c>
      <c r="K38" s="48" t="s">
        <v>533</v>
      </c>
      <c r="L38" s="49">
        <v>9.4140000000000001E-2</v>
      </c>
      <c r="M38" s="35">
        <v>51</v>
      </c>
      <c r="N38" s="35">
        <v>40</v>
      </c>
      <c r="O38" s="35">
        <v>36.119999999999997</v>
      </c>
      <c r="P38" s="36">
        <v>2291</v>
      </c>
      <c r="Q38" s="37">
        <v>48</v>
      </c>
      <c r="R38" s="38"/>
      <c r="S38" s="39">
        <f>IF($S$1="ASSAULT RATE",SUMIF('Loads + CPFs by TAMCN'!$C$8:$C$1000,'Ammo Pallet Calculator'!A38,'Loads + CPFs by TAMCN'!$L$8:$L$1000),0)</f>
        <v>12638.088</v>
      </c>
      <c r="T38" s="40">
        <f>IF($S$1="SUSTAIN RATE",SUMIF('Loads + CPFs by TAMCN'!$C$8:$C$1000,'Ammo Pallet Calculator'!A38,'Loads + CPFs by TAMCN'!$M$8:$M$1000),0)</f>
        <v>0</v>
      </c>
      <c r="U38" s="41">
        <f t="shared" si="0"/>
        <v>12638.088</v>
      </c>
      <c r="V38" s="42">
        <f t="shared" si="6"/>
        <v>394.94024999999999</v>
      </c>
      <c r="W38" s="42">
        <f t="shared" si="1"/>
        <v>8.2279218749999998</v>
      </c>
      <c r="X38" s="43">
        <f t="shared" si="7"/>
        <v>16587.4905</v>
      </c>
      <c r="Y38" s="43">
        <f t="shared" si="2"/>
        <v>1189.7496043199999</v>
      </c>
    </row>
    <row r="39" spans="1:25" ht="13.5" thickBot="1" x14ac:dyDescent="0.25">
      <c r="A39" s="29" t="s">
        <v>293</v>
      </c>
      <c r="B39" s="16"/>
      <c r="C39" s="46">
        <v>72</v>
      </c>
      <c r="D39" s="47">
        <v>15.44</v>
      </c>
      <c r="E39" s="35">
        <v>15.88</v>
      </c>
      <c r="F39" s="35">
        <v>13.88</v>
      </c>
      <c r="G39" s="35">
        <v>10</v>
      </c>
      <c r="H39" s="35">
        <v>53</v>
      </c>
      <c r="I39" s="35">
        <f t="shared" si="3"/>
        <v>0.73611111111111116</v>
      </c>
      <c r="J39" s="46" t="s">
        <v>532</v>
      </c>
      <c r="K39" s="48" t="s">
        <v>533</v>
      </c>
      <c r="L39" s="49">
        <v>0.101715</v>
      </c>
      <c r="M39" s="35">
        <v>40.119999999999997</v>
      </c>
      <c r="N39" s="35">
        <v>48</v>
      </c>
      <c r="O39" s="35">
        <v>35.5</v>
      </c>
      <c r="P39" s="36">
        <v>1531</v>
      </c>
      <c r="Q39" s="37">
        <v>27</v>
      </c>
      <c r="R39" s="38"/>
      <c r="S39" s="39">
        <f>IF($S$1="ASSAULT RATE",SUMIF('Loads + CPFs by TAMCN'!$C$8:$C$1000,'Ammo Pallet Calculator'!A39,'Loads + CPFs by TAMCN'!$L$8:$L$1000),0)</f>
        <v>318.07799999999997</v>
      </c>
      <c r="T39" s="40">
        <f>IF($S$1="SUSTAIN RATE",SUMIF('Loads + CPFs by TAMCN'!$C$8:$C$1000,'Ammo Pallet Calculator'!A39,'Loads + CPFs by TAMCN'!$M$8:$M$1000),0)</f>
        <v>0</v>
      </c>
      <c r="U39" s="41">
        <f t="shared" si="0"/>
        <v>318.07799999999997</v>
      </c>
      <c r="V39" s="42">
        <f t="shared" si="6"/>
        <v>4.4177499999999998</v>
      </c>
      <c r="W39" s="42">
        <f t="shared" si="1"/>
        <v>0.16362037037037036</v>
      </c>
      <c r="X39" s="43">
        <f t="shared" si="7"/>
        <v>234.14075</v>
      </c>
      <c r="Y39" s="43">
        <f t="shared" si="2"/>
        <v>32.353303769999997</v>
      </c>
    </row>
    <row r="40" spans="1:25" ht="13.5" thickBot="1" x14ac:dyDescent="0.25">
      <c r="A40" s="29" t="s">
        <v>295</v>
      </c>
      <c r="B40" s="16"/>
      <c r="C40" s="46">
        <v>24</v>
      </c>
      <c r="D40" s="47">
        <v>50.59</v>
      </c>
      <c r="E40" s="35">
        <v>15.25</v>
      </c>
      <c r="F40" s="35">
        <v>11.62</v>
      </c>
      <c r="G40" s="35">
        <v>6.62</v>
      </c>
      <c r="H40" s="35">
        <v>26</v>
      </c>
      <c r="I40" s="35">
        <f t="shared" si="3"/>
        <v>1.0833333333333333</v>
      </c>
      <c r="J40" s="46" t="s">
        <v>516</v>
      </c>
      <c r="K40" s="48" t="s">
        <v>534</v>
      </c>
      <c r="L40" s="49">
        <v>0.125</v>
      </c>
      <c r="M40" s="35">
        <v>37.880000000000003</v>
      </c>
      <c r="N40" s="35">
        <v>49</v>
      </c>
      <c r="O40" s="35">
        <v>45.25</v>
      </c>
      <c r="P40" s="36">
        <v>1506</v>
      </c>
      <c r="Q40" s="37">
        <v>54</v>
      </c>
      <c r="R40" s="38"/>
      <c r="S40" s="39">
        <f>IF($S$1="ASSAULT RATE",SUMIF('Loads + CPFs by TAMCN'!$C$8:$C$1000,'Ammo Pallet Calculator'!A40,'Loads + CPFs by TAMCN'!$L$8:$L$1000),0)</f>
        <v>8.1720000000000006</v>
      </c>
      <c r="T40" s="40">
        <f>IF($S$1="SUSTAIN RATE",SUMIF('Loads + CPFs by TAMCN'!$C$8:$C$1000,'Ammo Pallet Calculator'!A40,'Loads + CPFs by TAMCN'!$M$8:$M$1000),0)</f>
        <v>0</v>
      </c>
      <c r="U40" s="41">
        <f t="shared" si="0"/>
        <v>8.1720000000000006</v>
      </c>
      <c r="V40" s="42">
        <f t="shared" si="6"/>
        <v>0.34050000000000002</v>
      </c>
      <c r="W40" s="42">
        <f t="shared" si="1"/>
        <v>6.3055555555555564E-3</v>
      </c>
      <c r="X40" s="43">
        <f t="shared" si="7"/>
        <v>8.8530000000000015</v>
      </c>
      <c r="Y40" s="43">
        <f t="shared" si="2"/>
        <v>1.0215000000000001</v>
      </c>
    </row>
    <row r="41" spans="1:25" ht="13.5" thickBot="1" x14ac:dyDescent="0.25">
      <c r="A41" s="29" t="s">
        <v>535</v>
      </c>
      <c r="B41" s="16"/>
      <c r="C41" s="46">
        <v>16</v>
      </c>
      <c r="D41" s="47">
        <v>188.32</v>
      </c>
      <c r="E41" s="35">
        <v>14.94</v>
      </c>
      <c r="F41" s="35">
        <v>13.18</v>
      </c>
      <c r="G41" s="35">
        <v>17.809999999999999</v>
      </c>
      <c r="H41" s="35">
        <v>112</v>
      </c>
      <c r="I41" s="35">
        <f t="shared" si="3"/>
        <v>7</v>
      </c>
      <c r="J41" s="46" t="s">
        <v>522</v>
      </c>
      <c r="K41" s="48" t="s">
        <v>523</v>
      </c>
      <c r="L41" s="49">
        <v>0.88690000000000002</v>
      </c>
      <c r="M41" s="35">
        <v>44.81</v>
      </c>
      <c r="N41" s="35">
        <v>53.38</v>
      </c>
      <c r="O41" s="35">
        <v>45.06</v>
      </c>
      <c r="P41" s="36">
        <v>3127</v>
      </c>
      <c r="Q41" s="37">
        <v>27</v>
      </c>
      <c r="R41" s="38"/>
      <c r="S41" s="39">
        <f>IF($S$1="ASSAULT RATE",SUMIF('Loads + CPFs by TAMCN'!$C$8:$C$1000,'Ammo Pallet Calculator'!A41,'Loads + CPFs by TAMCN'!$L$8:$L$1000),0)</f>
        <v>0</v>
      </c>
      <c r="T41" s="40">
        <f>IF($S$1="SUSTAIN RATE",SUMIF('Loads + CPFs by TAMCN'!$C$8:$C$1000,'Ammo Pallet Calculator'!A41,'Loads + CPFs by TAMCN'!$M$8:$M$1000),0)</f>
        <v>0</v>
      </c>
      <c r="U41" s="41">
        <f t="shared" si="0"/>
        <v>0</v>
      </c>
      <c r="V41" s="42">
        <f t="shared" si="6"/>
        <v>0</v>
      </c>
      <c r="W41" s="42">
        <f t="shared" si="1"/>
        <v>0</v>
      </c>
      <c r="X41" s="43">
        <f t="shared" si="7"/>
        <v>0</v>
      </c>
      <c r="Y41" s="43">
        <f t="shared" si="2"/>
        <v>0</v>
      </c>
    </row>
    <row r="42" spans="1:25" ht="13.5" thickBot="1" x14ac:dyDescent="0.25">
      <c r="A42" s="29" t="s">
        <v>297</v>
      </c>
      <c r="B42" s="16"/>
      <c r="C42" s="46">
        <v>16</v>
      </c>
      <c r="D42" s="47">
        <v>111.58</v>
      </c>
      <c r="E42" s="35">
        <v>14.94</v>
      </c>
      <c r="F42" s="35">
        <v>13.18</v>
      </c>
      <c r="G42" s="35">
        <v>17.809999999999999</v>
      </c>
      <c r="H42" s="35">
        <v>112</v>
      </c>
      <c r="I42" s="35">
        <f t="shared" si="3"/>
        <v>7</v>
      </c>
      <c r="J42" s="46" t="s">
        <v>522</v>
      </c>
      <c r="K42" s="48" t="s">
        <v>523</v>
      </c>
      <c r="L42" s="49">
        <v>0.90039999999999998</v>
      </c>
      <c r="M42" s="35">
        <v>44.81</v>
      </c>
      <c r="N42" s="35">
        <v>53.38</v>
      </c>
      <c r="O42" s="35">
        <v>45.06</v>
      </c>
      <c r="P42" s="36">
        <v>3127</v>
      </c>
      <c r="Q42" s="37">
        <v>27</v>
      </c>
      <c r="R42" s="38"/>
      <c r="S42" s="39">
        <f>IF($S$1="ASSAULT RATE",SUMIF('Loads + CPFs by TAMCN'!$C$8:$C$1000,'Ammo Pallet Calculator'!A42,'Loads + CPFs by TAMCN'!$L$8:$L$1000),0)</f>
        <v>241.63200000000001</v>
      </c>
      <c r="T42" s="40">
        <f>IF($S$1="SUSTAIN RATE",SUMIF('Loads + CPFs by TAMCN'!$C$8:$C$1000,'Ammo Pallet Calculator'!A42,'Loads + CPFs by TAMCN'!$M$8:$M$1000),0)</f>
        <v>0</v>
      </c>
      <c r="U42" s="41">
        <f t="shared" si="0"/>
        <v>241.63200000000001</v>
      </c>
      <c r="V42" s="42">
        <f t="shared" si="6"/>
        <v>15.102</v>
      </c>
      <c r="W42" s="42">
        <f t="shared" si="1"/>
        <v>0.55933333333333335</v>
      </c>
      <c r="X42" s="43">
        <f t="shared" si="7"/>
        <v>1691.424</v>
      </c>
      <c r="Y42" s="43">
        <f t="shared" si="2"/>
        <v>217.5654528</v>
      </c>
    </row>
    <row r="43" spans="1:25" ht="13.5" thickBot="1" x14ac:dyDescent="0.25">
      <c r="A43" s="29" t="s">
        <v>536</v>
      </c>
      <c r="B43" s="16"/>
      <c r="C43" s="46">
        <v>16</v>
      </c>
      <c r="D43" s="47">
        <v>144.61000000000001</v>
      </c>
      <c r="E43" s="35">
        <v>14.94</v>
      </c>
      <c r="F43" s="35">
        <v>13.18</v>
      </c>
      <c r="G43" s="35">
        <v>17.809999999999999</v>
      </c>
      <c r="H43" s="35">
        <v>112</v>
      </c>
      <c r="I43" s="35">
        <f t="shared" si="3"/>
        <v>7</v>
      </c>
      <c r="J43" s="46" t="s">
        <v>537</v>
      </c>
      <c r="K43" s="48" t="s">
        <v>538</v>
      </c>
      <c r="L43" s="49">
        <v>0.10589999999999999</v>
      </c>
      <c r="M43" s="35">
        <v>39.56</v>
      </c>
      <c r="N43" s="35">
        <v>49.56</v>
      </c>
      <c r="O43" s="35">
        <v>45.12</v>
      </c>
      <c r="P43" s="36">
        <v>2051</v>
      </c>
      <c r="Q43" s="37">
        <v>18</v>
      </c>
      <c r="R43" s="38"/>
      <c r="S43" s="39">
        <f>IF($S$1="ASSAULT RATE",SUMIF('Loads + CPFs by TAMCN'!$C$8:$C$1000,'Ammo Pallet Calculator'!A43,'Loads + CPFs by TAMCN'!$L$8:$L$1000),0)</f>
        <v>0</v>
      </c>
      <c r="T43" s="40">
        <f>IF($S$1="SUSTAIN RATE",SUMIF('Loads + CPFs by TAMCN'!$C$8:$C$1000,'Ammo Pallet Calculator'!A43,'Loads + CPFs by TAMCN'!$M$8:$M$1000),0)</f>
        <v>0</v>
      </c>
      <c r="U43" s="41">
        <f t="shared" si="0"/>
        <v>0</v>
      </c>
      <c r="V43" s="42">
        <f t="shared" si="6"/>
        <v>0</v>
      </c>
      <c r="W43" s="42">
        <f t="shared" si="1"/>
        <v>0</v>
      </c>
      <c r="X43" s="43">
        <f t="shared" si="7"/>
        <v>0</v>
      </c>
      <c r="Y43" s="43">
        <f t="shared" si="2"/>
        <v>0</v>
      </c>
    </row>
    <row r="44" spans="1:25" ht="13.5" thickBot="1" x14ac:dyDescent="0.25">
      <c r="A44" s="29" t="s">
        <v>299</v>
      </c>
      <c r="B44" s="16"/>
      <c r="C44" s="46">
        <v>16</v>
      </c>
      <c r="D44" s="47">
        <v>256.2</v>
      </c>
      <c r="E44" s="35">
        <v>14.94</v>
      </c>
      <c r="F44" s="35">
        <v>13.25</v>
      </c>
      <c r="G44" s="35">
        <v>17.809999999999999</v>
      </c>
      <c r="H44" s="35">
        <v>116</v>
      </c>
      <c r="I44" s="35">
        <f t="shared" si="3"/>
        <v>7.25</v>
      </c>
      <c r="J44" s="46" t="s">
        <v>539</v>
      </c>
      <c r="K44" s="48" t="s">
        <v>540</v>
      </c>
      <c r="L44" s="49">
        <v>0.68</v>
      </c>
      <c r="M44" s="35">
        <v>40.18</v>
      </c>
      <c r="N44" s="35">
        <v>53</v>
      </c>
      <c r="O44" s="35">
        <v>50.31</v>
      </c>
      <c r="P44" s="36">
        <v>2872</v>
      </c>
      <c r="Q44" s="37">
        <v>24</v>
      </c>
      <c r="R44" s="38"/>
      <c r="S44" s="39">
        <f>IF($S$1="ASSAULT RATE",SUMIF('Loads + CPFs by TAMCN'!$C$8:$C$1000,'Ammo Pallet Calculator'!A44,'Loads + CPFs by TAMCN'!$L$8:$L$1000),0)</f>
        <v>126.46799999999999</v>
      </c>
      <c r="T44" s="40">
        <f>IF($S$1="SUSTAIN RATE",SUMIF('Loads + CPFs by TAMCN'!$C$8:$C$1000,'Ammo Pallet Calculator'!A44,'Loads + CPFs by TAMCN'!$M$8:$M$1000),0)</f>
        <v>0</v>
      </c>
      <c r="U44" s="41">
        <f t="shared" si="0"/>
        <v>126.46799999999999</v>
      </c>
      <c r="V44" s="42">
        <f t="shared" si="6"/>
        <v>7.9042499999999993</v>
      </c>
      <c r="W44" s="42">
        <f t="shared" si="1"/>
        <v>0.32934374999999999</v>
      </c>
      <c r="X44" s="43">
        <f t="shared" si="7"/>
        <v>916.89299999999992</v>
      </c>
      <c r="Y44" s="43">
        <f t="shared" si="2"/>
        <v>85.998239999999996</v>
      </c>
    </row>
    <row r="45" spans="1:25" ht="13.5" thickBot="1" x14ac:dyDescent="0.25">
      <c r="A45" s="29" t="s">
        <v>541</v>
      </c>
      <c r="B45" s="16"/>
      <c r="C45" s="46">
        <v>44</v>
      </c>
      <c r="D45" s="47">
        <v>15.3</v>
      </c>
      <c r="E45" s="35">
        <v>14.5</v>
      </c>
      <c r="F45" s="35">
        <v>12.75</v>
      </c>
      <c r="G45" s="35">
        <v>8.3800000000000008</v>
      </c>
      <c r="H45" s="35">
        <v>36</v>
      </c>
      <c r="I45" s="35">
        <f t="shared" si="3"/>
        <v>0.81818181818181823</v>
      </c>
      <c r="J45" s="46" t="s">
        <v>516</v>
      </c>
      <c r="K45" s="48" t="s">
        <v>517</v>
      </c>
      <c r="L45" s="49">
        <v>1.98E-3</v>
      </c>
      <c r="M45" s="35">
        <v>43.88</v>
      </c>
      <c r="N45" s="35">
        <v>52.75</v>
      </c>
      <c r="O45" s="35">
        <v>39.75</v>
      </c>
      <c r="P45" s="36">
        <v>1803</v>
      </c>
      <c r="Q45" s="37">
        <v>48</v>
      </c>
      <c r="R45" s="38"/>
      <c r="S45" s="39">
        <f>IF($S$1="ASSAULT RATE",SUMIF('Loads + CPFs by TAMCN'!$C$8:$C$1000,'Ammo Pallet Calculator'!A45,'Loads + CPFs by TAMCN'!$L$8:$L$1000),0)</f>
        <v>0</v>
      </c>
      <c r="T45" s="40">
        <f>IF($S$1="SUSTAIN RATE",SUMIF('Loads + CPFs by TAMCN'!$C$8:$C$1000,'Ammo Pallet Calculator'!A45,'Loads + CPFs by TAMCN'!$M$8:$M$1000),0)</f>
        <v>0</v>
      </c>
      <c r="U45" s="41">
        <f t="shared" si="0"/>
        <v>0</v>
      </c>
      <c r="V45" s="42">
        <f t="shared" si="6"/>
        <v>0</v>
      </c>
      <c r="W45" s="42">
        <f t="shared" si="1"/>
        <v>0</v>
      </c>
      <c r="X45" s="43">
        <f t="shared" si="7"/>
        <v>0</v>
      </c>
      <c r="Y45" s="43">
        <f t="shared" si="2"/>
        <v>0</v>
      </c>
    </row>
    <row r="46" spans="1:25" ht="13.5" thickBot="1" x14ac:dyDescent="0.25">
      <c r="A46" s="29" t="s">
        <v>542</v>
      </c>
      <c r="B46" s="16"/>
      <c r="C46" s="46">
        <v>44</v>
      </c>
      <c r="D46" s="47">
        <v>16.149999999999999</v>
      </c>
      <c r="E46" s="35">
        <v>14.5</v>
      </c>
      <c r="F46" s="35">
        <v>12.75</v>
      </c>
      <c r="G46" s="35">
        <v>8.3800000000000008</v>
      </c>
      <c r="H46" s="35">
        <v>36</v>
      </c>
      <c r="I46" s="35">
        <f t="shared" si="3"/>
        <v>0.81818181818181823</v>
      </c>
      <c r="J46" s="46" t="s">
        <v>516</v>
      </c>
      <c r="K46" s="48" t="s">
        <v>517</v>
      </c>
      <c r="L46" s="49">
        <v>1.16E-3</v>
      </c>
      <c r="M46" s="35">
        <v>43.88</v>
      </c>
      <c r="N46" s="35">
        <v>52.75</v>
      </c>
      <c r="O46" s="35">
        <v>39.75</v>
      </c>
      <c r="P46" s="36">
        <v>1803</v>
      </c>
      <c r="Q46" s="37">
        <v>48</v>
      </c>
      <c r="R46" s="38"/>
      <c r="S46" s="39">
        <f>IF($S$1="ASSAULT RATE",SUMIF('Loads + CPFs by TAMCN'!$C$8:$C$1000,'Ammo Pallet Calculator'!A46,'Loads + CPFs by TAMCN'!$L$8:$L$1000),0)</f>
        <v>0</v>
      </c>
      <c r="T46" s="40">
        <f>IF($S$1="SUSTAIN RATE",SUMIF('Loads + CPFs by TAMCN'!$C$8:$C$1000,'Ammo Pallet Calculator'!A46,'Loads + CPFs by TAMCN'!$M$8:$M$1000),0)</f>
        <v>0</v>
      </c>
      <c r="U46" s="41">
        <f t="shared" si="0"/>
        <v>0</v>
      </c>
      <c r="V46" s="42">
        <f t="shared" si="6"/>
        <v>0</v>
      </c>
      <c r="W46" s="42">
        <f t="shared" si="1"/>
        <v>0</v>
      </c>
      <c r="X46" s="43">
        <f t="shared" si="7"/>
        <v>0</v>
      </c>
      <c r="Y46" s="43">
        <f t="shared" si="2"/>
        <v>0</v>
      </c>
    </row>
    <row r="47" spans="1:25" ht="13.5" thickBot="1" x14ac:dyDescent="0.25">
      <c r="A47" s="29" t="s">
        <v>543</v>
      </c>
      <c r="B47" s="16"/>
      <c r="C47" s="46">
        <v>44</v>
      </c>
      <c r="D47" s="47">
        <v>13.6</v>
      </c>
      <c r="E47" s="35">
        <v>14.5</v>
      </c>
      <c r="F47" s="35">
        <v>12.75</v>
      </c>
      <c r="G47" s="35">
        <v>8.3800000000000008</v>
      </c>
      <c r="H47" s="35">
        <v>38</v>
      </c>
      <c r="I47" s="35">
        <f t="shared" si="3"/>
        <v>0.86363636363636365</v>
      </c>
      <c r="J47" s="46" t="s">
        <v>516</v>
      </c>
      <c r="K47" s="48" t="s">
        <v>517</v>
      </c>
      <c r="L47" s="49">
        <v>5.3099999999999996E-3</v>
      </c>
      <c r="M47" s="35">
        <v>43.88</v>
      </c>
      <c r="N47" s="35">
        <v>52.75</v>
      </c>
      <c r="O47" s="35">
        <v>39.75</v>
      </c>
      <c r="P47" s="36">
        <v>1899</v>
      </c>
      <c r="Q47" s="37">
        <v>48</v>
      </c>
      <c r="R47" s="38"/>
      <c r="S47" s="39">
        <f>IF($S$1="ASSAULT RATE",SUMIF('Loads + CPFs by TAMCN'!$C$8:$C$1000,'Ammo Pallet Calculator'!A47,'Loads + CPFs by TAMCN'!$L$8:$L$1000),0)</f>
        <v>0</v>
      </c>
      <c r="T47" s="40">
        <f>IF($S$1="SUSTAIN RATE",SUMIF('Loads + CPFs by TAMCN'!$C$8:$C$1000,'Ammo Pallet Calculator'!A47,'Loads + CPFs by TAMCN'!$M$8:$M$1000),0)</f>
        <v>0</v>
      </c>
      <c r="U47" s="41">
        <f t="shared" si="0"/>
        <v>0</v>
      </c>
      <c r="V47" s="42">
        <f t="shared" si="6"/>
        <v>0</v>
      </c>
      <c r="W47" s="42">
        <f t="shared" si="1"/>
        <v>0</v>
      </c>
      <c r="X47" s="43">
        <f t="shared" si="7"/>
        <v>0</v>
      </c>
      <c r="Y47" s="43">
        <f t="shared" si="2"/>
        <v>0</v>
      </c>
    </row>
    <row r="48" spans="1:25" ht="13.5" thickBot="1" x14ac:dyDescent="0.25">
      <c r="A48" s="29" t="s">
        <v>303</v>
      </c>
      <c r="B48" s="16"/>
      <c r="C48" s="46">
        <v>16</v>
      </c>
      <c r="D48" s="47"/>
      <c r="E48" s="35">
        <v>14.94</v>
      </c>
      <c r="F48" s="35">
        <v>13.18</v>
      </c>
      <c r="G48" s="35">
        <v>17.809999999999999</v>
      </c>
      <c r="H48" s="35">
        <v>112</v>
      </c>
      <c r="I48" s="35">
        <f t="shared" si="3"/>
        <v>7</v>
      </c>
      <c r="J48" s="46" t="s">
        <v>801</v>
      </c>
      <c r="K48" s="48" t="s">
        <v>563</v>
      </c>
      <c r="L48" s="49">
        <v>0.10625</v>
      </c>
      <c r="M48" s="35">
        <v>48</v>
      </c>
      <c r="N48" s="35">
        <v>40</v>
      </c>
      <c r="O48" s="35">
        <v>41</v>
      </c>
      <c r="P48" s="36">
        <v>2132</v>
      </c>
      <c r="Q48" s="37">
        <v>18</v>
      </c>
      <c r="R48" s="38"/>
      <c r="S48" s="39">
        <f>IF($S$1="ASSAULT RATE",SUMIF('Loads + CPFs by TAMCN'!$C$8:$C$1000,'Ammo Pallet Calculator'!A48,'Loads + CPFs by TAMCN'!$L$8:$L$1000),0)</f>
        <v>41.831999999999994</v>
      </c>
      <c r="T48" s="40">
        <f>IF($S$1="SUSTAIN RATE",SUMIF('Loads + CPFs by TAMCN'!$C$8:$C$1000,'Ammo Pallet Calculator'!A48,'Loads + CPFs by TAMCN'!$M$8:$M$1000),0)</f>
        <v>0</v>
      </c>
      <c r="U48" s="41">
        <f t="shared" si="0"/>
        <v>41.831999999999994</v>
      </c>
      <c r="V48" s="42">
        <f t="shared" si="6"/>
        <v>2.6144999999999996</v>
      </c>
      <c r="W48" s="42">
        <f t="shared" si="1"/>
        <v>0.14524999999999999</v>
      </c>
      <c r="X48" s="43">
        <f t="shared" si="7"/>
        <v>292.82399999999996</v>
      </c>
      <c r="Y48" s="43">
        <f t="shared" si="2"/>
        <v>4.4446499999999993</v>
      </c>
    </row>
    <row r="49" spans="1:25" ht="13.5" thickBot="1" x14ac:dyDescent="0.25">
      <c r="A49" s="29" t="s">
        <v>305</v>
      </c>
      <c r="B49" s="16"/>
      <c r="C49" s="46">
        <v>16</v>
      </c>
      <c r="D49" s="47"/>
      <c r="E49" s="35">
        <v>14.94</v>
      </c>
      <c r="F49" s="35">
        <v>13.19</v>
      </c>
      <c r="G49" s="35">
        <v>20.190000000000001</v>
      </c>
      <c r="H49" s="35">
        <v>22</v>
      </c>
      <c r="I49" s="35">
        <f t="shared" si="3"/>
        <v>1.375</v>
      </c>
      <c r="J49" s="46" t="s">
        <v>802</v>
      </c>
      <c r="K49" s="48" t="s">
        <v>523</v>
      </c>
      <c r="L49" s="49">
        <v>0.88278599999999996</v>
      </c>
      <c r="M49" s="35">
        <v>48</v>
      </c>
      <c r="N49" s="35">
        <v>40</v>
      </c>
      <c r="O49" s="35">
        <v>41</v>
      </c>
      <c r="P49" s="36">
        <v>2168</v>
      </c>
      <c r="Q49" s="37">
        <v>18</v>
      </c>
      <c r="R49" s="38"/>
      <c r="S49" s="39">
        <f>IF($S$1="ASSAULT RATE",SUMIF('Loads + CPFs by TAMCN'!$C$8:$C$1000,'Ammo Pallet Calculator'!A49,'Loads + CPFs by TAMCN'!$L$8:$L$1000),0)</f>
        <v>213.22800000000001</v>
      </c>
      <c r="T49" s="40">
        <f>IF($S$1="SUSTAIN RATE",SUMIF('Loads + CPFs by TAMCN'!$C$8:$C$1000,'Ammo Pallet Calculator'!A49,'Loads + CPFs by TAMCN'!$M$8:$M$1000),0)</f>
        <v>0</v>
      </c>
      <c r="U49" s="41">
        <f t="shared" si="0"/>
        <v>213.22800000000001</v>
      </c>
      <c r="V49" s="42">
        <f t="shared" si="6"/>
        <v>13.326750000000001</v>
      </c>
      <c r="W49" s="42">
        <f t="shared" si="1"/>
        <v>0.74037500000000001</v>
      </c>
      <c r="X49" s="43">
        <f t="shared" si="7"/>
        <v>293.18850000000003</v>
      </c>
      <c r="Y49" s="43">
        <f t="shared" si="2"/>
        <v>188.23469320800001</v>
      </c>
    </row>
    <row r="50" spans="1:25" ht="13.5" thickBot="1" x14ac:dyDescent="0.25">
      <c r="A50" s="29" t="s">
        <v>544</v>
      </c>
      <c r="B50" s="16"/>
      <c r="C50" s="46">
        <v>1</v>
      </c>
      <c r="D50" s="47">
        <v>2230.62</v>
      </c>
      <c r="E50" s="35">
        <v>44.5</v>
      </c>
      <c r="F50" s="35">
        <v>7.75</v>
      </c>
      <c r="G50" s="35">
        <v>7.75</v>
      </c>
      <c r="H50" s="35">
        <v>75.400000000000006</v>
      </c>
      <c r="I50" s="35">
        <f t="shared" si="3"/>
        <v>75.400000000000006</v>
      </c>
      <c r="J50" s="46" t="s">
        <v>545</v>
      </c>
      <c r="K50" s="48" t="s">
        <v>546</v>
      </c>
      <c r="L50" s="49">
        <v>19.079999999999998</v>
      </c>
      <c r="M50" s="35">
        <v>40</v>
      </c>
      <c r="N50" s="35">
        <v>44.5</v>
      </c>
      <c r="O50" s="35">
        <v>44.25</v>
      </c>
      <c r="P50" s="36">
        <v>1779</v>
      </c>
      <c r="Q50" s="37">
        <v>25</v>
      </c>
      <c r="R50" s="38"/>
      <c r="S50" s="39">
        <f>IF($S$1="ASSAULT RATE",SUMIF('Loads + CPFs by TAMCN'!$C$8:$C$1000,'Ammo Pallet Calculator'!A50,'Loads + CPFs by TAMCN'!$L$8:$L$1000),0)</f>
        <v>0</v>
      </c>
      <c r="T50" s="40">
        <f>IF($S$1="SUSTAIN RATE",SUMIF('Loads + CPFs by TAMCN'!$C$8:$C$1000,'Ammo Pallet Calculator'!A50,'Loads + CPFs by TAMCN'!$M$8:$M$1000),0)</f>
        <v>0</v>
      </c>
      <c r="U50" s="41">
        <f t="shared" si="0"/>
        <v>0</v>
      </c>
      <c r="V50" s="42">
        <f t="shared" si="6"/>
        <v>0</v>
      </c>
      <c r="W50" s="42">
        <f t="shared" si="1"/>
        <v>0</v>
      </c>
      <c r="X50" s="43">
        <f t="shared" si="7"/>
        <v>0</v>
      </c>
      <c r="Y50" s="43">
        <f t="shared" si="2"/>
        <v>0</v>
      </c>
    </row>
    <row r="51" spans="1:25" ht="13.5" thickBot="1" x14ac:dyDescent="0.25">
      <c r="A51" s="29" t="s">
        <v>307</v>
      </c>
      <c r="B51" s="16"/>
      <c r="C51" s="46">
        <v>3</v>
      </c>
      <c r="D51" s="47">
        <v>577.02</v>
      </c>
      <c r="E51" s="35">
        <v>14.34</v>
      </c>
      <c r="F51" s="35">
        <v>5.7</v>
      </c>
      <c r="G51" s="35">
        <v>29.06</v>
      </c>
      <c r="H51" s="35">
        <v>55.3</v>
      </c>
      <c r="I51" s="35">
        <f t="shared" si="3"/>
        <v>18.433333333333334</v>
      </c>
      <c r="J51" s="46" t="s">
        <v>547</v>
      </c>
      <c r="K51" s="48" t="s">
        <v>548</v>
      </c>
      <c r="L51" s="49">
        <v>0</v>
      </c>
      <c r="M51" s="35">
        <v>40</v>
      </c>
      <c r="N51" s="35">
        <v>49.03</v>
      </c>
      <c r="O51" s="35">
        <v>34.56</v>
      </c>
      <c r="P51" s="36">
        <v>1374</v>
      </c>
      <c r="Q51" s="37">
        <v>21</v>
      </c>
      <c r="R51" s="38"/>
      <c r="S51" s="39">
        <f>IF($S$1="ASSAULT RATE",SUMIF('Loads + CPFs by TAMCN'!$C$8:$C$1000,'Ammo Pallet Calculator'!A51,'Loads + CPFs by TAMCN'!$L$8:$L$1000),0)</f>
        <v>52.72</v>
      </c>
      <c r="T51" s="40">
        <f>IF($S$1="SUSTAIN RATE",SUMIF('Loads + CPFs by TAMCN'!$C$8:$C$1000,'Ammo Pallet Calculator'!A51,'Loads + CPFs by TAMCN'!$M$8:$M$1000),0)</f>
        <v>0</v>
      </c>
      <c r="U51" s="41">
        <f t="shared" si="0"/>
        <v>52.72</v>
      </c>
      <c r="V51" s="42">
        <f t="shared" si="6"/>
        <v>17.573333333333334</v>
      </c>
      <c r="W51" s="42">
        <f t="shared" si="1"/>
        <v>0.83682539682539692</v>
      </c>
      <c r="X51" s="43">
        <f t="shared" si="7"/>
        <v>971.80533333333335</v>
      </c>
      <c r="Y51" s="43">
        <f t="shared" si="2"/>
        <v>0</v>
      </c>
    </row>
    <row r="52" spans="1:25" ht="13.5" thickBot="1" x14ac:dyDescent="0.25">
      <c r="A52" s="29" t="s">
        <v>309</v>
      </c>
      <c r="B52" s="16"/>
      <c r="C52" s="46">
        <v>1</v>
      </c>
      <c r="D52" s="47">
        <v>3851.93</v>
      </c>
      <c r="E52" s="35">
        <v>44.5</v>
      </c>
      <c r="F52" s="35">
        <v>7.75</v>
      </c>
      <c r="G52" s="35">
        <v>7.75</v>
      </c>
      <c r="H52" s="35">
        <v>75.400000000000006</v>
      </c>
      <c r="I52" s="35">
        <f t="shared" si="3"/>
        <v>75.400000000000006</v>
      </c>
      <c r="J52" s="46" t="s">
        <v>549</v>
      </c>
      <c r="K52" s="48" t="s">
        <v>523</v>
      </c>
      <c r="L52" s="49">
        <v>20.190000999999999</v>
      </c>
      <c r="M52" s="35">
        <v>40</v>
      </c>
      <c r="N52" s="35">
        <v>44.5</v>
      </c>
      <c r="O52" s="35">
        <v>51.5</v>
      </c>
      <c r="P52" s="36">
        <v>2480</v>
      </c>
      <c r="Q52" s="37">
        <v>30</v>
      </c>
      <c r="R52" s="38"/>
      <c r="S52" s="39">
        <f>IF($S$1="ASSAULT RATE",SUMIF('Loads + CPFs by TAMCN'!$C$8:$C$1000,'Ammo Pallet Calculator'!A52,'Loads + CPFs by TAMCN'!$L$8:$L$1000),0)</f>
        <v>73.08</v>
      </c>
      <c r="T52" s="40">
        <f>IF($S$1="SUSTAIN RATE",SUMIF('Loads + CPFs by TAMCN'!$C$8:$C$1000,'Ammo Pallet Calculator'!A52,'Loads + CPFs by TAMCN'!$M$8:$M$1000),0)</f>
        <v>0</v>
      </c>
      <c r="U52" s="41">
        <f t="shared" si="0"/>
        <v>73.08</v>
      </c>
      <c r="V52" s="42">
        <v>0</v>
      </c>
      <c r="W52" s="42">
        <f>U52/Q52</f>
        <v>2.4359999999999999</v>
      </c>
      <c r="X52" s="43">
        <f>(U52/C52)*H52</f>
        <v>5510.232</v>
      </c>
      <c r="Y52" s="43">
        <f t="shared" si="2"/>
        <v>1475.4852730799998</v>
      </c>
    </row>
    <row r="53" spans="1:25" ht="13.5" thickBot="1" x14ac:dyDescent="0.25">
      <c r="A53" s="29" t="s">
        <v>311</v>
      </c>
      <c r="B53" s="16"/>
      <c r="C53" s="46">
        <v>3</v>
      </c>
      <c r="D53" s="47">
        <v>246.81</v>
      </c>
      <c r="E53" s="35">
        <v>14.34</v>
      </c>
      <c r="F53" s="35">
        <v>5.7</v>
      </c>
      <c r="G53" s="35">
        <v>22.82</v>
      </c>
      <c r="H53" s="35">
        <v>52</v>
      </c>
      <c r="I53" s="35">
        <f t="shared" si="3"/>
        <v>17.333333333333332</v>
      </c>
      <c r="J53" s="46" t="s">
        <v>532</v>
      </c>
      <c r="K53" s="48" t="s">
        <v>533</v>
      </c>
      <c r="L53" s="49">
        <v>2.3420000000000001</v>
      </c>
      <c r="M53" s="35">
        <v>40</v>
      </c>
      <c r="N53" s="35">
        <v>49.03</v>
      </c>
      <c r="O53" s="35">
        <v>28.5</v>
      </c>
      <c r="P53" s="36">
        <v>1299</v>
      </c>
      <c r="Q53" s="37">
        <v>21</v>
      </c>
      <c r="R53" s="38"/>
      <c r="S53" s="39">
        <f>IF($S$1="ASSAULT RATE",SUMIF('Loads + CPFs by TAMCN'!$C$8:$C$1000,'Ammo Pallet Calculator'!A53,'Loads + CPFs by TAMCN'!$L$8:$L$1000),0)</f>
        <v>357.96199999999999</v>
      </c>
      <c r="T53" s="40">
        <f>IF($S$1="SUSTAIN RATE",SUMIF('Loads + CPFs by TAMCN'!$C$8:$C$1000,'Ammo Pallet Calculator'!A53,'Loads + CPFs by TAMCN'!$M$8:$M$1000),0)</f>
        <v>0</v>
      </c>
      <c r="U53" s="41">
        <f t="shared" si="0"/>
        <v>357.96199999999999</v>
      </c>
      <c r="V53" s="42">
        <v>0</v>
      </c>
      <c r="W53" s="42">
        <f>U53/Q53</f>
        <v>17.045809523809524</v>
      </c>
      <c r="X53" s="43">
        <f>(U53/C53)*H53</f>
        <v>6204.6746666666668</v>
      </c>
      <c r="Y53" s="43">
        <f t="shared" si="2"/>
        <v>838.34700399999997</v>
      </c>
    </row>
    <row r="54" spans="1:25" ht="13.5" thickBot="1" x14ac:dyDescent="0.25">
      <c r="A54" s="29" t="s">
        <v>313</v>
      </c>
      <c r="B54" s="16"/>
      <c r="C54" s="46">
        <v>3</v>
      </c>
      <c r="D54" s="47">
        <v>260.68</v>
      </c>
      <c r="E54" s="35">
        <v>14.34</v>
      </c>
      <c r="F54" s="35">
        <v>5.7</v>
      </c>
      <c r="G54" s="35">
        <v>23</v>
      </c>
      <c r="H54" s="35">
        <v>52</v>
      </c>
      <c r="I54" s="35">
        <f t="shared" si="3"/>
        <v>17.333333333333332</v>
      </c>
      <c r="J54" s="46" t="s">
        <v>532</v>
      </c>
      <c r="K54" s="48" t="s">
        <v>533</v>
      </c>
      <c r="L54" s="49">
        <v>2.3536000000000001</v>
      </c>
      <c r="M54" s="35">
        <v>40</v>
      </c>
      <c r="N54" s="35">
        <v>49.03</v>
      </c>
      <c r="O54" s="35">
        <v>28.5</v>
      </c>
      <c r="P54" s="36">
        <v>1194</v>
      </c>
      <c r="Q54" s="37">
        <v>21</v>
      </c>
      <c r="R54" s="38"/>
      <c r="S54" s="39">
        <f>IF($S$1="ASSAULT RATE",SUMIF('Loads + CPFs by TAMCN'!$C$8:$C$1000,'Ammo Pallet Calculator'!A54,'Loads + CPFs by TAMCN'!$L$8:$L$1000),0)</f>
        <v>312.75</v>
      </c>
      <c r="T54" s="40">
        <f>IF($S$1="SUSTAIN RATE",SUMIF('Loads + CPFs by TAMCN'!$C$8:$C$1000,'Ammo Pallet Calculator'!A54,'Loads + CPFs by TAMCN'!$M$8:$M$1000),0)</f>
        <v>0</v>
      </c>
      <c r="U54" s="41">
        <f t="shared" si="0"/>
        <v>312.75</v>
      </c>
      <c r="V54" s="42">
        <v>0</v>
      </c>
      <c r="W54" s="42">
        <f>U54/Q54</f>
        <v>14.892857142857142</v>
      </c>
      <c r="X54" s="43">
        <f>(U54/C54)*H54</f>
        <v>5421</v>
      </c>
      <c r="Y54" s="43">
        <f t="shared" si="2"/>
        <v>736.08840000000009</v>
      </c>
    </row>
    <row r="55" spans="1:25" ht="13.5" thickBot="1" x14ac:dyDescent="0.25">
      <c r="A55" s="29" t="s">
        <v>315</v>
      </c>
      <c r="B55" s="16"/>
      <c r="C55" s="46">
        <v>3</v>
      </c>
      <c r="D55" s="47">
        <v>354.09</v>
      </c>
      <c r="E55" s="35">
        <v>14.34</v>
      </c>
      <c r="F55" s="35">
        <v>5.7</v>
      </c>
      <c r="G55" s="35">
        <v>29.06</v>
      </c>
      <c r="H55" s="35">
        <v>59.6</v>
      </c>
      <c r="I55" s="35">
        <f t="shared" si="3"/>
        <v>19.866666666666667</v>
      </c>
      <c r="J55" s="46" t="s">
        <v>550</v>
      </c>
      <c r="K55" s="48" t="s">
        <v>551</v>
      </c>
      <c r="L55" s="49">
        <v>2.9795600000000002</v>
      </c>
      <c r="M55" s="35">
        <v>40</v>
      </c>
      <c r="N55" s="35">
        <v>49.03</v>
      </c>
      <c r="O55" s="35">
        <v>34.56</v>
      </c>
      <c r="P55" s="36">
        <v>1417</v>
      </c>
      <c r="Q55" s="37">
        <v>21</v>
      </c>
      <c r="R55" s="38"/>
      <c r="S55" s="39">
        <f>IF($S$1="ASSAULT RATE",SUMIF('Loads + CPFs by TAMCN'!$C$8:$C$1000,'Ammo Pallet Calculator'!A55,'Loads + CPFs by TAMCN'!$L$8:$L$1000),0)</f>
        <v>170.36599999999999</v>
      </c>
      <c r="T55" s="40">
        <f>IF($S$1="SUSTAIN RATE",SUMIF('Loads + CPFs by TAMCN'!$C$8:$C$1000,'Ammo Pallet Calculator'!A55,'Loads + CPFs by TAMCN'!$M$8:$M$1000),0)</f>
        <v>0</v>
      </c>
      <c r="U55" s="41">
        <f t="shared" si="0"/>
        <v>170.36599999999999</v>
      </c>
      <c r="V55" s="42">
        <f>SUM(U55/C55)</f>
        <v>56.788666666666664</v>
      </c>
      <c r="W55" s="42">
        <f>(V55/Q55)</f>
        <v>2.7042222222222221</v>
      </c>
      <c r="X55" s="43">
        <f>SUM(U55*H55)</f>
        <v>10153.813599999999</v>
      </c>
      <c r="Y55" s="43">
        <f t="shared" si="2"/>
        <v>507.61571895999998</v>
      </c>
    </row>
    <row r="56" spans="1:25" ht="13.5" thickBot="1" x14ac:dyDescent="0.25">
      <c r="A56" s="29" t="s">
        <v>317</v>
      </c>
      <c r="B56" s="16"/>
      <c r="C56" s="46">
        <v>3</v>
      </c>
      <c r="D56" s="47">
        <v>419.58</v>
      </c>
      <c r="E56" s="35">
        <v>14.34</v>
      </c>
      <c r="F56" s="35">
        <v>5.7</v>
      </c>
      <c r="G56" s="35">
        <v>29.06</v>
      </c>
      <c r="H56" s="35">
        <v>53.9</v>
      </c>
      <c r="I56" s="35">
        <f t="shared" si="3"/>
        <v>17.966666666666665</v>
      </c>
      <c r="J56" s="46" t="s">
        <v>550</v>
      </c>
      <c r="K56" s="48" t="s">
        <v>552</v>
      </c>
      <c r="L56" s="49">
        <v>1.8678999999999999</v>
      </c>
      <c r="M56" s="35">
        <v>40</v>
      </c>
      <c r="N56" s="35">
        <v>49.03</v>
      </c>
      <c r="O56" s="35">
        <v>34.56</v>
      </c>
      <c r="P56" s="36">
        <v>1291</v>
      </c>
      <c r="Q56" s="37">
        <v>21</v>
      </c>
      <c r="R56" s="38"/>
      <c r="S56" s="39">
        <f>IF($S$1="ASSAULT RATE",SUMIF('Loads + CPFs by TAMCN'!$C$8:$C$1000,'Ammo Pallet Calculator'!A56,'Loads + CPFs by TAMCN'!$L$8:$L$1000),0)</f>
        <v>113.62599999999999</v>
      </c>
      <c r="T56" s="40">
        <f>IF($S$1="SUSTAIN RATE",SUMIF('Loads + CPFs by TAMCN'!$C$8:$C$1000,'Ammo Pallet Calculator'!A56,'Loads + CPFs by TAMCN'!$M$8:$M$1000),0)</f>
        <v>0</v>
      </c>
      <c r="U56" s="41">
        <f t="shared" si="0"/>
        <v>113.62599999999999</v>
      </c>
      <c r="V56" s="42">
        <v>0</v>
      </c>
      <c r="W56" s="42">
        <f t="shared" ref="W56:W62" si="12">U56/Q56</f>
        <v>5.4107619047619044</v>
      </c>
      <c r="X56" s="43">
        <f>(U56/C56)*H56</f>
        <v>2041.4804666666664</v>
      </c>
      <c r="Y56" s="43">
        <f t="shared" si="2"/>
        <v>212.24200539999998</v>
      </c>
    </row>
    <row r="57" spans="1:25" ht="13.5" thickBot="1" x14ac:dyDescent="0.25">
      <c r="A57" s="29" t="s">
        <v>319</v>
      </c>
      <c r="B57" s="16"/>
      <c r="C57" s="46">
        <v>5</v>
      </c>
      <c r="D57" s="47">
        <v>1074.6099999999999</v>
      </c>
      <c r="E57" s="35">
        <v>46.5</v>
      </c>
      <c r="F57" s="35">
        <v>36.25</v>
      </c>
      <c r="G57" s="35">
        <v>10.16</v>
      </c>
      <c r="H57" s="35">
        <v>150</v>
      </c>
      <c r="I57" s="35">
        <f t="shared" si="3"/>
        <v>30</v>
      </c>
      <c r="J57" s="46" t="s">
        <v>532</v>
      </c>
      <c r="K57" s="48" t="s">
        <v>553</v>
      </c>
      <c r="L57" s="49">
        <v>1.84</v>
      </c>
      <c r="M57" s="35">
        <v>36.25</v>
      </c>
      <c r="N57" s="35">
        <v>46.5</v>
      </c>
      <c r="O57" s="35">
        <v>46.12</v>
      </c>
      <c r="P57" s="36">
        <v>678</v>
      </c>
      <c r="Q57" s="37">
        <v>4</v>
      </c>
      <c r="R57" s="38"/>
      <c r="S57" s="39">
        <f>IF($S$1="ASSAULT RATE",SUMIF('Loads + CPFs by TAMCN'!$C$8:$C$1000,'Ammo Pallet Calculator'!A57,'Loads + CPFs by TAMCN'!$L$8:$L$1000),0)</f>
        <v>10.754999999999999</v>
      </c>
      <c r="T57" s="40">
        <f>IF($S$1="SUSTAIN RATE",SUMIF('Loads + CPFs by TAMCN'!$C$8:$C$1000,'Ammo Pallet Calculator'!A57,'Loads + CPFs by TAMCN'!$M$8:$M$1000),0)</f>
        <v>0</v>
      </c>
      <c r="U57" s="41">
        <f t="shared" si="0"/>
        <v>10.754999999999999</v>
      </c>
      <c r="V57" s="42">
        <v>0</v>
      </c>
      <c r="W57" s="42">
        <f t="shared" si="12"/>
        <v>2.6887499999999998</v>
      </c>
      <c r="X57" s="43">
        <f>(U57/C57)*H57</f>
        <v>322.64999999999998</v>
      </c>
      <c r="Y57" s="43">
        <f t="shared" ref="Y57" si="13">U57*L57</f>
        <v>19.789199999999997</v>
      </c>
    </row>
    <row r="58" spans="1:25" ht="13.5" thickBot="1" x14ac:dyDescent="0.25">
      <c r="A58" s="29" t="s">
        <v>831</v>
      </c>
      <c r="B58" s="16"/>
      <c r="C58" s="46">
        <v>1</v>
      </c>
      <c r="D58" s="47"/>
      <c r="E58" s="35">
        <v>44.5</v>
      </c>
      <c r="F58" s="35">
        <v>7.75</v>
      </c>
      <c r="G58" s="35">
        <v>7.75</v>
      </c>
      <c r="H58" s="35">
        <v>67.44</v>
      </c>
      <c r="I58" s="35">
        <f t="shared" si="3"/>
        <v>67.44</v>
      </c>
      <c r="J58" s="46" t="s">
        <v>800</v>
      </c>
      <c r="K58" s="48" t="s">
        <v>546</v>
      </c>
      <c r="L58" s="49">
        <v>19.079999999999998</v>
      </c>
      <c r="M58" s="35">
        <v>44.5</v>
      </c>
      <c r="N58" s="35">
        <v>39.5</v>
      </c>
      <c r="O58" s="35">
        <v>51.5</v>
      </c>
      <c r="P58" s="36">
        <v>2241</v>
      </c>
      <c r="Q58" s="37">
        <v>30</v>
      </c>
      <c r="R58" s="38"/>
      <c r="S58" s="39">
        <f>IF($S$1="ASSAULT RATE",SUMIF('Loads + CPFs by TAMCN'!$C$8:$C$1000,'Ammo Pallet Calculator'!A58,'Loads + CPFs by TAMCN'!$L$8:$L$1000),0)</f>
        <v>0</v>
      </c>
      <c r="T58" s="40">
        <f>IF($S$1="SUSTAIN RATE",SUMIF('Loads + CPFs by TAMCN'!$C$8:$C$1000,'Ammo Pallet Calculator'!A58,'Loads + CPFs by TAMCN'!$M$8:$M$1000),0)</f>
        <v>0</v>
      </c>
      <c r="U58" s="41">
        <f t="shared" si="0"/>
        <v>0</v>
      </c>
      <c r="V58" s="42">
        <v>0</v>
      </c>
      <c r="W58" s="42">
        <f t="shared" si="12"/>
        <v>0</v>
      </c>
      <c r="X58" s="43">
        <f>(U58/C58)*H58</f>
        <v>0</v>
      </c>
      <c r="Y58" s="43">
        <f t="shared" si="2"/>
        <v>0</v>
      </c>
    </row>
    <row r="59" spans="1:25" ht="13.5" thickBot="1" x14ac:dyDescent="0.25">
      <c r="A59" s="29" t="s">
        <v>832</v>
      </c>
      <c r="B59" s="16"/>
      <c r="C59" s="46">
        <v>2</v>
      </c>
      <c r="D59" s="47"/>
      <c r="E59" s="35">
        <v>12.36</v>
      </c>
      <c r="F59" s="35">
        <v>6.36</v>
      </c>
      <c r="G59" s="35">
        <v>31.78</v>
      </c>
      <c r="H59" s="35">
        <v>97</v>
      </c>
      <c r="I59" s="35">
        <f t="shared" si="3"/>
        <v>48.5</v>
      </c>
      <c r="J59" s="46" t="s">
        <v>532</v>
      </c>
      <c r="K59" s="48" t="s">
        <v>533</v>
      </c>
      <c r="L59" s="49">
        <v>7.9177479999999996</v>
      </c>
      <c r="M59" s="35">
        <v>51</v>
      </c>
      <c r="N59" s="35">
        <v>41.63</v>
      </c>
      <c r="O59" s="35">
        <v>37.31</v>
      </c>
      <c r="P59" s="36">
        <v>2455</v>
      </c>
      <c r="Q59" s="37">
        <v>24</v>
      </c>
      <c r="R59" s="38"/>
      <c r="S59" s="39">
        <f>IF($S$1="ASSAULT RATE",SUMIF('Loads + CPFs by TAMCN'!$C$8:$C$1000,'Ammo Pallet Calculator'!A59,'Loads + CPFs by TAMCN'!$L$8:$L$1000),0)</f>
        <v>0</v>
      </c>
      <c r="T59" s="40">
        <f>IF($S$1="SUSTAIN RATE",SUMIF('Loads + CPFs by TAMCN'!$C$8:$C$1000,'Ammo Pallet Calculator'!A59,'Loads + CPFs by TAMCN'!$M$8:$M$1000),0)</f>
        <v>0</v>
      </c>
      <c r="U59" s="41">
        <f t="shared" si="0"/>
        <v>0</v>
      </c>
      <c r="V59" s="42">
        <v>0</v>
      </c>
      <c r="W59" s="42">
        <f t="shared" si="12"/>
        <v>0</v>
      </c>
      <c r="X59" s="43">
        <f>(U59/C59)*H59</f>
        <v>0</v>
      </c>
      <c r="Y59" s="43">
        <f t="shared" ref="Y59" si="14">U59*L59</f>
        <v>0</v>
      </c>
    </row>
    <row r="60" spans="1:25" ht="13.5" thickBot="1" x14ac:dyDescent="0.25">
      <c r="A60" s="29" t="s">
        <v>26</v>
      </c>
      <c r="B60" s="16"/>
      <c r="C60" s="46">
        <v>48</v>
      </c>
      <c r="D60" s="47">
        <v>10.64</v>
      </c>
      <c r="E60" s="35">
        <v>14.44</v>
      </c>
      <c r="F60" s="35">
        <v>12.53</v>
      </c>
      <c r="G60" s="35">
        <v>8.5</v>
      </c>
      <c r="H60" s="35">
        <v>27.3</v>
      </c>
      <c r="I60" s="35">
        <f t="shared" si="3"/>
        <v>0.56874999999999998</v>
      </c>
      <c r="J60" s="46" t="s">
        <v>554</v>
      </c>
      <c r="K60" s="48" t="s">
        <v>555</v>
      </c>
      <c r="L60" s="49">
        <v>0.10299999999999999</v>
      </c>
      <c r="M60" s="35">
        <v>43.31</v>
      </c>
      <c r="N60" s="35">
        <v>50.12</v>
      </c>
      <c r="O60" s="35">
        <v>38</v>
      </c>
      <c r="P60" s="36">
        <v>1624</v>
      </c>
      <c r="Q60" s="37">
        <v>48</v>
      </c>
      <c r="R60" s="38"/>
      <c r="S60" s="39">
        <f>IF($S$1="ASSAULT RATE",SUMIF('Loads + CPFs by TAMCN'!$C$8:$C$1000,'Ammo Pallet Calculator'!A60,'Loads + CPFs by TAMCN'!$L$8:$L$1000),0)</f>
        <v>36.096000000000004</v>
      </c>
      <c r="T60" s="40">
        <f>IF($S$1="SUSTAIN RATE",SUMIF('Loads + CPFs by TAMCN'!$C$8:$C$1000,'Ammo Pallet Calculator'!A60,'Loads + CPFs by TAMCN'!$M$8:$M$1000),0)</f>
        <v>0</v>
      </c>
      <c r="U60" s="41">
        <f t="shared" si="0"/>
        <v>36.096000000000004</v>
      </c>
      <c r="V60" s="42">
        <v>0</v>
      </c>
      <c r="W60" s="42">
        <f t="shared" si="12"/>
        <v>0.75200000000000011</v>
      </c>
      <c r="X60" s="43">
        <f>(U60/C60)*H60</f>
        <v>20.529600000000002</v>
      </c>
      <c r="Y60" s="43">
        <f t="shared" si="2"/>
        <v>3.7178880000000003</v>
      </c>
    </row>
    <row r="61" spans="1:25" ht="13.5" thickBot="1" x14ac:dyDescent="0.25">
      <c r="A61" s="29" t="s">
        <v>31</v>
      </c>
      <c r="B61" s="16"/>
      <c r="C61" s="46">
        <v>8</v>
      </c>
      <c r="D61" s="47">
        <v>4672.9799999999996</v>
      </c>
      <c r="E61" s="35">
        <v>14.62</v>
      </c>
      <c r="F61" s="35">
        <v>29.12</v>
      </c>
      <c r="G61" s="35">
        <v>38.75</v>
      </c>
      <c r="H61" s="35">
        <v>886</v>
      </c>
      <c r="I61" s="35">
        <f t="shared" si="3"/>
        <v>110.75</v>
      </c>
      <c r="J61" s="46" t="s">
        <v>556</v>
      </c>
      <c r="K61" s="48" t="s">
        <v>557</v>
      </c>
      <c r="L61" s="49">
        <v>1.8885000000000001</v>
      </c>
      <c r="M61" s="35">
        <v>43.88</v>
      </c>
      <c r="N61" s="35">
        <v>29.12</v>
      </c>
      <c r="O61" s="35">
        <v>38.75</v>
      </c>
      <c r="P61" s="36">
        <v>2660</v>
      </c>
      <c r="Q61" s="37">
        <v>24</v>
      </c>
      <c r="R61" s="38"/>
      <c r="S61" s="39">
        <f>IF($S$1="ASSAULT RATE",SUMIF('Loads + CPFs by TAMCN'!$C$8:$C$1000,'Ammo Pallet Calculator'!A61,'Loads + CPFs by TAMCN'!$L$8:$L$1000),0)</f>
        <v>14.808</v>
      </c>
      <c r="T61" s="40">
        <f>IF($S$1="SUSTAIN RATE",SUMIF('Loads + CPFs by TAMCN'!$C$8:$C$1000,'Ammo Pallet Calculator'!A61,'Loads + CPFs by TAMCN'!$M$8:$M$1000),0)</f>
        <v>0</v>
      </c>
      <c r="U61" s="41">
        <f t="shared" si="0"/>
        <v>14.808</v>
      </c>
      <c r="V61" s="42">
        <v>0</v>
      </c>
      <c r="W61" s="42">
        <f t="shared" si="12"/>
        <v>0.61699999999999999</v>
      </c>
      <c r="X61" s="43">
        <f>U61*H61</f>
        <v>13119.887999999999</v>
      </c>
      <c r="Y61" s="43">
        <f t="shared" si="2"/>
        <v>27.964908000000001</v>
      </c>
    </row>
    <row r="62" spans="1:25" ht="13.5" thickBot="1" x14ac:dyDescent="0.25">
      <c r="A62" s="29" t="s">
        <v>33</v>
      </c>
      <c r="B62" s="16"/>
      <c r="C62" s="46">
        <v>8</v>
      </c>
      <c r="D62" s="47">
        <v>5442.81</v>
      </c>
      <c r="E62" s="35">
        <v>14.62</v>
      </c>
      <c r="F62" s="35">
        <v>29.12</v>
      </c>
      <c r="G62" s="35">
        <v>38.75</v>
      </c>
      <c r="H62" s="35">
        <v>886</v>
      </c>
      <c r="I62" s="35">
        <f t="shared" si="3"/>
        <v>110.75</v>
      </c>
      <c r="J62" s="46" t="s">
        <v>556</v>
      </c>
      <c r="K62" s="48" t="s">
        <v>557</v>
      </c>
      <c r="L62" s="49">
        <v>1.8885000000000001</v>
      </c>
      <c r="M62" s="35">
        <v>43.88</v>
      </c>
      <c r="N62" s="35">
        <v>29.12</v>
      </c>
      <c r="O62" s="35">
        <v>38.75</v>
      </c>
      <c r="P62" s="36">
        <v>2670</v>
      </c>
      <c r="Q62" s="37">
        <v>24</v>
      </c>
      <c r="R62" s="38"/>
      <c r="S62" s="39">
        <f>IF($S$1="ASSAULT RATE",SUMIF('Loads + CPFs by TAMCN'!$C$8:$C$1000,'Ammo Pallet Calculator'!A62,'Loads + CPFs by TAMCN'!$L$8:$L$1000),0)</f>
        <v>70.08</v>
      </c>
      <c r="T62" s="40">
        <f>IF($S$1="SUSTAIN RATE",SUMIF('Loads + CPFs by TAMCN'!$C$8:$C$1000,'Ammo Pallet Calculator'!A62,'Loads + CPFs by TAMCN'!$M$8:$M$1000),0)</f>
        <v>0</v>
      </c>
      <c r="U62" s="41">
        <f t="shared" si="0"/>
        <v>70.08</v>
      </c>
      <c r="V62" s="42">
        <v>0</v>
      </c>
      <c r="W62" s="42">
        <f t="shared" si="12"/>
        <v>2.92</v>
      </c>
      <c r="X62" s="43">
        <f>U62*H62</f>
        <v>62090.879999999997</v>
      </c>
      <c r="Y62" s="43">
        <f t="shared" si="2"/>
        <v>132.34608</v>
      </c>
    </row>
    <row r="63" spans="1:25" ht="13.5" thickBot="1" x14ac:dyDescent="0.25">
      <c r="A63" s="29" t="s">
        <v>37</v>
      </c>
      <c r="B63" s="16"/>
      <c r="C63" s="46">
        <v>8</v>
      </c>
      <c r="D63" s="47">
        <v>313.74</v>
      </c>
      <c r="E63" s="35">
        <v>13.62</v>
      </c>
      <c r="F63" s="35">
        <v>27.12</v>
      </c>
      <c r="G63" s="35">
        <v>32</v>
      </c>
      <c r="H63" s="35">
        <v>782</v>
      </c>
      <c r="I63" s="35">
        <f t="shared" si="3"/>
        <v>97.75</v>
      </c>
      <c r="J63" s="46" t="s">
        <v>550</v>
      </c>
      <c r="K63" s="48" t="s">
        <v>552</v>
      </c>
      <c r="L63" s="49">
        <v>6.1753200000000001</v>
      </c>
      <c r="M63" s="35">
        <v>40.880000000000003</v>
      </c>
      <c r="N63" s="35">
        <v>27.12</v>
      </c>
      <c r="O63" s="35">
        <v>32</v>
      </c>
      <c r="P63" s="36">
        <v>2360</v>
      </c>
      <c r="Q63" s="37">
        <v>24</v>
      </c>
      <c r="R63" s="38"/>
      <c r="S63" s="39">
        <f>IF($S$1="ASSAULT RATE",SUMIF('Loads + CPFs by TAMCN'!$C$8:$C$1000,'Ammo Pallet Calculator'!A63,'Loads + CPFs by TAMCN'!$L$8:$L$1000),0)</f>
        <v>18.84</v>
      </c>
      <c r="T63" s="40">
        <f>IF($S$1="SUSTAIN RATE",SUMIF('Loads + CPFs by TAMCN'!$C$8:$C$1000,'Ammo Pallet Calculator'!A63,'Loads + CPFs by TAMCN'!$M$8:$M$1000),0)</f>
        <v>0</v>
      </c>
      <c r="U63" s="41">
        <f t="shared" si="0"/>
        <v>18.84</v>
      </c>
      <c r="V63" s="42">
        <v>0</v>
      </c>
      <c r="W63" s="42">
        <f>(U63/C63)/Q63</f>
        <v>9.8125000000000004E-2</v>
      </c>
      <c r="X63" s="43"/>
      <c r="Y63" s="43">
        <f t="shared" si="2"/>
        <v>116.3430288</v>
      </c>
    </row>
    <row r="64" spans="1:25" ht="13.5" thickBot="1" x14ac:dyDescent="0.25">
      <c r="A64" s="29" t="s">
        <v>558</v>
      </c>
      <c r="B64" s="16"/>
      <c r="C64" s="46">
        <v>1</v>
      </c>
      <c r="D64" s="47">
        <v>36603</v>
      </c>
      <c r="E64" s="35">
        <v>61</v>
      </c>
      <c r="F64" s="35">
        <v>11</v>
      </c>
      <c r="G64" s="35">
        <v>11.38</v>
      </c>
      <c r="H64" s="35">
        <v>206</v>
      </c>
      <c r="I64" s="35">
        <f t="shared" si="3"/>
        <v>206</v>
      </c>
      <c r="J64" s="46" t="s">
        <v>554</v>
      </c>
      <c r="K64" s="48" t="s">
        <v>559</v>
      </c>
      <c r="L64" s="49">
        <v>14.759</v>
      </c>
      <c r="M64" s="35">
        <v>61</v>
      </c>
      <c r="N64" s="35">
        <v>33</v>
      </c>
      <c r="O64" s="35">
        <v>27.5</v>
      </c>
      <c r="P64" s="36">
        <v>1358</v>
      </c>
      <c r="Q64" s="37">
        <v>6</v>
      </c>
      <c r="R64" s="38"/>
      <c r="S64" s="39">
        <f>IF($S$1="ASSAULT RATE",SUMIF('Loads + CPFs by TAMCN'!$C$8:$C$1000,'Ammo Pallet Calculator'!A64,'Loads + CPFs by TAMCN'!$L$8:$L$1000),0)</f>
        <v>0</v>
      </c>
      <c r="T64" s="40">
        <f>IF($S$1="SUSTAIN RATE",SUMIF('Loads + CPFs by TAMCN'!$C$8:$C$1000,'Ammo Pallet Calculator'!A64,'Loads + CPFs by TAMCN'!$M$8:$M$1000),0)</f>
        <v>0</v>
      </c>
      <c r="U64" s="41">
        <f t="shared" si="0"/>
        <v>0</v>
      </c>
      <c r="V64" s="42">
        <v>0</v>
      </c>
      <c r="W64" s="42">
        <f t="shared" ref="W64:W70" si="15">U64/Q64</f>
        <v>0</v>
      </c>
      <c r="X64" s="43">
        <f>U64*H64</f>
        <v>0</v>
      </c>
      <c r="Y64" s="43">
        <f t="shared" si="2"/>
        <v>0</v>
      </c>
    </row>
    <row r="65" spans="1:25" ht="13.5" thickBot="1" x14ac:dyDescent="0.25">
      <c r="A65" s="29" t="s">
        <v>650</v>
      </c>
      <c r="B65" s="16"/>
      <c r="C65" s="46">
        <v>8</v>
      </c>
      <c r="D65" s="47">
        <v>1342.44</v>
      </c>
      <c r="E65" s="35">
        <v>14.62</v>
      </c>
      <c r="F65" s="35">
        <v>29.12</v>
      </c>
      <c r="G65" s="35">
        <v>38.75</v>
      </c>
      <c r="H65" s="35">
        <v>882</v>
      </c>
      <c r="I65" s="35">
        <f t="shared" si="3"/>
        <v>110.25</v>
      </c>
      <c r="J65" s="46" t="s">
        <v>554</v>
      </c>
      <c r="K65" s="48" t="s">
        <v>559</v>
      </c>
      <c r="L65" s="49">
        <v>11.7423</v>
      </c>
      <c r="M65" s="35">
        <v>43.88</v>
      </c>
      <c r="N65" s="35">
        <v>29.12</v>
      </c>
      <c r="O65" s="35">
        <v>38.75</v>
      </c>
      <c r="P65" s="36">
        <v>2660</v>
      </c>
      <c r="Q65" s="37">
        <v>24</v>
      </c>
      <c r="R65" s="38"/>
      <c r="S65" s="39">
        <f>IF($S$1="ASSAULT RATE",SUMIF('Loads + CPFs by TAMCN'!$C$8:$C$1000,'Ammo Pallet Calculator'!A65,'Loads + CPFs by TAMCN'!$L$8:$L$1000),0)</f>
        <v>0</v>
      </c>
      <c r="T65" s="40">
        <f>IF($S$1="SUSTAIN RATE",SUMIF('Loads + CPFs by TAMCN'!$C$8:$C$1000,'Ammo Pallet Calculator'!A65,'Loads + CPFs by TAMCN'!$M$8:$M$1000),0)</f>
        <v>0</v>
      </c>
      <c r="U65" s="41">
        <f t="shared" si="0"/>
        <v>0</v>
      </c>
      <c r="V65" s="42">
        <v>0</v>
      </c>
      <c r="W65" s="42">
        <f t="shared" si="15"/>
        <v>0</v>
      </c>
      <c r="X65" s="43">
        <f t="shared" ref="X65:X70" si="16">(U65/C65)*H65</f>
        <v>0</v>
      </c>
      <c r="Y65" s="43">
        <f t="shared" si="2"/>
        <v>0</v>
      </c>
    </row>
    <row r="66" spans="1:25" ht="13.5" thickBot="1" x14ac:dyDescent="0.25">
      <c r="A66" s="29" t="s">
        <v>35</v>
      </c>
      <c r="B66" s="16"/>
      <c r="C66" s="46">
        <v>8</v>
      </c>
      <c r="D66" s="47">
        <v>1342.44</v>
      </c>
      <c r="E66" s="35">
        <v>14.62</v>
      </c>
      <c r="F66" s="35">
        <v>29.12</v>
      </c>
      <c r="G66" s="35">
        <v>38.75</v>
      </c>
      <c r="H66" s="35">
        <v>882</v>
      </c>
      <c r="I66" s="35">
        <f t="shared" si="3"/>
        <v>110.25</v>
      </c>
      <c r="J66" s="46" t="s">
        <v>554</v>
      </c>
      <c r="K66" s="48" t="s">
        <v>559</v>
      </c>
      <c r="L66" s="49">
        <v>11.7423</v>
      </c>
      <c r="M66" s="35">
        <v>43.88</v>
      </c>
      <c r="N66" s="35">
        <v>29.12</v>
      </c>
      <c r="O66" s="35">
        <v>38.75</v>
      </c>
      <c r="P66" s="36">
        <v>2660</v>
      </c>
      <c r="Q66" s="37">
        <v>24</v>
      </c>
      <c r="R66" s="38"/>
      <c r="S66" s="39">
        <f>IF($S$1="ASSAULT RATE",SUMIF('Loads + CPFs by TAMCN'!$C$8:$C$1000,'Ammo Pallet Calculator'!A66,'Loads + CPFs by TAMCN'!$L$8:$L$1000),0)</f>
        <v>37.031999999999996</v>
      </c>
      <c r="T66" s="40">
        <f>IF($S$1="SUSTAIN RATE",SUMIF('Loads + CPFs by TAMCN'!$C$8:$C$1000,'Ammo Pallet Calculator'!A66,'Loads + CPFs by TAMCN'!$M$8:$M$1000),0)</f>
        <v>0</v>
      </c>
      <c r="U66" s="41">
        <f t="shared" si="0"/>
        <v>37.031999999999996</v>
      </c>
      <c r="V66" s="42">
        <v>0</v>
      </c>
      <c r="W66" s="42">
        <f t="shared" ref="W66" si="17">U66/Q66</f>
        <v>1.5429999999999999</v>
      </c>
      <c r="X66" s="43">
        <f t="shared" si="16"/>
        <v>4082.7779999999998</v>
      </c>
      <c r="Y66" s="43">
        <f t="shared" ref="Y66" si="18">U66*L66</f>
        <v>434.84085359999995</v>
      </c>
    </row>
    <row r="67" spans="1:25" ht="13.5" thickBot="1" x14ac:dyDescent="0.25">
      <c r="A67" s="29" t="s">
        <v>39</v>
      </c>
      <c r="B67" s="16"/>
      <c r="C67" s="46">
        <v>8</v>
      </c>
      <c r="D67" s="47">
        <v>1345.32</v>
      </c>
      <c r="E67" s="35">
        <v>14.62</v>
      </c>
      <c r="F67" s="35">
        <v>29.12</v>
      </c>
      <c r="G67" s="35">
        <v>38.75</v>
      </c>
      <c r="H67" s="35">
        <v>882</v>
      </c>
      <c r="I67" s="35">
        <f t="shared" si="3"/>
        <v>110.25</v>
      </c>
      <c r="J67" s="46" t="s">
        <v>554</v>
      </c>
      <c r="K67" s="48" t="s">
        <v>559</v>
      </c>
      <c r="L67" s="49">
        <v>11.7423</v>
      </c>
      <c r="M67" s="35">
        <v>43.88</v>
      </c>
      <c r="N67" s="35">
        <v>29.12</v>
      </c>
      <c r="O67" s="35">
        <v>38.75</v>
      </c>
      <c r="P67" s="36">
        <v>2660</v>
      </c>
      <c r="Q67" s="37">
        <v>24</v>
      </c>
      <c r="R67" s="38"/>
      <c r="S67" s="39">
        <f>IF($S$1="ASSAULT RATE",SUMIF('Loads + CPFs by TAMCN'!$C$8:$C$1000,'Ammo Pallet Calculator'!A67,'Loads + CPFs by TAMCN'!$L$8:$L$1000),0)</f>
        <v>11.112</v>
      </c>
      <c r="T67" s="40">
        <f>IF($S$1="SUSTAIN RATE",SUMIF('Loads + CPFs by TAMCN'!$C$8:$C$1000,'Ammo Pallet Calculator'!A67,'Loads + CPFs by TAMCN'!$M$8:$M$1000),0)</f>
        <v>0</v>
      </c>
      <c r="U67" s="41">
        <f t="shared" si="0"/>
        <v>11.112</v>
      </c>
      <c r="V67" s="42">
        <v>0</v>
      </c>
      <c r="W67" s="42">
        <f t="shared" si="15"/>
        <v>0.46300000000000002</v>
      </c>
      <c r="X67" s="43">
        <f t="shared" si="16"/>
        <v>1225.098</v>
      </c>
      <c r="Y67" s="43">
        <f t="shared" si="2"/>
        <v>130.48043760000002</v>
      </c>
    </row>
    <row r="68" spans="1:25" ht="13.5" thickBot="1" x14ac:dyDescent="0.25">
      <c r="A68" s="29" t="s">
        <v>651</v>
      </c>
      <c r="B68" s="16"/>
      <c r="C68" s="46">
        <v>8</v>
      </c>
      <c r="D68" s="47">
        <v>1345.32</v>
      </c>
      <c r="E68" s="35">
        <v>14.62</v>
      </c>
      <c r="F68" s="35">
        <v>29.12</v>
      </c>
      <c r="G68" s="35">
        <v>38.75</v>
      </c>
      <c r="H68" s="35">
        <v>882</v>
      </c>
      <c r="I68" s="35">
        <f t="shared" si="3"/>
        <v>110.25</v>
      </c>
      <c r="J68" s="46" t="s">
        <v>554</v>
      </c>
      <c r="K68" s="48" t="s">
        <v>559</v>
      </c>
      <c r="L68" s="49">
        <v>11.7423</v>
      </c>
      <c r="M68" s="35">
        <v>43.88</v>
      </c>
      <c r="N68" s="35">
        <v>29.12</v>
      </c>
      <c r="O68" s="35">
        <v>38.75</v>
      </c>
      <c r="P68" s="36">
        <v>2660</v>
      </c>
      <c r="Q68" s="37">
        <v>24</v>
      </c>
      <c r="R68" s="38"/>
      <c r="S68" s="39">
        <f>IF($S$1="ASSAULT RATE",SUMIF('Loads + CPFs by TAMCN'!$C$8:$C$1000,'Ammo Pallet Calculator'!A68,'Loads + CPFs by TAMCN'!$L$8:$L$1000),0)</f>
        <v>0</v>
      </c>
      <c r="T68" s="40">
        <f>IF($S$1="SUSTAIN RATE",SUMIF('Loads + CPFs by TAMCN'!$C$8:$C$1000,'Ammo Pallet Calculator'!A68,'Loads + CPFs by TAMCN'!$M$8:$M$1000),0)</f>
        <v>0</v>
      </c>
      <c r="U68" s="41">
        <f t="shared" si="0"/>
        <v>0</v>
      </c>
      <c r="V68" s="42">
        <v>0</v>
      </c>
      <c r="W68" s="42">
        <f t="shared" si="15"/>
        <v>0</v>
      </c>
      <c r="X68" s="43">
        <f t="shared" si="16"/>
        <v>0</v>
      </c>
      <c r="Y68" s="43">
        <f t="shared" si="2"/>
        <v>0</v>
      </c>
    </row>
    <row r="69" spans="1:25" ht="13.5" thickBot="1" x14ac:dyDescent="0.25">
      <c r="A69" s="29" t="s">
        <v>41</v>
      </c>
      <c r="B69" s="16"/>
      <c r="C69" s="46">
        <v>8</v>
      </c>
      <c r="D69" s="47">
        <v>340.55</v>
      </c>
      <c r="E69" s="35">
        <v>14.62</v>
      </c>
      <c r="F69" s="35">
        <v>29.12</v>
      </c>
      <c r="G69" s="35">
        <v>38.75</v>
      </c>
      <c r="H69" s="35">
        <v>882</v>
      </c>
      <c r="I69" s="35">
        <f t="shared" si="3"/>
        <v>110.25</v>
      </c>
      <c r="J69" s="46" t="s">
        <v>537</v>
      </c>
      <c r="K69" s="48" t="s">
        <v>538</v>
      </c>
      <c r="L69" s="49">
        <v>0.16347</v>
      </c>
      <c r="M69" s="35">
        <v>43.88</v>
      </c>
      <c r="N69" s="35">
        <v>29.12</v>
      </c>
      <c r="O69" s="35">
        <v>38.75</v>
      </c>
      <c r="P69" s="36">
        <v>2660</v>
      </c>
      <c r="Q69" s="37">
        <v>24</v>
      </c>
      <c r="R69" s="38"/>
      <c r="S69" s="39">
        <f>IF($S$1="ASSAULT RATE",SUMIF('Loads + CPFs by TAMCN'!$C$8:$C$1000,'Ammo Pallet Calculator'!A69,'Loads + CPFs by TAMCN'!$L$8:$L$1000),0)</f>
        <v>20.135999999999999</v>
      </c>
      <c r="T69" s="40">
        <f>IF($S$1="SUSTAIN RATE",SUMIF('Loads + CPFs by TAMCN'!$C$8:$C$1000,'Ammo Pallet Calculator'!A69,'Loads + CPFs by TAMCN'!$M$8:$M$1000),0)</f>
        <v>0</v>
      </c>
      <c r="U69" s="41">
        <f t="shared" si="0"/>
        <v>20.135999999999999</v>
      </c>
      <c r="V69" s="42">
        <v>0</v>
      </c>
      <c r="W69" s="42">
        <f t="shared" si="15"/>
        <v>0.83899999999999997</v>
      </c>
      <c r="X69" s="43">
        <f t="shared" si="16"/>
        <v>2219.9940000000001</v>
      </c>
      <c r="Y69" s="43">
        <f t="shared" si="2"/>
        <v>3.2916319199999999</v>
      </c>
    </row>
    <row r="70" spans="1:25" ht="13.5" thickBot="1" x14ac:dyDescent="0.25">
      <c r="A70" s="29" t="s">
        <v>15</v>
      </c>
      <c r="B70" s="16"/>
      <c r="C70" s="46">
        <v>1</v>
      </c>
      <c r="D70" s="47">
        <v>800.74</v>
      </c>
      <c r="E70" s="35">
        <v>38</v>
      </c>
      <c r="F70" s="35">
        <v>7.5</v>
      </c>
      <c r="G70" s="35">
        <v>7.5</v>
      </c>
      <c r="H70" s="35">
        <v>52</v>
      </c>
      <c r="I70" s="35">
        <f t="shared" si="3"/>
        <v>52</v>
      </c>
      <c r="J70" s="46" t="s">
        <v>560</v>
      </c>
      <c r="K70" s="48" t="s">
        <v>561</v>
      </c>
      <c r="L70" s="49">
        <v>30</v>
      </c>
      <c r="M70" s="35">
        <v>38</v>
      </c>
      <c r="N70" s="35">
        <v>48</v>
      </c>
      <c r="O70" s="35">
        <v>36.619999999999997</v>
      </c>
      <c r="P70" s="36">
        <v>1370</v>
      </c>
      <c r="Q70" s="37">
        <v>24</v>
      </c>
      <c r="R70" s="38"/>
      <c r="S70" s="39">
        <f>IF($S$1="ASSAULT RATE",SUMIF('Loads + CPFs by TAMCN'!$C$8:$C$1000,'Ammo Pallet Calculator'!A70,'Loads + CPFs by TAMCN'!$L$8:$L$1000),0)</f>
        <v>0</v>
      </c>
      <c r="T70" s="40">
        <f>IF($S$1="SUSTAIN RATE",SUMIF('Loads + CPFs by TAMCN'!$C$8:$C$1000,'Ammo Pallet Calculator'!A70,'Loads + CPFs by TAMCN'!$M$8:$M$1000),0)</f>
        <v>0</v>
      </c>
      <c r="U70" s="41">
        <f t="shared" si="0"/>
        <v>0</v>
      </c>
      <c r="V70" s="42">
        <v>0</v>
      </c>
      <c r="W70" s="42">
        <f t="shared" si="15"/>
        <v>0</v>
      </c>
      <c r="X70" s="43">
        <f t="shared" si="16"/>
        <v>0</v>
      </c>
      <c r="Y70" s="43">
        <f t="shared" si="2"/>
        <v>0</v>
      </c>
    </row>
    <row r="71" spans="1:25" ht="13.5" thickBot="1" x14ac:dyDescent="0.25">
      <c r="A71" s="29" t="s">
        <v>4</v>
      </c>
      <c r="B71" s="16"/>
      <c r="C71" s="46">
        <v>1</v>
      </c>
      <c r="D71" s="47">
        <v>112.95</v>
      </c>
      <c r="E71" s="35">
        <v>32.75</v>
      </c>
      <c r="F71" s="35">
        <v>8.4</v>
      </c>
      <c r="G71" s="35">
        <v>8.4</v>
      </c>
      <c r="H71" s="35">
        <v>42.5</v>
      </c>
      <c r="I71" s="35">
        <f t="shared" si="3"/>
        <v>42.5</v>
      </c>
      <c r="J71" s="46" t="s">
        <v>560</v>
      </c>
      <c r="K71" s="48" t="s">
        <v>561</v>
      </c>
      <c r="L71" s="49">
        <v>20.5</v>
      </c>
      <c r="M71" s="35">
        <v>45.62</v>
      </c>
      <c r="N71" s="35">
        <v>38.75</v>
      </c>
      <c r="O71" s="35">
        <v>42.12</v>
      </c>
      <c r="P71" s="36">
        <v>1172</v>
      </c>
      <c r="Q71" s="37">
        <v>24</v>
      </c>
      <c r="R71" s="38"/>
      <c r="S71" s="39">
        <f>IF($S$1="ASSAULT RATE",SUMIF('Loads + CPFs by TAMCN'!$C$8:$C$1000,'Ammo Pallet Calculator'!A71,'Loads + CPFs by TAMCN'!$L$8:$L$1000),0)</f>
        <v>0</v>
      </c>
      <c r="T71" s="40">
        <f>IF($S$1="SUSTAIN RATE",SUMIF('Loads + CPFs by TAMCN'!$C$8:$C$1000,'Ammo Pallet Calculator'!A71,'Loads + CPFs by TAMCN'!$M$8:$M$1000),0)</f>
        <v>0</v>
      </c>
      <c r="U71" s="41">
        <f t="shared" si="0"/>
        <v>0</v>
      </c>
      <c r="V71" s="42">
        <f t="shared" ref="V71:V135" si="19">SUM(U71/C71)</f>
        <v>0</v>
      </c>
      <c r="W71" s="42">
        <f t="shared" ref="W71:W135" si="20">(V71/Q71)</f>
        <v>0</v>
      </c>
      <c r="X71" s="43">
        <f t="shared" ref="X71:X135" si="21">SUM(V71*H71)</f>
        <v>0</v>
      </c>
      <c r="Y71" s="43">
        <f t="shared" si="2"/>
        <v>0</v>
      </c>
    </row>
    <row r="72" spans="1:25" ht="13.5" thickBot="1" x14ac:dyDescent="0.25">
      <c r="A72" s="29" t="s">
        <v>5</v>
      </c>
      <c r="B72" s="16"/>
      <c r="C72" s="46">
        <v>2</v>
      </c>
      <c r="D72" s="47">
        <v>7.01</v>
      </c>
      <c r="E72" s="35">
        <v>37.5</v>
      </c>
      <c r="F72" s="35">
        <v>6.68</v>
      </c>
      <c r="G72" s="35">
        <v>6.68</v>
      </c>
      <c r="H72" s="35">
        <v>29</v>
      </c>
      <c r="I72" s="35">
        <f t="shared" si="3"/>
        <v>14.5</v>
      </c>
      <c r="J72" s="46" t="s">
        <v>560</v>
      </c>
      <c r="K72" s="48" t="s">
        <v>561</v>
      </c>
      <c r="L72" s="49">
        <v>5.57</v>
      </c>
      <c r="M72" s="35">
        <v>48</v>
      </c>
      <c r="N72" s="35">
        <v>40.5</v>
      </c>
      <c r="O72" s="35">
        <v>45.62</v>
      </c>
      <c r="P72" s="36">
        <v>1439</v>
      </c>
      <c r="Q72" s="37">
        <v>42</v>
      </c>
      <c r="R72" s="38"/>
      <c r="S72" s="39">
        <f>IF($S$1="ASSAULT RATE",SUMIF('Loads + CPFs by TAMCN'!$C$8:$C$1000,'Ammo Pallet Calculator'!A72,'Loads + CPFs by TAMCN'!$L$8:$L$1000),0)</f>
        <v>0</v>
      </c>
      <c r="T72" s="40">
        <f>IF($S$1="SUSTAIN RATE",SUMIF('Loads + CPFs by TAMCN'!$C$8:$C$1000,'Ammo Pallet Calculator'!A72,'Loads + CPFs by TAMCN'!$M$8:$M$1000),0)</f>
        <v>0</v>
      </c>
      <c r="U72" s="41">
        <f t="shared" si="0"/>
        <v>0</v>
      </c>
      <c r="V72" s="42">
        <f t="shared" si="19"/>
        <v>0</v>
      </c>
      <c r="W72" s="42">
        <f t="shared" si="20"/>
        <v>0</v>
      </c>
      <c r="X72" s="43">
        <f t="shared" si="21"/>
        <v>0</v>
      </c>
      <c r="Y72" s="43">
        <f t="shared" si="2"/>
        <v>0</v>
      </c>
    </row>
    <row r="73" spans="1:25" ht="13.5" thickBot="1" x14ac:dyDescent="0.25">
      <c r="A73" s="29" t="s">
        <v>6</v>
      </c>
      <c r="B73" s="16"/>
      <c r="C73" s="46">
        <v>1</v>
      </c>
      <c r="D73" s="47">
        <v>110.89</v>
      </c>
      <c r="E73" s="35">
        <v>27.5</v>
      </c>
      <c r="F73" s="35">
        <v>7.78</v>
      </c>
      <c r="G73" s="35">
        <v>7.78</v>
      </c>
      <c r="H73" s="35">
        <v>30.5</v>
      </c>
      <c r="I73" s="35">
        <f t="shared" si="3"/>
        <v>30.5</v>
      </c>
      <c r="J73" s="46" t="s">
        <v>560</v>
      </c>
      <c r="K73" s="48" t="s">
        <v>561</v>
      </c>
      <c r="L73" s="49">
        <v>13.78</v>
      </c>
      <c r="M73" s="35">
        <v>40</v>
      </c>
      <c r="N73" s="35">
        <v>55</v>
      </c>
      <c r="O73" s="35">
        <v>44.4</v>
      </c>
      <c r="P73" s="36">
        <v>1766</v>
      </c>
      <c r="Q73" s="37">
        <v>50</v>
      </c>
      <c r="R73" s="38"/>
      <c r="S73" s="39">
        <f>IF($S$1="ASSAULT RATE",SUMIF('Loads + CPFs by TAMCN'!$C$8:$C$1000,'Ammo Pallet Calculator'!A73,'Loads + CPFs by TAMCN'!$L$8:$L$1000),0)</f>
        <v>0</v>
      </c>
      <c r="T73" s="40">
        <f>IF($S$1="SUSTAIN RATE",SUMIF('Loads + CPFs by TAMCN'!$C$8:$C$1000,'Ammo Pallet Calculator'!A73,'Loads + CPFs by TAMCN'!$M$8:$M$1000),0)</f>
        <v>0</v>
      </c>
      <c r="U73" s="41">
        <f t="shared" si="0"/>
        <v>0</v>
      </c>
      <c r="V73" s="42">
        <f t="shared" si="19"/>
        <v>0</v>
      </c>
      <c r="W73" s="42">
        <f t="shared" si="20"/>
        <v>0</v>
      </c>
      <c r="X73" s="43">
        <f t="shared" si="21"/>
        <v>0</v>
      </c>
      <c r="Y73" s="43">
        <f t="shared" ref="Y73:Y137" si="22">U73*L73</f>
        <v>0</v>
      </c>
    </row>
    <row r="74" spans="1:25" ht="13.5" thickBot="1" x14ac:dyDescent="0.25">
      <c r="A74" s="29" t="s">
        <v>653</v>
      </c>
      <c r="B74" s="16"/>
      <c r="C74" s="46">
        <v>8</v>
      </c>
      <c r="D74" s="47">
        <v>220</v>
      </c>
      <c r="E74" s="35">
        <v>14.62</v>
      </c>
      <c r="F74" s="35">
        <v>29.12</v>
      </c>
      <c r="G74" s="35">
        <v>36.5</v>
      </c>
      <c r="H74" s="35">
        <v>875</v>
      </c>
      <c r="I74" s="35">
        <f t="shared" si="3"/>
        <v>109.375</v>
      </c>
      <c r="J74" s="46" t="s">
        <v>554</v>
      </c>
      <c r="K74" s="48" t="s">
        <v>559</v>
      </c>
      <c r="L74" s="49">
        <v>24.1</v>
      </c>
      <c r="M74" s="35">
        <v>43.88</v>
      </c>
      <c r="N74" s="35">
        <v>29.12</v>
      </c>
      <c r="O74" s="35">
        <v>36.5</v>
      </c>
      <c r="P74" s="36">
        <v>2625</v>
      </c>
      <c r="Q74" s="37">
        <v>24</v>
      </c>
      <c r="R74" s="38"/>
      <c r="S74" s="39">
        <f>IF($S$1="ASSAULT RATE",SUMIF('Loads + CPFs by TAMCN'!$C$8:$C$1000,'Ammo Pallet Calculator'!A74,'Loads + CPFs by TAMCN'!$L$8:$L$1000),0)</f>
        <v>0</v>
      </c>
      <c r="T74" s="40">
        <f>IF($S$1="SUSTAIN RATE",SUMIF('Loads + CPFs by TAMCN'!$C$8:$C$1000,'Ammo Pallet Calculator'!A74,'Loads + CPFs by TAMCN'!$M$8:$M$1000),0)</f>
        <v>0</v>
      </c>
      <c r="U74" s="41">
        <f t="shared" ref="U74:U137" si="23">SUM(S74:T74)</f>
        <v>0</v>
      </c>
      <c r="V74" s="42">
        <f t="shared" si="19"/>
        <v>0</v>
      </c>
      <c r="W74" s="42">
        <f t="shared" si="20"/>
        <v>0</v>
      </c>
      <c r="X74" s="43">
        <f t="shared" si="21"/>
        <v>0</v>
      </c>
      <c r="Y74" s="43">
        <f t="shared" si="22"/>
        <v>0</v>
      </c>
    </row>
    <row r="75" spans="1:25" ht="13.5" thickBot="1" x14ac:dyDescent="0.25">
      <c r="A75" s="29" t="s">
        <v>652</v>
      </c>
      <c r="B75" s="16"/>
      <c r="C75" s="46">
        <v>8</v>
      </c>
      <c r="D75" s="47">
        <v>220</v>
      </c>
      <c r="E75" s="35">
        <v>14.62</v>
      </c>
      <c r="F75" s="35">
        <v>29.12</v>
      </c>
      <c r="G75" s="35">
        <v>36.5</v>
      </c>
      <c r="H75" s="35">
        <v>875</v>
      </c>
      <c r="I75" s="35">
        <f t="shared" si="3"/>
        <v>109.375</v>
      </c>
      <c r="J75" s="46" t="s">
        <v>554</v>
      </c>
      <c r="K75" s="48" t="s">
        <v>559</v>
      </c>
      <c r="L75" s="49">
        <v>24.1</v>
      </c>
      <c r="M75" s="35">
        <v>43.88</v>
      </c>
      <c r="N75" s="35">
        <v>29.12</v>
      </c>
      <c r="O75" s="35">
        <v>36.5</v>
      </c>
      <c r="P75" s="36">
        <v>2625</v>
      </c>
      <c r="Q75" s="37">
        <v>24</v>
      </c>
      <c r="R75" s="38"/>
      <c r="S75" s="39">
        <f>IF($S$1="ASSAULT RATE",SUMIF('Loads + CPFs by TAMCN'!$C$8:$C$1000,'Ammo Pallet Calculator'!A75,'Loads + CPFs by TAMCN'!$L$8:$L$1000),0)</f>
        <v>0</v>
      </c>
      <c r="T75" s="40">
        <f>IF($S$1="SUSTAIN RATE",SUMIF('Loads + CPFs by TAMCN'!$C$8:$C$1000,'Ammo Pallet Calculator'!A75,'Loads + CPFs by TAMCN'!$M$8:$M$1000),0)</f>
        <v>0</v>
      </c>
      <c r="U75" s="41">
        <f t="shared" si="23"/>
        <v>0</v>
      </c>
      <c r="V75" s="42">
        <f t="shared" si="19"/>
        <v>0</v>
      </c>
      <c r="W75" s="42">
        <f t="shared" si="20"/>
        <v>0</v>
      </c>
      <c r="X75" s="43">
        <f t="shared" si="21"/>
        <v>0</v>
      </c>
      <c r="Y75" s="43">
        <f t="shared" si="22"/>
        <v>0</v>
      </c>
    </row>
    <row r="76" spans="1:25" ht="13.5" thickBot="1" x14ac:dyDescent="0.25">
      <c r="A76" s="29" t="s">
        <v>45</v>
      </c>
      <c r="B76" s="16"/>
      <c r="C76" s="46">
        <v>8</v>
      </c>
      <c r="D76" s="47">
        <v>72.77</v>
      </c>
      <c r="E76" s="35">
        <v>13.62</v>
      </c>
      <c r="F76" s="35">
        <v>27.12</v>
      </c>
      <c r="G76" s="35">
        <v>32</v>
      </c>
      <c r="H76" s="35">
        <v>830</v>
      </c>
      <c r="I76" s="35">
        <f t="shared" si="3"/>
        <v>103.75</v>
      </c>
      <c r="J76" s="46" t="s">
        <v>562</v>
      </c>
      <c r="K76" s="48" t="s">
        <v>563</v>
      </c>
      <c r="L76" s="49">
        <v>0.46</v>
      </c>
      <c r="M76" s="35">
        <v>40.880000000000003</v>
      </c>
      <c r="N76" s="35">
        <v>27.12</v>
      </c>
      <c r="O76" s="35">
        <v>32</v>
      </c>
      <c r="P76" s="36">
        <v>2500</v>
      </c>
      <c r="Q76" s="37">
        <v>24</v>
      </c>
      <c r="R76" s="38"/>
      <c r="S76" s="39">
        <f>IF($S$1="ASSAULT RATE",SUMIF('Loads + CPFs by TAMCN'!$C$8:$C$1000,'Ammo Pallet Calculator'!A76,'Loads + CPFs by TAMCN'!$L$8:$L$1000),0)</f>
        <v>17.111999999999998</v>
      </c>
      <c r="T76" s="40">
        <f>IF($S$1="SUSTAIN RATE",SUMIF('Loads + CPFs by TAMCN'!$C$8:$C$1000,'Ammo Pallet Calculator'!A76,'Loads + CPFs by TAMCN'!$M$8:$M$1000),0)</f>
        <v>0</v>
      </c>
      <c r="U76" s="41">
        <f t="shared" si="23"/>
        <v>17.111999999999998</v>
      </c>
      <c r="V76" s="42">
        <f t="shared" si="19"/>
        <v>2.1389999999999998</v>
      </c>
      <c r="W76" s="42">
        <f t="shared" si="20"/>
        <v>8.9124999999999996E-2</v>
      </c>
      <c r="X76" s="43">
        <f t="shared" si="21"/>
        <v>1775.37</v>
      </c>
      <c r="Y76" s="43">
        <f t="shared" si="22"/>
        <v>7.8715199999999994</v>
      </c>
    </row>
    <row r="77" spans="1:25" ht="13.5" thickBot="1" x14ac:dyDescent="0.25">
      <c r="A77" s="29" t="s">
        <v>564</v>
      </c>
      <c r="B77" s="16"/>
      <c r="C77" s="46">
        <v>8</v>
      </c>
      <c r="D77" s="47">
        <v>486.93</v>
      </c>
      <c r="E77" s="35">
        <v>14.62</v>
      </c>
      <c r="F77" s="35">
        <v>29.12</v>
      </c>
      <c r="G77" s="35">
        <v>38.75</v>
      </c>
      <c r="H77" s="35">
        <v>874</v>
      </c>
      <c r="I77" s="35">
        <f t="shared" si="3"/>
        <v>109.25</v>
      </c>
      <c r="J77" s="46" t="s">
        <v>554</v>
      </c>
      <c r="K77" s="48" t="s">
        <v>559</v>
      </c>
      <c r="L77" s="49">
        <v>6.3769999999999998</v>
      </c>
      <c r="M77" s="35">
        <v>43.88</v>
      </c>
      <c r="N77" s="35">
        <v>29.12</v>
      </c>
      <c r="O77" s="35">
        <v>38.75</v>
      </c>
      <c r="P77" s="36">
        <v>2640</v>
      </c>
      <c r="Q77" s="37">
        <v>24</v>
      </c>
      <c r="R77" s="38"/>
      <c r="S77" s="39">
        <f>IF($S$1="ASSAULT RATE",SUMIF('Loads + CPFs by TAMCN'!$C$8:$C$1000,'Ammo Pallet Calculator'!A77,'Loads + CPFs by TAMCN'!$L$8:$L$1000),0)</f>
        <v>0</v>
      </c>
      <c r="T77" s="40">
        <f>IF($S$1="SUSTAIN RATE",SUMIF('Loads + CPFs by TAMCN'!$C$8:$C$1000,'Ammo Pallet Calculator'!A77,'Loads + CPFs by TAMCN'!$M$8:$M$1000),0)</f>
        <v>0</v>
      </c>
      <c r="U77" s="41">
        <f t="shared" si="23"/>
        <v>0</v>
      </c>
      <c r="V77" s="42">
        <f t="shared" ref="V77" si="24">SUM(U77/C77)</f>
        <v>0</v>
      </c>
      <c r="W77" s="42">
        <f t="shared" ref="W77" si="25">(V77/Q77)</f>
        <v>0</v>
      </c>
      <c r="X77" s="43">
        <f t="shared" ref="X77" si="26">SUM(V77*H77)</f>
        <v>0</v>
      </c>
      <c r="Y77" s="43">
        <f t="shared" ref="Y77" si="27">U77*L77</f>
        <v>0</v>
      </c>
    </row>
    <row r="78" spans="1:25" ht="13.5" thickBot="1" x14ac:dyDescent="0.25">
      <c r="A78" s="29" t="s">
        <v>47</v>
      </c>
      <c r="B78" s="16"/>
      <c r="C78" s="46">
        <v>8</v>
      </c>
      <c r="D78" s="47">
        <v>235.09</v>
      </c>
      <c r="E78" s="35">
        <v>14.62</v>
      </c>
      <c r="F78" s="35">
        <v>29.12</v>
      </c>
      <c r="G78" s="35">
        <v>38.75</v>
      </c>
      <c r="H78" s="35">
        <v>815</v>
      </c>
      <c r="I78" s="35">
        <f t="shared" si="3"/>
        <v>101.875</v>
      </c>
      <c r="J78" s="46" t="s">
        <v>554</v>
      </c>
      <c r="K78" s="48" t="s">
        <v>559</v>
      </c>
      <c r="L78" s="49">
        <v>21.824300999999998</v>
      </c>
      <c r="M78" s="35">
        <v>43.88</v>
      </c>
      <c r="N78" s="35">
        <v>29.12</v>
      </c>
      <c r="O78" s="35">
        <v>38.75</v>
      </c>
      <c r="P78" s="36">
        <v>2460</v>
      </c>
      <c r="Q78" s="37">
        <v>24</v>
      </c>
      <c r="R78" s="38"/>
      <c r="S78" s="39">
        <f>IF($S$1="ASSAULT RATE",SUMIF('Loads + CPFs by TAMCN'!$C$8:$C$1000,'Ammo Pallet Calculator'!A78,'Loads + CPFs by TAMCN'!$L$8:$L$1000),0)</f>
        <v>30.624000000000002</v>
      </c>
      <c r="T78" s="40">
        <f>IF($S$1="SUSTAIN RATE",SUMIF('Loads + CPFs by TAMCN'!$C$8:$C$1000,'Ammo Pallet Calculator'!A78,'Loads + CPFs by TAMCN'!$M$8:$M$1000),0)</f>
        <v>0</v>
      </c>
      <c r="U78" s="41">
        <f t="shared" si="23"/>
        <v>30.624000000000002</v>
      </c>
      <c r="V78" s="42">
        <f t="shared" si="19"/>
        <v>3.8280000000000003</v>
      </c>
      <c r="W78" s="42">
        <f t="shared" si="20"/>
        <v>0.1595</v>
      </c>
      <c r="X78" s="43">
        <f t="shared" si="21"/>
        <v>3119.82</v>
      </c>
      <c r="Y78" s="43">
        <f t="shared" si="22"/>
        <v>668.34739382400005</v>
      </c>
    </row>
    <row r="79" spans="1:25" ht="13.5" thickBot="1" x14ac:dyDescent="0.25">
      <c r="A79" s="29" t="s">
        <v>565</v>
      </c>
      <c r="B79" s="16"/>
      <c r="C79" s="46">
        <v>8</v>
      </c>
      <c r="D79" s="47">
        <v>860.63</v>
      </c>
      <c r="E79" s="35">
        <v>14.62</v>
      </c>
      <c r="F79" s="35">
        <v>29.12</v>
      </c>
      <c r="G79" s="35">
        <v>38.880000000000003</v>
      </c>
      <c r="H79" s="35">
        <v>896</v>
      </c>
      <c r="I79" s="35">
        <f t="shared" si="3"/>
        <v>112</v>
      </c>
      <c r="J79" s="46" t="s">
        <v>554</v>
      </c>
      <c r="K79" s="48" t="s">
        <v>559</v>
      </c>
      <c r="L79" s="49">
        <v>7.4</v>
      </c>
      <c r="M79" s="35">
        <v>43.88</v>
      </c>
      <c r="N79" s="35">
        <v>29.12</v>
      </c>
      <c r="O79" s="35">
        <v>38.880000000000003</v>
      </c>
      <c r="P79" s="36">
        <v>2700</v>
      </c>
      <c r="Q79" s="37">
        <v>24</v>
      </c>
      <c r="R79" s="38"/>
      <c r="S79" s="39">
        <f>IF($S$1="ASSAULT RATE",SUMIF('Loads + CPFs by TAMCN'!$C$8:$C$1000,'Ammo Pallet Calculator'!A79,'Loads + CPFs by TAMCN'!$L$8:$L$1000),0)</f>
        <v>0</v>
      </c>
      <c r="T79" s="40">
        <f>IF($S$1="SUSTAIN RATE",SUMIF('Loads + CPFs by TAMCN'!$C$8:$C$1000,'Ammo Pallet Calculator'!A79,'Loads + CPFs by TAMCN'!$M$8:$M$1000),0)</f>
        <v>0</v>
      </c>
      <c r="U79" s="41">
        <f t="shared" si="23"/>
        <v>0</v>
      </c>
      <c r="V79" s="42">
        <f t="shared" si="19"/>
        <v>0</v>
      </c>
      <c r="W79" s="42">
        <f t="shared" si="20"/>
        <v>0</v>
      </c>
      <c r="X79" s="43">
        <f t="shared" si="21"/>
        <v>0</v>
      </c>
      <c r="Y79" s="43">
        <f t="shared" si="22"/>
        <v>0</v>
      </c>
    </row>
    <row r="80" spans="1:25" ht="13.5" thickBot="1" x14ac:dyDescent="0.25">
      <c r="A80" s="29" t="s">
        <v>7</v>
      </c>
      <c r="B80" s="16"/>
      <c r="C80" s="46">
        <v>30</v>
      </c>
      <c r="D80" s="47"/>
      <c r="E80" s="35">
        <v>46.5</v>
      </c>
      <c r="F80" s="35">
        <v>38</v>
      </c>
      <c r="G80" s="35">
        <v>43.25</v>
      </c>
      <c r="H80" s="35">
        <v>1297</v>
      </c>
      <c r="I80" s="35">
        <f t="shared" si="3"/>
        <v>43.233333333333334</v>
      </c>
      <c r="J80" s="46" t="s">
        <v>560</v>
      </c>
      <c r="K80" s="48" t="s">
        <v>561</v>
      </c>
      <c r="L80" s="49">
        <v>3.6062500000000002</v>
      </c>
      <c r="M80" s="35">
        <v>46.5</v>
      </c>
      <c r="N80" s="35">
        <v>38</v>
      </c>
      <c r="O80" s="35">
        <v>43.25</v>
      </c>
      <c r="P80" s="36">
        <v>1297</v>
      </c>
      <c r="Q80" s="37">
        <v>30</v>
      </c>
      <c r="R80" s="38"/>
      <c r="S80" s="39">
        <f>IF($S$1="ASSAULT RATE",SUMIF('Loads + CPFs by TAMCN'!$C$8:$C$1000,'Ammo Pallet Calculator'!A80,'Loads + CPFs by TAMCN'!$L$8:$L$1000),0)</f>
        <v>1257.8399999999999</v>
      </c>
      <c r="T80" s="40">
        <f>IF($S$1="SUSTAIN RATE",SUMIF('Loads + CPFs by TAMCN'!$C$8:$C$1000,'Ammo Pallet Calculator'!A80,'Loads + CPFs by TAMCN'!$M$8:$M$1000),0)</f>
        <v>0</v>
      </c>
      <c r="U80" s="41">
        <f t="shared" si="23"/>
        <v>1257.8399999999999</v>
      </c>
      <c r="V80" s="42">
        <f t="shared" si="19"/>
        <v>41.927999999999997</v>
      </c>
      <c r="W80" s="42">
        <f t="shared" si="20"/>
        <v>1.3976</v>
      </c>
      <c r="X80" s="43">
        <f t="shared" si="21"/>
        <v>54380.615999999995</v>
      </c>
      <c r="Y80" s="43">
        <f t="shared" si="22"/>
        <v>4536.0855000000001</v>
      </c>
    </row>
    <row r="81" spans="1:25" ht="13.5" thickBot="1" x14ac:dyDescent="0.25">
      <c r="A81" s="29" t="s">
        <v>9</v>
      </c>
      <c r="B81" s="16"/>
      <c r="C81" s="46">
        <v>30</v>
      </c>
      <c r="D81" s="47"/>
      <c r="E81" s="35">
        <v>46.5</v>
      </c>
      <c r="F81" s="35">
        <v>38</v>
      </c>
      <c r="G81" s="35">
        <v>43.25</v>
      </c>
      <c r="H81" s="35">
        <v>1835</v>
      </c>
      <c r="I81" s="35">
        <f t="shared" si="3"/>
        <v>61.166666666666664</v>
      </c>
      <c r="J81" s="46" t="s">
        <v>560</v>
      </c>
      <c r="K81" s="48" t="s">
        <v>561</v>
      </c>
      <c r="L81" s="49">
        <v>5.1062500000000002</v>
      </c>
      <c r="M81" s="35">
        <v>46.5</v>
      </c>
      <c r="N81" s="35">
        <v>38</v>
      </c>
      <c r="O81" s="35">
        <v>43.25</v>
      </c>
      <c r="P81" s="36">
        <v>1835</v>
      </c>
      <c r="Q81" s="37">
        <v>30</v>
      </c>
      <c r="R81" s="38"/>
      <c r="S81" s="39">
        <f>IF($S$1="ASSAULT RATE",SUMIF('Loads + CPFs by TAMCN'!$C$8:$C$1000,'Ammo Pallet Calculator'!A81,'Loads + CPFs by TAMCN'!$L$8:$L$1000),0)</f>
        <v>2668.5120000000002</v>
      </c>
      <c r="T81" s="40">
        <f>IF($S$1="SUSTAIN RATE",SUMIF('Loads + CPFs by TAMCN'!$C$8:$C$1000,'Ammo Pallet Calculator'!A81,'Loads + CPFs by TAMCN'!$M$8:$M$1000),0)</f>
        <v>0</v>
      </c>
      <c r="U81" s="41">
        <f t="shared" si="23"/>
        <v>2668.5120000000002</v>
      </c>
      <c r="V81" s="42">
        <f t="shared" si="19"/>
        <v>88.950400000000002</v>
      </c>
      <c r="W81" s="42">
        <f t="shared" si="20"/>
        <v>2.9650133333333333</v>
      </c>
      <c r="X81" s="43">
        <f t="shared" si="21"/>
        <v>163223.984</v>
      </c>
      <c r="Y81" s="43">
        <f t="shared" si="22"/>
        <v>13626.089400000001</v>
      </c>
    </row>
    <row r="82" spans="1:25" ht="13.5" thickBot="1" x14ac:dyDescent="0.25">
      <c r="A82" s="29" t="s">
        <v>51</v>
      </c>
      <c r="B82" s="16"/>
      <c r="C82" s="46">
        <v>8</v>
      </c>
      <c r="D82" s="47"/>
      <c r="E82" s="35">
        <v>29.13</v>
      </c>
      <c r="F82" s="35">
        <v>14.63</v>
      </c>
      <c r="G82" s="35">
        <v>31.13</v>
      </c>
      <c r="H82" s="35">
        <v>767.8</v>
      </c>
      <c r="I82" s="35">
        <f t="shared" si="3"/>
        <v>95.974999999999994</v>
      </c>
      <c r="J82" s="46" t="s">
        <v>539</v>
      </c>
      <c r="K82" s="48" t="s">
        <v>540</v>
      </c>
      <c r="L82" s="49">
        <v>2.50989</v>
      </c>
      <c r="M82" s="35">
        <v>29.13</v>
      </c>
      <c r="N82" s="35">
        <v>14.63</v>
      </c>
      <c r="O82" s="35">
        <v>31.13</v>
      </c>
      <c r="P82" s="36">
        <v>767.8</v>
      </c>
      <c r="Q82" s="37">
        <v>8</v>
      </c>
      <c r="R82" s="38"/>
      <c r="S82" s="39">
        <f>IF($S$1="ASSAULT RATE",SUMIF('Loads + CPFs by TAMCN'!$C$8:$C$1000,'Ammo Pallet Calculator'!A82,'Loads + CPFs by TAMCN'!$L$8:$L$1000),0)</f>
        <v>6.3360000000000003</v>
      </c>
      <c r="T82" s="40">
        <f>IF($S$1="SUSTAIN RATE",SUMIF('Loads + CPFs by TAMCN'!$C$8:$C$1000,'Ammo Pallet Calculator'!A82,'Loads + CPFs by TAMCN'!$M$8:$M$1000),0)</f>
        <v>0</v>
      </c>
      <c r="U82" s="41">
        <f t="shared" si="23"/>
        <v>6.3360000000000003</v>
      </c>
      <c r="V82" s="42">
        <f t="shared" si="19"/>
        <v>0.79200000000000004</v>
      </c>
      <c r="W82" s="42">
        <f t="shared" si="20"/>
        <v>9.9000000000000005E-2</v>
      </c>
      <c r="X82" s="43">
        <f t="shared" si="21"/>
        <v>608.09759999999994</v>
      </c>
      <c r="Y82" s="43">
        <f t="shared" si="22"/>
        <v>15.90266304</v>
      </c>
    </row>
    <row r="83" spans="1:25" ht="13.5" thickBot="1" x14ac:dyDescent="0.25">
      <c r="A83" s="29" t="s">
        <v>833</v>
      </c>
      <c r="B83" s="16"/>
      <c r="C83" s="46">
        <v>8</v>
      </c>
      <c r="D83" s="47"/>
      <c r="E83" s="35">
        <v>27.12</v>
      </c>
      <c r="F83" s="35">
        <v>13.62</v>
      </c>
      <c r="G83" s="35">
        <v>38.74</v>
      </c>
      <c r="H83" s="35">
        <v>896</v>
      </c>
      <c r="I83" s="35">
        <f t="shared" si="3"/>
        <v>112</v>
      </c>
      <c r="J83" s="46" t="s">
        <v>554</v>
      </c>
      <c r="K83" s="48" t="s">
        <v>559</v>
      </c>
      <c r="L83" s="49">
        <v>7.4</v>
      </c>
      <c r="M83" s="35">
        <v>43.86</v>
      </c>
      <c r="N83" s="35">
        <v>29.12</v>
      </c>
      <c r="O83" s="35">
        <v>39.4</v>
      </c>
      <c r="P83" s="36">
        <v>2700</v>
      </c>
      <c r="Q83" s="37">
        <v>3</v>
      </c>
      <c r="R83" s="38"/>
      <c r="S83" s="39">
        <f>IF($S$1="ASSAULT RATE",SUMIF('Loads + CPFs by TAMCN'!$C$8:$C$1000,'Ammo Pallet Calculator'!A83,'Loads + CPFs by TAMCN'!$L$8:$L$1000),0)</f>
        <v>0</v>
      </c>
      <c r="T83" s="40">
        <f>IF($S$1="SUSTAIN RATE",SUMIF('Loads + CPFs by TAMCN'!$C$8:$C$1000,'Ammo Pallet Calculator'!A83,'Loads + CPFs by TAMCN'!$M$8:$M$1000),0)</f>
        <v>0</v>
      </c>
      <c r="U83" s="41">
        <f t="shared" si="23"/>
        <v>0</v>
      </c>
      <c r="V83" s="42">
        <f t="shared" si="19"/>
        <v>0</v>
      </c>
      <c r="W83" s="42">
        <f t="shared" si="20"/>
        <v>0</v>
      </c>
      <c r="X83" s="43">
        <f t="shared" si="21"/>
        <v>0</v>
      </c>
      <c r="Y83" s="43">
        <f t="shared" si="22"/>
        <v>0</v>
      </c>
    </row>
    <row r="84" spans="1:25" ht="13.5" thickBot="1" x14ac:dyDescent="0.25">
      <c r="A84" s="29" t="s">
        <v>566</v>
      </c>
      <c r="B84" s="16"/>
      <c r="C84" s="46">
        <v>12</v>
      </c>
      <c r="D84" s="47">
        <v>30.5</v>
      </c>
      <c r="E84" s="35">
        <v>17.38</v>
      </c>
      <c r="F84" s="35">
        <v>11.5</v>
      </c>
      <c r="G84" s="35">
        <v>8.1199999999999992</v>
      </c>
      <c r="H84" s="35">
        <v>26.94</v>
      </c>
      <c r="I84" s="35">
        <f t="shared" si="3"/>
        <v>2.2450000000000001</v>
      </c>
      <c r="J84" s="46" t="s">
        <v>539</v>
      </c>
      <c r="K84" s="48" t="s">
        <v>567</v>
      </c>
      <c r="L84" s="49">
        <v>3.9309999999999998E-2</v>
      </c>
      <c r="M84" s="35">
        <v>35</v>
      </c>
      <c r="N84" s="35">
        <v>46</v>
      </c>
      <c r="O84" s="35">
        <v>38</v>
      </c>
      <c r="P84" s="36">
        <v>911</v>
      </c>
      <c r="Q84" s="37">
        <v>32</v>
      </c>
      <c r="R84" s="38"/>
      <c r="S84" s="39">
        <f>IF($S$1="ASSAULT RATE",SUMIF('Loads + CPFs by TAMCN'!$C$8:$C$1000,'Ammo Pallet Calculator'!A84,'Loads + CPFs by TAMCN'!$L$8:$L$1000),0)</f>
        <v>0</v>
      </c>
      <c r="T84" s="40">
        <f>IF($S$1="SUSTAIN RATE",SUMIF('Loads + CPFs by TAMCN'!$C$8:$C$1000,'Ammo Pallet Calculator'!A84,'Loads + CPFs by TAMCN'!$M$8:$M$1000),0)</f>
        <v>0</v>
      </c>
      <c r="U84" s="41">
        <f t="shared" si="23"/>
        <v>0</v>
      </c>
      <c r="V84" s="42">
        <f t="shared" si="19"/>
        <v>0</v>
      </c>
      <c r="W84" s="42">
        <f t="shared" si="20"/>
        <v>0</v>
      </c>
      <c r="X84" s="43">
        <f t="shared" si="21"/>
        <v>0</v>
      </c>
      <c r="Y84" s="43">
        <f t="shared" si="22"/>
        <v>0</v>
      </c>
    </row>
    <row r="85" spans="1:25" ht="13.5" thickBot="1" x14ac:dyDescent="0.25">
      <c r="A85" s="29" t="s">
        <v>568</v>
      </c>
      <c r="B85" s="16"/>
      <c r="C85" s="46">
        <v>4</v>
      </c>
      <c r="D85" s="47">
        <v>50.12</v>
      </c>
      <c r="E85" s="35">
        <v>12.03</v>
      </c>
      <c r="F85" s="35">
        <v>6.09</v>
      </c>
      <c r="G85" s="35">
        <v>7.5</v>
      </c>
      <c r="H85" s="35">
        <v>23</v>
      </c>
      <c r="I85" s="35">
        <f t="shared" si="3"/>
        <v>5.75</v>
      </c>
      <c r="J85" s="46" t="s">
        <v>539</v>
      </c>
      <c r="K85" s="48" t="s">
        <v>569</v>
      </c>
      <c r="L85" s="49">
        <v>7.7030000000000001E-2</v>
      </c>
      <c r="M85" s="35">
        <v>37.380000000000003</v>
      </c>
      <c r="N85" s="35">
        <v>48.88</v>
      </c>
      <c r="O85" s="35">
        <v>33.5</v>
      </c>
      <c r="P85" s="36">
        <v>1787</v>
      </c>
      <c r="Q85" s="37">
        <v>72</v>
      </c>
      <c r="R85" s="38"/>
      <c r="S85" s="39">
        <f>IF($S$1="ASSAULT RATE",SUMIF('Loads + CPFs by TAMCN'!$C$8:$C$1000,'Ammo Pallet Calculator'!A85,'Loads + CPFs by TAMCN'!$L$8:$L$1000),0)</f>
        <v>0</v>
      </c>
      <c r="T85" s="40">
        <f>IF($S$1="SUSTAIN RATE",SUMIF('Loads + CPFs by TAMCN'!$C$8:$C$1000,'Ammo Pallet Calculator'!A85,'Loads + CPFs by TAMCN'!$M$8:$M$1000),0)</f>
        <v>0</v>
      </c>
      <c r="U85" s="41">
        <f t="shared" si="23"/>
        <v>0</v>
      </c>
      <c r="V85" s="42">
        <f t="shared" si="19"/>
        <v>0</v>
      </c>
      <c r="W85" s="42">
        <f t="shared" si="20"/>
        <v>0</v>
      </c>
      <c r="X85" s="43">
        <f t="shared" si="21"/>
        <v>0</v>
      </c>
      <c r="Y85" s="43">
        <f t="shared" si="22"/>
        <v>0</v>
      </c>
    </row>
    <row r="86" spans="1:25" ht="13.5" thickBot="1" x14ac:dyDescent="0.25">
      <c r="A86" s="29" t="s">
        <v>570</v>
      </c>
      <c r="B86" s="16"/>
      <c r="C86" s="46">
        <v>280</v>
      </c>
      <c r="D86" s="47">
        <v>3.58</v>
      </c>
      <c r="E86" s="35">
        <v>17.62</v>
      </c>
      <c r="F86" s="35">
        <v>17.62</v>
      </c>
      <c r="G86" s="35">
        <v>15.88</v>
      </c>
      <c r="H86" s="35">
        <v>97</v>
      </c>
      <c r="I86" s="35">
        <f t="shared" si="3"/>
        <v>0.34642857142857142</v>
      </c>
      <c r="J86" s="46" t="s">
        <v>521</v>
      </c>
      <c r="K86" s="48" t="s">
        <v>571</v>
      </c>
      <c r="L86" s="49">
        <v>3.2000000000000002E-3</v>
      </c>
      <c r="M86" s="35">
        <v>35.25</v>
      </c>
      <c r="N86" s="35">
        <v>47.62</v>
      </c>
      <c r="O86" s="35">
        <v>40.75</v>
      </c>
      <c r="P86" s="36">
        <v>1234</v>
      </c>
      <c r="Q86" s="37">
        <v>12</v>
      </c>
      <c r="R86" s="38"/>
      <c r="S86" s="39">
        <f>IF($S$1="ASSAULT RATE",SUMIF('Loads + CPFs by TAMCN'!$C$8:$C$1000,'Ammo Pallet Calculator'!A86,'Loads + CPFs by TAMCN'!$L$8:$L$1000),0)</f>
        <v>0</v>
      </c>
      <c r="T86" s="40">
        <f>IF($S$1="SUSTAIN RATE",SUMIF('Loads + CPFs by TAMCN'!$C$8:$C$1000,'Ammo Pallet Calculator'!A86,'Loads + CPFs by TAMCN'!$M$8:$M$1000),0)</f>
        <v>0</v>
      </c>
      <c r="U86" s="41">
        <f t="shared" si="23"/>
        <v>0</v>
      </c>
      <c r="V86" s="42">
        <f t="shared" si="19"/>
        <v>0</v>
      </c>
      <c r="W86" s="42">
        <f t="shared" si="20"/>
        <v>0</v>
      </c>
      <c r="X86" s="43">
        <f t="shared" si="21"/>
        <v>0</v>
      </c>
      <c r="Y86" s="43">
        <f t="shared" si="22"/>
        <v>0</v>
      </c>
    </row>
    <row r="87" spans="1:25" ht="13.5" thickBot="1" x14ac:dyDescent="0.25">
      <c r="A87" s="29" t="s">
        <v>341</v>
      </c>
      <c r="B87" s="16"/>
      <c r="C87" s="46">
        <v>30</v>
      </c>
      <c r="D87" s="47">
        <v>7.76</v>
      </c>
      <c r="E87" s="35">
        <v>18.940000000000001</v>
      </c>
      <c r="F87" s="35">
        <v>11.25</v>
      </c>
      <c r="G87" s="35">
        <v>11.06</v>
      </c>
      <c r="H87" s="35">
        <v>51</v>
      </c>
      <c r="I87" s="35">
        <f t="shared" ref="I87:I155" si="28">(H87/C87)</f>
        <v>1.7</v>
      </c>
      <c r="J87" s="46" t="s">
        <v>572</v>
      </c>
      <c r="K87" s="48" t="s">
        <v>573</v>
      </c>
      <c r="L87" s="49">
        <v>0.372</v>
      </c>
      <c r="M87" s="35">
        <v>37.880000000000003</v>
      </c>
      <c r="N87" s="35">
        <v>45.5</v>
      </c>
      <c r="O87" s="35">
        <v>38.69</v>
      </c>
      <c r="P87" s="36">
        <v>1307</v>
      </c>
      <c r="Q87" s="37">
        <v>24</v>
      </c>
      <c r="R87" s="38"/>
      <c r="S87" s="39">
        <f>IF($S$1="ASSAULT RATE",SUMIF('Loads + CPFs by TAMCN'!$C$8:$C$1000,'Ammo Pallet Calculator'!A87,'Loads + CPFs by TAMCN'!$L$8:$L$1000),0)</f>
        <v>185.56800000000001</v>
      </c>
      <c r="T87" s="40">
        <f>IF($S$1="SUSTAIN RATE",SUMIF('Loads + CPFs by TAMCN'!$C$8:$C$1000,'Ammo Pallet Calculator'!A87,'Loads + CPFs by TAMCN'!$M$8:$M$1000),0)</f>
        <v>0</v>
      </c>
      <c r="U87" s="41">
        <f t="shared" si="23"/>
        <v>185.56800000000001</v>
      </c>
      <c r="V87" s="42">
        <f t="shared" si="19"/>
        <v>6.1856</v>
      </c>
      <c r="W87" s="42">
        <f t="shared" si="20"/>
        <v>0.25773333333333331</v>
      </c>
      <c r="X87" s="43">
        <f t="shared" si="21"/>
        <v>315.46559999999999</v>
      </c>
      <c r="Y87" s="43">
        <f t="shared" si="22"/>
        <v>69.031295999999998</v>
      </c>
    </row>
    <row r="88" spans="1:25" ht="13.5" thickBot="1" x14ac:dyDescent="0.25">
      <c r="A88" s="29" t="s">
        <v>343</v>
      </c>
      <c r="B88" s="16"/>
      <c r="C88" s="46">
        <v>16</v>
      </c>
      <c r="D88" s="47">
        <v>17.32</v>
      </c>
      <c r="E88" s="35">
        <v>14</v>
      </c>
      <c r="F88" s="35">
        <v>12.25</v>
      </c>
      <c r="G88" s="35">
        <v>7.5</v>
      </c>
      <c r="H88" s="35">
        <v>47</v>
      </c>
      <c r="I88" s="35">
        <f t="shared" si="28"/>
        <v>2.9375</v>
      </c>
      <c r="J88" s="46" t="s">
        <v>550</v>
      </c>
      <c r="K88" s="48" t="s">
        <v>574</v>
      </c>
      <c r="L88" s="49">
        <v>1.7</v>
      </c>
      <c r="M88" s="35">
        <v>42</v>
      </c>
      <c r="N88" s="35">
        <v>49</v>
      </c>
      <c r="O88" s="35">
        <v>35.5</v>
      </c>
      <c r="P88" s="36">
        <v>2152</v>
      </c>
      <c r="Q88" s="37">
        <v>48</v>
      </c>
      <c r="R88" s="38"/>
      <c r="S88" s="39">
        <f>IF($S$1="ASSAULT RATE",SUMIF('Loads + CPFs by TAMCN'!$C$8:$C$1000,'Ammo Pallet Calculator'!A88,'Loads + CPFs by TAMCN'!$L$8:$L$1000),0)</f>
        <v>9.8940000000000001</v>
      </c>
      <c r="T88" s="40">
        <f>IF($S$1="SUSTAIN RATE",SUMIF('Loads + CPFs by TAMCN'!$C$8:$C$1000,'Ammo Pallet Calculator'!A88,'Loads + CPFs by TAMCN'!$M$8:$M$1000),0)</f>
        <v>0</v>
      </c>
      <c r="U88" s="41">
        <f t="shared" si="23"/>
        <v>9.8940000000000001</v>
      </c>
      <c r="V88" s="42">
        <f t="shared" si="19"/>
        <v>0.61837500000000001</v>
      </c>
      <c r="W88" s="42">
        <f t="shared" si="20"/>
        <v>1.28828125E-2</v>
      </c>
      <c r="X88" s="43">
        <f t="shared" si="21"/>
        <v>29.063625000000002</v>
      </c>
      <c r="Y88" s="43">
        <f t="shared" si="22"/>
        <v>16.819800000000001</v>
      </c>
    </row>
    <row r="89" spans="1:25" ht="13.5" thickBot="1" x14ac:dyDescent="0.25">
      <c r="A89" s="29" t="s">
        <v>654</v>
      </c>
      <c r="B89" s="16"/>
      <c r="C89" s="46">
        <v>16</v>
      </c>
      <c r="D89" s="47">
        <v>38.700000000000003</v>
      </c>
      <c r="E89" s="35">
        <v>14.88</v>
      </c>
      <c r="F89" s="35">
        <v>13.25</v>
      </c>
      <c r="G89" s="35">
        <v>7.38</v>
      </c>
      <c r="H89" s="35">
        <v>42</v>
      </c>
      <c r="I89" s="35">
        <f t="shared" si="28"/>
        <v>2.625</v>
      </c>
      <c r="J89" s="46" t="s">
        <v>521</v>
      </c>
      <c r="K89" s="48" t="s">
        <v>575</v>
      </c>
      <c r="L89" s="49">
        <v>1.2</v>
      </c>
      <c r="M89" s="35">
        <v>40</v>
      </c>
      <c r="N89" s="35">
        <v>48</v>
      </c>
      <c r="O89" s="35">
        <v>49.75</v>
      </c>
      <c r="P89" s="36">
        <v>2355</v>
      </c>
      <c r="Q89" s="37">
        <v>54</v>
      </c>
      <c r="R89" s="38"/>
      <c r="S89" s="39">
        <f>IF($S$1="ASSAULT RATE",SUMIF('Loads + CPFs by TAMCN'!$C$8:$C$1000,'Ammo Pallet Calculator'!A89,'Loads + CPFs by TAMCN'!$L$8:$L$1000),0)</f>
        <v>0</v>
      </c>
      <c r="T89" s="40">
        <f>IF($S$1="SUSTAIN RATE",SUMIF('Loads + CPFs by TAMCN'!$C$8:$C$1000,'Ammo Pallet Calculator'!A89,'Loads + CPFs by TAMCN'!$M$8:$M$1000),0)</f>
        <v>0</v>
      </c>
      <c r="U89" s="41">
        <f t="shared" si="23"/>
        <v>0</v>
      </c>
      <c r="V89" s="42">
        <f t="shared" si="19"/>
        <v>0</v>
      </c>
      <c r="W89" s="42">
        <f t="shared" si="20"/>
        <v>0</v>
      </c>
      <c r="X89" s="43">
        <f t="shared" si="21"/>
        <v>0</v>
      </c>
      <c r="Y89" s="43">
        <f t="shared" si="22"/>
        <v>0</v>
      </c>
    </row>
    <row r="90" spans="1:25" ht="13.5" thickBot="1" x14ac:dyDescent="0.25">
      <c r="A90" s="29" t="s">
        <v>357</v>
      </c>
      <c r="B90" s="16"/>
      <c r="C90" s="46">
        <v>16</v>
      </c>
      <c r="D90" s="47">
        <v>38.700000000000003</v>
      </c>
      <c r="E90" s="35">
        <v>14.88</v>
      </c>
      <c r="F90" s="35">
        <v>13.25</v>
      </c>
      <c r="G90" s="35">
        <v>7.38</v>
      </c>
      <c r="H90" s="35">
        <v>42</v>
      </c>
      <c r="I90" s="35">
        <f t="shared" si="28"/>
        <v>2.625</v>
      </c>
      <c r="J90" s="46" t="s">
        <v>521</v>
      </c>
      <c r="K90" s="48" t="s">
        <v>575</v>
      </c>
      <c r="L90" s="49">
        <v>1.2</v>
      </c>
      <c r="M90" s="35">
        <v>40</v>
      </c>
      <c r="N90" s="35">
        <v>48</v>
      </c>
      <c r="O90" s="35">
        <v>49.75</v>
      </c>
      <c r="P90" s="36">
        <v>2355</v>
      </c>
      <c r="Q90" s="37">
        <v>54</v>
      </c>
      <c r="R90" s="38"/>
      <c r="S90" s="39">
        <f>IF($S$1="ASSAULT RATE",SUMIF('Loads + CPFs by TAMCN'!$C$8:$C$1000,'Ammo Pallet Calculator'!A90,'Loads + CPFs by TAMCN'!$L$8:$L$1000),0)</f>
        <v>29.688000000000002</v>
      </c>
      <c r="T90" s="40">
        <f>IF($S$1="SUSTAIN RATE",SUMIF('Loads + CPFs by TAMCN'!$C$8:$C$1000,'Ammo Pallet Calculator'!A90,'Loads + CPFs by TAMCN'!$M$8:$M$1000),0)</f>
        <v>0</v>
      </c>
      <c r="U90" s="41">
        <f t="shared" si="23"/>
        <v>29.688000000000002</v>
      </c>
      <c r="V90" s="42">
        <f t="shared" si="19"/>
        <v>1.8555000000000001</v>
      </c>
      <c r="W90" s="42">
        <f t="shared" si="20"/>
        <v>3.4361111111111113E-2</v>
      </c>
      <c r="X90" s="43">
        <f t="shared" si="21"/>
        <v>77.931000000000012</v>
      </c>
      <c r="Y90" s="43">
        <f t="shared" si="22"/>
        <v>35.625599999999999</v>
      </c>
    </row>
    <row r="91" spans="1:25" ht="13.5" thickBot="1" x14ac:dyDescent="0.25">
      <c r="A91" s="29" t="s">
        <v>345</v>
      </c>
      <c r="B91" s="16"/>
      <c r="C91" s="46">
        <v>50</v>
      </c>
      <c r="D91" s="47">
        <v>3.29</v>
      </c>
      <c r="E91" s="35">
        <v>19.940000000000001</v>
      </c>
      <c r="F91" s="35">
        <v>18.440000000000001</v>
      </c>
      <c r="G91" s="35">
        <v>8.31</v>
      </c>
      <c r="H91" s="35">
        <v>50</v>
      </c>
      <c r="I91" s="35">
        <f t="shared" si="28"/>
        <v>1</v>
      </c>
      <c r="J91" s="46" t="s">
        <v>521</v>
      </c>
      <c r="K91" s="48" t="s">
        <v>534</v>
      </c>
      <c r="L91" s="49">
        <v>0.13</v>
      </c>
      <c r="M91" s="35">
        <v>40</v>
      </c>
      <c r="N91" s="35">
        <v>49.88</v>
      </c>
      <c r="O91" s="35">
        <v>42.38</v>
      </c>
      <c r="P91" s="36">
        <v>1289</v>
      </c>
      <c r="Q91" s="37">
        <v>24</v>
      </c>
      <c r="R91" s="38"/>
      <c r="S91" s="39">
        <f>IF($S$1="ASSAULT RATE",SUMIF('Loads + CPFs by TAMCN'!$C$8:$C$1000,'Ammo Pallet Calculator'!A91,'Loads + CPFs by TAMCN'!$L$8:$L$1000),0)</f>
        <v>4.83</v>
      </c>
      <c r="T91" s="40">
        <f>IF($S$1="SUSTAIN RATE",SUMIF('Loads + CPFs by TAMCN'!$C$8:$C$1000,'Ammo Pallet Calculator'!A91,'Loads + CPFs by TAMCN'!$M$8:$M$1000),0)</f>
        <v>0</v>
      </c>
      <c r="U91" s="41">
        <f t="shared" si="23"/>
        <v>4.83</v>
      </c>
      <c r="V91" s="42">
        <f t="shared" si="19"/>
        <v>9.6600000000000005E-2</v>
      </c>
      <c r="W91" s="42">
        <f t="shared" si="20"/>
        <v>4.0249999999999999E-3</v>
      </c>
      <c r="X91" s="43">
        <f t="shared" si="21"/>
        <v>4.83</v>
      </c>
      <c r="Y91" s="43">
        <f t="shared" si="22"/>
        <v>0.62790000000000001</v>
      </c>
    </row>
    <row r="92" spans="1:25" ht="13.5" thickBot="1" x14ac:dyDescent="0.25">
      <c r="A92" s="29" t="s">
        <v>347</v>
      </c>
      <c r="B92" s="16"/>
      <c r="C92" s="46">
        <v>16</v>
      </c>
      <c r="D92" s="47">
        <v>33.68</v>
      </c>
      <c r="E92" s="35">
        <v>14.88</v>
      </c>
      <c r="F92" s="35">
        <v>13.25</v>
      </c>
      <c r="G92" s="35">
        <v>7.38</v>
      </c>
      <c r="H92" s="35">
        <v>42</v>
      </c>
      <c r="I92" s="35">
        <f t="shared" si="28"/>
        <v>2.625</v>
      </c>
      <c r="J92" s="46" t="s">
        <v>521</v>
      </c>
      <c r="K92" s="48" t="s">
        <v>575</v>
      </c>
      <c r="L92" s="49">
        <v>0.72</v>
      </c>
      <c r="M92" s="35">
        <v>40</v>
      </c>
      <c r="N92" s="35">
        <v>48</v>
      </c>
      <c r="O92" s="35">
        <v>49.75</v>
      </c>
      <c r="P92" s="36">
        <v>2355</v>
      </c>
      <c r="Q92" s="37">
        <v>54</v>
      </c>
      <c r="R92" s="38"/>
      <c r="S92" s="39">
        <f>IF($S$1="ASSAULT RATE",SUMIF('Loads + CPFs by TAMCN'!$C$8:$C$1000,'Ammo Pallet Calculator'!A92,'Loads + CPFs by TAMCN'!$L$8:$L$1000),0)</f>
        <v>29.688000000000002</v>
      </c>
      <c r="T92" s="40">
        <f>IF($S$1="SUSTAIN RATE",SUMIF('Loads + CPFs by TAMCN'!$C$8:$C$1000,'Ammo Pallet Calculator'!A92,'Loads + CPFs by TAMCN'!$M$8:$M$1000),0)</f>
        <v>0</v>
      </c>
      <c r="U92" s="41">
        <f t="shared" si="23"/>
        <v>29.688000000000002</v>
      </c>
      <c r="V92" s="42">
        <f t="shared" si="19"/>
        <v>1.8555000000000001</v>
      </c>
      <c r="W92" s="42">
        <f t="shared" si="20"/>
        <v>3.4361111111111113E-2</v>
      </c>
      <c r="X92" s="43">
        <f t="shared" si="21"/>
        <v>77.931000000000012</v>
      </c>
      <c r="Y92" s="43">
        <f t="shared" si="22"/>
        <v>21.375360000000001</v>
      </c>
    </row>
    <row r="93" spans="1:25" ht="13.5" thickBot="1" x14ac:dyDescent="0.25">
      <c r="A93" s="29" t="s">
        <v>349</v>
      </c>
      <c r="B93" s="16"/>
      <c r="C93" s="46">
        <v>16</v>
      </c>
      <c r="D93" s="47">
        <v>33.68</v>
      </c>
      <c r="E93" s="35">
        <v>14.88</v>
      </c>
      <c r="F93" s="35">
        <v>13.25</v>
      </c>
      <c r="G93" s="35">
        <v>7.38</v>
      </c>
      <c r="H93" s="35">
        <v>42</v>
      </c>
      <c r="I93" s="35">
        <f t="shared" si="28"/>
        <v>2.625</v>
      </c>
      <c r="J93" s="46" t="s">
        <v>521</v>
      </c>
      <c r="K93" s="48" t="s">
        <v>575</v>
      </c>
      <c r="L93" s="49">
        <v>0.72</v>
      </c>
      <c r="M93" s="35">
        <v>40</v>
      </c>
      <c r="N93" s="35">
        <v>48</v>
      </c>
      <c r="O93" s="35">
        <v>49.75</v>
      </c>
      <c r="P93" s="36">
        <v>2355</v>
      </c>
      <c r="Q93" s="37">
        <v>54</v>
      </c>
      <c r="R93" s="38"/>
      <c r="S93" s="39">
        <f>IF($S$1="ASSAULT RATE",SUMIF('Loads + CPFs by TAMCN'!$C$8:$C$1000,'Ammo Pallet Calculator'!A93,'Loads + CPFs by TAMCN'!$L$8:$L$1000),0)</f>
        <v>29.688000000000002</v>
      </c>
      <c r="T93" s="40">
        <f>IF($S$1="SUSTAIN RATE",SUMIF('Loads + CPFs by TAMCN'!$C$8:$C$1000,'Ammo Pallet Calculator'!A93,'Loads + CPFs by TAMCN'!$M$8:$M$1000),0)</f>
        <v>0</v>
      </c>
      <c r="U93" s="41">
        <f t="shared" si="23"/>
        <v>29.688000000000002</v>
      </c>
      <c r="V93" s="42">
        <f t="shared" si="19"/>
        <v>1.8555000000000001</v>
      </c>
      <c r="W93" s="42">
        <f t="shared" si="20"/>
        <v>3.4361111111111113E-2</v>
      </c>
      <c r="X93" s="43">
        <f t="shared" si="21"/>
        <v>77.931000000000012</v>
      </c>
      <c r="Y93" s="43">
        <f t="shared" si="22"/>
        <v>21.375360000000001</v>
      </c>
    </row>
    <row r="94" spans="1:25" ht="13.5" thickBot="1" x14ac:dyDescent="0.25">
      <c r="A94" s="29" t="s">
        <v>351</v>
      </c>
      <c r="B94" s="16"/>
      <c r="C94" s="46">
        <v>16</v>
      </c>
      <c r="D94" s="47">
        <v>31.93</v>
      </c>
      <c r="E94" s="35">
        <v>14.88</v>
      </c>
      <c r="F94" s="35">
        <v>13.25</v>
      </c>
      <c r="G94" s="35">
        <v>7.38</v>
      </c>
      <c r="H94" s="35">
        <v>42</v>
      </c>
      <c r="I94" s="35">
        <f t="shared" si="28"/>
        <v>2.625</v>
      </c>
      <c r="J94" s="46" t="s">
        <v>521</v>
      </c>
      <c r="K94" s="48" t="s">
        <v>575</v>
      </c>
      <c r="L94" s="49">
        <v>0.72</v>
      </c>
      <c r="M94" s="35">
        <v>40</v>
      </c>
      <c r="N94" s="35">
        <v>48</v>
      </c>
      <c r="O94" s="35">
        <v>49.75</v>
      </c>
      <c r="P94" s="36">
        <v>2355</v>
      </c>
      <c r="Q94" s="37">
        <v>54</v>
      </c>
      <c r="R94" s="38"/>
      <c r="S94" s="39">
        <f>IF($S$1="ASSAULT RATE",SUMIF('Loads + CPFs by TAMCN'!$C$8:$C$1000,'Ammo Pallet Calculator'!A94,'Loads + CPFs by TAMCN'!$L$8:$L$1000),0)</f>
        <v>2.9699999999999998</v>
      </c>
      <c r="T94" s="40">
        <f>IF($S$1="SUSTAIN RATE",SUMIF('Loads + CPFs by TAMCN'!$C$8:$C$1000,'Ammo Pallet Calculator'!A94,'Loads + CPFs by TAMCN'!$M$8:$M$1000),0)</f>
        <v>0</v>
      </c>
      <c r="U94" s="41">
        <f t="shared" si="23"/>
        <v>2.9699999999999998</v>
      </c>
      <c r="V94" s="42">
        <f t="shared" si="19"/>
        <v>0.18562499999999998</v>
      </c>
      <c r="W94" s="42">
        <f t="shared" si="20"/>
        <v>3.4374999999999996E-3</v>
      </c>
      <c r="X94" s="43">
        <f t="shared" si="21"/>
        <v>7.7962499999999997</v>
      </c>
      <c r="Y94" s="43">
        <f t="shared" si="22"/>
        <v>2.1383999999999999</v>
      </c>
    </row>
    <row r="95" spans="1:25" ht="13.5" thickBot="1" x14ac:dyDescent="0.25">
      <c r="A95" s="29" t="s">
        <v>353</v>
      </c>
      <c r="B95" s="16"/>
      <c r="C95" s="46">
        <v>16</v>
      </c>
      <c r="D95" s="47">
        <v>31.68</v>
      </c>
      <c r="E95" s="35">
        <v>14.88</v>
      </c>
      <c r="F95" s="35">
        <v>13.25</v>
      </c>
      <c r="G95" s="35">
        <v>7.38</v>
      </c>
      <c r="H95" s="35">
        <v>42</v>
      </c>
      <c r="I95" s="35">
        <f t="shared" si="28"/>
        <v>2.625</v>
      </c>
      <c r="J95" s="46" t="s">
        <v>521</v>
      </c>
      <c r="K95" s="48" t="s">
        <v>575</v>
      </c>
      <c r="L95" s="49">
        <v>0.72</v>
      </c>
      <c r="M95" s="35">
        <v>40</v>
      </c>
      <c r="N95" s="35">
        <v>48</v>
      </c>
      <c r="O95" s="35">
        <v>49.75</v>
      </c>
      <c r="P95" s="36">
        <v>2355</v>
      </c>
      <c r="Q95" s="37">
        <v>54</v>
      </c>
      <c r="R95" s="38"/>
      <c r="S95" s="39">
        <f>IF($S$1="ASSAULT RATE",SUMIF('Loads + CPFs by TAMCN'!$C$8:$C$1000,'Ammo Pallet Calculator'!A95,'Loads + CPFs by TAMCN'!$L$8:$L$1000),0)</f>
        <v>29.688000000000002</v>
      </c>
      <c r="T95" s="40">
        <f>IF($S$1="SUSTAIN RATE",SUMIF('Loads + CPFs by TAMCN'!$C$8:$C$1000,'Ammo Pallet Calculator'!A95,'Loads + CPFs by TAMCN'!$M$8:$M$1000),0)</f>
        <v>0</v>
      </c>
      <c r="U95" s="41">
        <f t="shared" si="23"/>
        <v>29.688000000000002</v>
      </c>
      <c r="V95" s="42">
        <f t="shared" si="19"/>
        <v>1.8555000000000001</v>
      </c>
      <c r="W95" s="42">
        <f t="shared" si="20"/>
        <v>3.4361111111111113E-2</v>
      </c>
      <c r="X95" s="43">
        <f t="shared" si="21"/>
        <v>77.931000000000012</v>
      </c>
      <c r="Y95" s="43">
        <f t="shared" si="22"/>
        <v>21.375360000000001</v>
      </c>
    </row>
    <row r="96" spans="1:25" ht="13.5" thickBot="1" x14ac:dyDescent="0.25">
      <c r="A96" s="29" t="s">
        <v>355</v>
      </c>
      <c r="B96" s="16"/>
      <c r="C96" s="46">
        <v>16</v>
      </c>
      <c r="D96" s="47">
        <v>25.36</v>
      </c>
      <c r="E96" s="35">
        <v>14.12</v>
      </c>
      <c r="F96" s="35">
        <v>12.38</v>
      </c>
      <c r="G96" s="35">
        <v>7.38</v>
      </c>
      <c r="H96" s="35">
        <v>31</v>
      </c>
      <c r="I96" s="35">
        <f t="shared" si="28"/>
        <v>1.9375</v>
      </c>
      <c r="J96" s="46" t="s">
        <v>521</v>
      </c>
      <c r="K96" s="48" t="s">
        <v>534</v>
      </c>
      <c r="L96" s="49">
        <v>0.75</v>
      </c>
      <c r="M96" s="35">
        <v>37.119999999999997</v>
      </c>
      <c r="N96" s="35">
        <v>45.5</v>
      </c>
      <c r="O96" s="35">
        <v>42.38</v>
      </c>
      <c r="P96" s="36">
        <v>1475</v>
      </c>
      <c r="Q96" s="37">
        <v>45</v>
      </c>
      <c r="R96" s="38"/>
      <c r="S96" s="39">
        <f>IF($S$1="ASSAULT RATE",SUMIF('Loads + CPFs by TAMCN'!$C$8:$C$1000,'Ammo Pallet Calculator'!A96,'Loads + CPFs by TAMCN'!$L$8:$L$1000),0)</f>
        <v>4.83</v>
      </c>
      <c r="T96" s="40">
        <f>IF($S$1="SUSTAIN RATE",SUMIF('Loads + CPFs by TAMCN'!$C$8:$C$1000,'Ammo Pallet Calculator'!A96,'Loads + CPFs by TAMCN'!$M$8:$M$1000),0)</f>
        <v>0</v>
      </c>
      <c r="U96" s="41">
        <f t="shared" si="23"/>
        <v>4.83</v>
      </c>
      <c r="V96" s="42">
        <f t="shared" si="19"/>
        <v>0.301875</v>
      </c>
      <c r="W96" s="42">
        <f t="shared" si="20"/>
        <v>6.7083333333333335E-3</v>
      </c>
      <c r="X96" s="43">
        <f t="shared" si="21"/>
        <v>9.3581249999999994</v>
      </c>
      <c r="Y96" s="43">
        <f t="shared" si="22"/>
        <v>3.6225000000000001</v>
      </c>
    </row>
    <row r="97" spans="1:25" ht="13.5" thickBot="1" x14ac:dyDescent="0.25">
      <c r="A97" s="29" t="s">
        <v>63</v>
      </c>
      <c r="B97" s="16"/>
      <c r="C97" s="46">
        <v>12</v>
      </c>
      <c r="D97" s="47">
        <v>35</v>
      </c>
      <c r="E97" s="35">
        <v>14.5</v>
      </c>
      <c r="F97" s="35">
        <v>12.75</v>
      </c>
      <c r="G97" s="35">
        <v>8.3800000000000008</v>
      </c>
      <c r="H97" s="35">
        <v>25</v>
      </c>
      <c r="I97" s="35">
        <f t="shared" si="28"/>
        <v>2.0833333333333335</v>
      </c>
      <c r="J97" s="46" t="s">
        <v>521</v>
      </c>
      <c r="K97" s="48" t="s">
        <v>576</v>
      </c>
      <c r="L97" s="49">
        <v>2.4899999999999999E-2</v>
      </c>
      <c r="M97" s="35">
        <v>43.88</v>
      </c>
      <c r="N97" s="35">
        <v>52.75</v>
      </c>
      <c r="O97" s="35">
        <v>39.75</v>
      </c>
      <c r="P97" s="36">
        <v>1275</v>
      </c>
      <c r="Q97" s="37">
        <v>48</v>
      </c>
      <c r="R97" s="38"/>
      <c r="S97" s="39">
        <f>IF($S$1="ASSAULT RATE",SUMIF('Loads + CPFs by TAMCN'!$C$8:$C$1000,'Ammo Pallet Calculator'!A97,'Loads + CPFs by TAMCN'!$L$8:$L$1000),0)</f>
        <v>0</v>
      </c>
      <c r="T97" s="40">
        <f>IF($S$1="SUSTAIN RATE",SUMIF('Loads + CPFs by TAMCN'!$C$8:$C$1000,'Ammo Pallet Calculator'!A97,'Loads + CPFs by TAMCN'!$M$8:$M$1000),0)</f>
        <v>0</v>
      </c>
      <c r="U97" s="41">
        <f t="shared" si="23"/>
        <v>0</v>
      </c>
      <c r="V97" s="42">
        <f t="shared" si="19"/>
        <v>0</v>
      </c>
      <c r="W97" s="42">
        <f t="shared" si="20"/>
        <v>0</v>
      </c>
      <c r="X97" s="43">
        <f t="shared" si="21"/>
        <v>0</v>
      </c>
      <c r="Y97" s="43">
        <f t="shared" si="22"/>
        <v>0</v>
      </c>
    </row>
    <row r="98" spans="1:25" ht="13.5" thickBot="1" x14ac:dyDescent="0.25">
      <c r="A98" s="29" t="s">
        <v>577</v>
      </c>
      <c r="B98" s="16"/>
      <c r="C98" s="46">
        <v>35</v>
      </c>
      <c r="D98" s="47">
        <v>26.5</v>
      </c>
      <c r="E98" s="35">
        <v>14.5</v>
      </c>
      <c r="F98" s="35">
        <v>12.75</v>
      </c>
      <c r="G98" s="35">
        <v>8.3800000000000008</v>
      </c>
      <c r="H98" s="35">
        <v>25</v>
      </c>
      <c r="I98" s="35">
        <f t="shared" si="28"/>
        <v>0.7142857142857143</v>
      </c>
      <c r="J98" s="46" t="s">
        <v>578</v>
      </c>
      <c r="K98" s="48" t="s">
        <v>547</v>
      </c>
      <c r="L98" s="49">
        <v>0</v>
      </c>
      <c r="M98" s="35">
        <v>43.88</v>
      </c>
      <c r="N98" s="35">
        <v>52.75</v>
      </c>
      <c r="O98" s="35">
        <v>39.75</v>
      </c>
      <c r="P98" s="36">
        <v>1275</v>
      </c>
      <c r="Q98" s="37">
        <v>48</v>
      </c>
      <c r="R98" s="38"/>
      <c r="S98" s="39">
        <f>IF($S$1="ASSAULT RATE",SUMIF('Loads + CPFs by TAMCN'!$C$8:$C$1000,'Ammo Pallet Calculator'!A98,'Loads + CPFs by TAMCN'!$L$8:$L$1000),0)</f>
        <v>0</v>
      </c>
      <c r="T98" s="40">
        <f>IF($S$1="SUSTAIN RATE",SUMIF('Loads + CPFs by TAMCN'!$C$8:$C$1000,'Ammo Pallet Calculator'!A98,'Loads + CPFs by TAMCN'!$M$8:$M$1000),0)</f>
        <v>0</v>
      </c>
      <c r="U98" s="41">
        <f t="shared" si="23"/>
        <v>0</v>
      </c>
      <c r="V98" s="42">
        <f t="shared" si="19"/>
        <v>0</v>
      </c>
      <c r="W98" s="42">
        <f t="shared" si="20"/>
        <v>0</v>
      </c>
      <c r="X98" s="43">
        <f t="shared" si="21"/>
        <v>0</v>
      </c>
      <c r="Y98" s="43">
        <f t="shared" si="22"/>
        <v>0</v>
      </c>
    </row>
    <row r="99" spans="1:25" ht="13.5" thickBot="1" x14ac:dyDescent="0.25">
      <c r="A99" s="29" t="s">
        <v>363</v>
      </c>
      <c r="B99" s="16"/>
      <c r="C99" s="46">
        <v>39</v>
      </c>
      <c r="D99" s="47"/>
      <c r="E99" s="35">
        <v>48</v>
      </c>
      <c r="F99" s="35">
        <v>36.75</v>
      </c>
      <c r="G99" s="35">
        <v>43.87</v>
      </c>
      <c r="H99" s="35">
        <v>756</v>
      </c>
      <c r="I99" s="35">
        <f t="shared" si="28"/>
        <v>19.384615384615383</v>
      </c>
      <c r="J99" s="46" t="s">
        <v>532</v>
      </c>
      <c r="K99" s="48" t="s">
        <v>553</v>
      </c>
      <c r="L99" s="49">
        <v>0.98321000000000003</v>
      </c>
      <c r="M99" s="35">
        <v>48</v>
      </c>
      <c r="N99" s="35">
        <v>36.75</v>
      </c>
      <c r="O99" s="35">
        <v>43.87</v>
      </c>
      <c r="P99" s="36">
        <v>756</v>
      </c>
      <c r="Q99" s="37">
        <v>39</v>
      </c>
      <c r="R99" s="38"/>
      <c r="S99" s="39">
        <f>IF($S$1="ASSAULT RATE",SUMIF('Loads + CPFs by TAMCN'!$C$8:$C$1000,'Ammo Pallet Calculator'!A99,'Loads + CPFs by TAMCN'!$L$8:$L$1000),0)</f>
        <v>16.137</v>
      </c>
      <c r="T99" s="40">
        <f>IF($S$1="SUSTAIN RATE",SUMIF('Loads + CPFs by TAMCN'!$C$8:$C$1000,'Ammo Pallet Calculator'!A99,'Loads + CPFs by TAMCN'!$M$8:$M$1000),0)</f>
        <v>0</v>
      </c>
      <c r="U99" s="41">
        <f t="shared" si="23"/>
        <v>16.137</v>
      </c>
      <c r="V99" s="42">
        <f t="shared" si="19"/>
        <v>0.41376923076923078</v>
      </c>
      <c r="W99" s="42">
        <f t="shared" si="20"/>
        <v>1.0609467455621302E-2</v>
      </c>
      <c r="X99" s="43">
        <f t="shared" si="21"/>
        <v>312.80953846153847</v>
      </c>
      <c r="Y99" s="43">
        <f t="shared" si="22"/>
        <v>15.866059770000001</v>
      </c>
    </row>
    <row r="100" spans="1:25" ht="13.5" thickBot="1" x14ac:dyDescent="0.25">
      <c r="A100" s="29" t="s">
        <v>367</v>
      </c>
      <c r="B100" s="16"/>
      <c r="C100" s="46">
        <v>6</v>
      </c>
      <c r="D100" s="47"/>
      <c r="E100" s="35">
        <v>166</v>
      </c>
      <c r="F100" s="35">
        <v>41.5</v>
      </c>
      <c r="G100" s="35">
        <v>33</v>
      </c>
      <c r="H100" s="35">
        <v>5903</v>
      </c>
      <c r="I100" s="35">
        <f t="shared" si="28"/>
        <v>983.83333333333337</v>
      </c>
      <c r="J100" s="46" t="s">
        <v>532</v>
      </c>
      <c r="K100" s="48" t="s">
        <v>553</v>
      </c>
      <c r="L100" s="49">
        <v>1884.0119</v>
      </c>
      <c r="M100" s="35">
        <v>166</v>
      </c>
      <c r="N100" s="35">
        <v>41.5</v>
      </c>
      <c r="O100" s="35">
        <v>33</v>
      </c>
      <c r="P100" s="36">
        <v>131.56</v>
      </c>
      <c r="Q100" s="37">
        <v>6</v>
      </c>
      <c r="R100" s="38"/>
      <c r="S100" s="39">
        <f>IF($S$1="ASSAULT RATE",SUMIF('Loads + CPFs by TAMCN'!$C$8:$C$1000,'Ammo Pallet Calculator'!A100,'Loads + CPFs by TAMCN'!$L$8:$L$1000),0)</f>
        <v>3.258</v>
      </c>
      <c r="T100" s="40">
        <f>IF($S$1="SUSTAIN RATE",SUMIF('Loads + CPFs by TAMCN'!$C$8:$C$1000,'Ammo Pallet Calculator'!A100,'Loads + CPFs by TAMCN'!$M$8:$M$1000),0)</f>
        <v>0</v>
      </c>
      <c r="U100" s="41">
        <f t="shared" si="23"/>
        <v>3.258</v>
      </c>
      <c r="V100" s="42">
        <f t="shared" si="19"/>
        <v>0.54300000000000004</v>
      </c>
      <c r="W100" s="42">
        <f t="shared" si="20"/>
        <v>9.0500000000000011E-2</v>
      </c>
      <c r="X100" s="43">
        <f t="shared" si="21"/>
        <v>3205.3290000000002</v>
      </c>
      <c r="Y100" s="43">
        <f t="shared" si="22"/>
        <v>6138.1107701999999</v>
      </c>
    </row>
    <row r="101" spans="1:25" ht="13.5" thickBot="1" x14ac:dyDescent="0.25">
      <c r="A101" s="29" t="s">
        <v>368</v>
      </c>
      <c r="B101" s="16"/>
      <c r="C101" s="46">
        <v>6</v>
      </c>
      <c r="D101" s="47">
        <v>1104.3800000000001</v>
      </c>
      <c r="E101" s="35">
        <v>39.380000000000003</v>
      </c>
      <c r="F101" s="35">
        <v>20.12</v>
      </c>
      <c r="G101" s="35">
        <v>16</v>
      </c>
      <c r="H101" s="35">
        <v>142</v>
      </c>
      <c r="I101" s="35">
        <f t="shared" si="28"/>
        <v>23.666666666666668</v>
      </c>
      <c r="J101" s="46" t="s">
        <v>532</v>
      </c>
      <c r="K101" s="48" t="s">
        <v>553</v>
      </c>
      <c r="L101" s="49">
        <v>3.3231600000000001</v>
      </c>
      <c r="M101" s="35">
        <v>39.380000000000003</v>
      </c>
      <c r="N101" s="35">
        <v>40.25</v>
      </c>
      <c r="O101" s="35">
        <v>37.5</v>
      </c>
      <c r="P101" s="36">
        <v>630</v>
      </c>
      <c r="Q101" s="37">
        <v>4</v>
      </c>
      <c r="R101" s="38"/>
      <c r="S101" s="39">
        <f>IF($S$1="ASSAULT RATE",SUMIF('Loads + CPFs by TAMCN'!$C$8:$C$1000,'Ammo Pallet Calculator'!A101,'Loads + CPFs by TAMCN'!$L$8:$L$1000),0)</f>
        <v>67.914000000000001</v>
      </c>
      <c r="T101" s="40">
        <f>IF($S$1="SUSTAIN RATE",SUMIF('Loads + CPFs by TAMCN'!$C$8:$C$1000,'Ammo Pallet Calculator'!A101,'Loads + CPFs by TAMCN'!$M$8:$M$1000),0)</f>
        <v>0</v>
      </c>
      <c r="U101" s="41">
        <f t="shared" si="23"/>
        <v>67.914000000000001</v>
      </c>
      <c r="V101" s="42">
        <f t="shared" si="19"/>
        <v>11.319000000000001</v>
      </c>
      <c r="W101" s="42">
        <f t="shared" si="20"/>
        <v>2.8297500000000002</v>
      </c>
      <c r="X101" s="43">
        <f t="shared" si="21"/>
        <v>1607.2980000000002</v>
      </c>
      <c r="Y101" s="43">
        <f t="shared" si="22"/>
        <v>225.68908824000002</v>
      </c>
    </row>
    <row r="102" spans="1:25" ht="13.5" thickBot="1" x14ac:dyDescent="0.25">
      <c r="A102" s="29" t="s">
        <v>370</v>
      </c>
      <c r="B102" s="16"/>
      <c r="C102" s="46">
        <v>6</v>
      </c>
      <c r="D102" s="47">
        <v>1397.92</v>
      </c>
      <c r="E102" s="35">
        <v>39.380000000000003</v>
      </c>
      <c r="F102" s="35">
        <v>20.12</v>
      </c>
      <c r="G102" s="35">
        <v>16</v>
      </c>
      <c r="H102" s="35">
        <v>142</v>
      </c>
      <c r="I102" s="35">
        <f t="shared" si="28"/>
        <v>23.666666666666668</v>
      </c>
      <c r="J102" s="46" t="s">
        <v>532</v>
      </c>
      <c r="K102" s="48" t="s">
        <v>553</v>
      </c>
      <c r="L102" s="49">
        <v>2.76</v>
      </c>
      <c r="M102" s="35">
        <v>39.380000000000003</v>
      </c>
      <c r="N102" s="35">
        <v>40.25</v>
      </c>
      <c r="O102" s="35">
        <v>37.5</v>
      </c>
      <c r="P102" s="36">
        <v>630</v>
      </c>
      <c r="Q102" s="37">
        <v>4</v>
      </c>
      <c r="R102" s="38"/>
      <c r="S102" s="39">
        <f>IF($S$1="ASSAULT RATE",SUMIF('Loads + CPFs by TAMCN'!$C$8:$C$1000,'Ammo Pallet Calculator'!A102,'Loads + CPFs by TAMCN'!$L$8:$L$1000),0)</f>
        <v>28.224</v>
      </c>
      <c r="T102" s="40">
        <f>IF($S$1="SUSTAIN RATE",SUMIF('Loads + CPFs by TAMCN'!$C$8:$C$1000,'Ammo Pallet Calculator'!A102,'Loads + CPFs by TAMCN'!$M$8:$M$1000),0)</f>
        <v>0</v>
      </c>
      <c r="U102" s="41">
        <f t="shared" si="23"/>
        <v>28.224</v>
      </c>
      <c r="V102" s="42">
        <f t="shared" si="19"/>
        <v>4.7039999999999997</v>
      </c>
      <c r="W102" s="42">
        <f t="shared" si="20"/>
        <v>1.1759999999999999</v>
      </c>
      <c r="X102" s="43">
        <f t="shared" si="21"/>
        <v>667.96799999999996</v>
      </c>
      <c r="Y102" s="43">
        <f t="shared" si="22"/>
        <v>77.898240000000001</v>
      </c>
    </row>
    <row r="103" spans="1:25" ht="13.5" thickBot="1" x14ac:dyDescent="0.25">
      <c r="A103" s="29" t="s">
        <v>796</v>
      </c>
      <c r="B103" s="16"/>
      <c r="C103" s="46">
        <v>6</v>
      </c>
      <c r="D103" s="47"/>
      <c r="E103" s="35">
        <v>166</v>
      </c>
      <c r="F103" s="35">
        <v>41.5</v>
      </c>
      <c r="G103" s="35">
        <v>33</v>
      </c>
      <c r="H103" s="35">
        <v>5903</v>
      </c>
      <c r="I103" s="35">
        <f t="shared" si="28"/>
        <v>983.83333333333337</v>
      </c>
      <c r="J103" s="46" t="s">
        <v>532</v>
      </c>
      <c r="K103" s="48" t="s">
        <v>553</v>
      </c>
      <c r="L103" s="49">
        <v>1884.0119</v>
      </c>
      <c r="M103" s="35">
        <v>166</v>
      </c>
      <c r="N103" s="35">
        <v>41.5</v>
      </c>
      <c r="O103" s="35">
        <v>33</v>
      </c>
      <c r="P103" s="36">
        <v>131.56</v>
      </c>
      <c r="Q103" s="37">
        <v>6</v>
      </c>
      <c r="R103" s="38"/>
      <c r="S103" s="39">
        <f>IF($S$1="ASSAULT RATE",SUMIF('Loads + CPFs by TAMCN'!$C$8:$C$1000,'Ammo Pallet Calculator'!A103,'Loads + CPFs by TAMCN'!$L$8:$L$1000),0)</f>
        <v>0</v>
      </c>
      <c r="T103" s="40">
        <f>IF($S$1="SUSTAIN RATE",SUMIF('Loads + CPFs by TAMCN'!$C$8:$C$1000,'Ammo Pallet Calculator'!A103,'Loads + CPFs by TAMCN'!$M$8:$M$1000),0)</f>
        <v>0</v>
      </c>
      <c r="U103" s="41">
        <f t="shared" si="23"/>
        <v>0</v>
      </c>
      <c r="V103" s="42">
        <f t="shared" si="19"/>
        <v>0</v>
      </c>
      <c r="W103" s="42">
        <f t="shared" si="20"/>
        <v>0</v>
      </c>
      <c r="X103" s="43">
        <f t="shared" si="21"/>
        <v>0</v>
      </c>
      <c r="Y103" s="43">
        <f t="shared" si="22"/>
        <v>0</v>
      </c>
    </row>
    <row r="104" spans="1:25" ht="13.5" thickBot="1" x14ac:dyDescent="0.25">
      <c r="A104" s="29" t="s">
        <v>57</v>
      </c>
      <c r="B104" s="16"/>
      <c r="C104" s="46">
        <v>1</v>
      </c>
      <c r="D104" s="47">
        <v>7986.77</v>
      </c>
      <c r="E104" s="35">
        <v>88.63</v>
      </c>
      <c r="F104" s="35">
        <v>14</v>
      </c>
      <c r="G104" s="35">
        <v>20</v>
      </c>
      <c r="H104" s="35">
        <v>238</v>
      </c>
      <c r="I104" s="35">
        <f t="shared" si="28"/>
        <v>238</v>
      </c>
      <c r="J104" s="46" t="s">
        <v>560</v>
      </c>
      <c r="K104" s="48" t="s">
        <v>579</v>
      </c>
      <c r="L104" s="49">
        <v>46.044102000000002</v>
      </c>
      <c r="M104" s="35">
        <v>92</v>
      </c>
      <c r="N104" s="35">
        <v>28</v>
      </c>
      <c r="O104" s="35">
        <v>21.25</v>
      </c>
      <c r="P104" s="36">
        <v>547</v>
      </c>
      <c r="Q104" s="37">
        <v>2</v>
      </c>
      <c r="R104" s="38"/>
      <c r="S104" s="39">
        <f>IF($S$1="ASSAULT RATE",SUMIF('Loads + CPFs by TAMCN'!$C$8:$C$1000,'Ammo Pallet Calculator'!A104,'Loads + CPFs by TAMCN'!$L$8:$L$1000),0)</f>
        <v>23.625999999999998</v>
      </c>
      <c r="T104" s="40">
        <f>IF($S$1="SUSTAIN RATE",SUMIF('Loads + CPFs by TAMCN'!$C$8:$C$1000,'Ammo Pallet Calculator'!A104,'Loads + CPFs by TAMCN'!$M$8:$M$1000),0)</f>
        <v>0</v>
      </c>
      <c r="U104" s="41">
        <f t="shared" si="23"/>
        <v>23.625999999999998</v>
      </c>
      <c r="V104" s="42">
        <f t="shared" si="19"/>
        <v>23.625999999999998</v>
      </c>
      <c r="W104" s="42">
        <f t="shared" si="20"/>
        <v>11.812999999999999</v>
      </c>
      <c r="X104" s="43">
        <f t="shared" si="21"/>
        <v>5622.9879999999994</v>
      </c>
      <c r="Y104" s="43">
        <f t="shared" si="22"/>
        <v>1087.8379538520001</v>
      </c>
    </row>
    <row r="105" spans="1:25" ht="13.5" thickBot="1" x14ac:dyDescent="0.25">
      <c r="A105" s="29" t="s">
        <v>834</v>
      </c>
      <c r="B105" s="16"/>
      <c r="C105" s="46">
        <v>1</v>
      </c>
      <c r="D105" s="47"/>
      <c r="E105" s="35">
        <v>93</v>
      </c>
      <c r="F105" s="35">
        <v>53.75</v>
      </c>
      <c r="G105" s="35">
        <v>24</v>
      </c>
      <c r="H105" s="35">
        <v>69.430000000000007</v>
      </c>
      <c r="I105" s="35">
        <f t="shared" si="28"/>
        <v>69.430000000000007</v>
      </c>
      <c r="J105" s="46" t="s">
        <v>554</v>
      </c>
      <c r="K105" s="48" t="s">
        <v>602</v>
      </c>
      <c r="L105" s="49">
        <v>1750</v>
      </c>
      <c r="M105" s="35">
        <v>93</v>
      </c>
      <c r="N105" s="35">
        <v>53.75</v>
      </c>
      <c r="O105" s="35">
        <v>24</v>
      </c>
      <c r="P105" s="36">
        <v>3000</v>
      </c>
      <c r="Q105" s="37">
        <v>1</v>
      </c>
      <c r="R105" s="38"/>
      <c r="S105" s="39">
        <f>IF($S$1="ASSAULT RATE",SUMIF('Loads + CPFs by TAMCN'!$C$8:$C$1000,'Ammo Pallet Calculator'!A105,'Loads + CPFs by TAMCN'!$L$8:$L$1000),0)</f>
        <v>0</v>
      </c>
      <c r="T105" s="40">
        <f>IF($S$1="SUSTAIN RATE",SUMIF('Loads + CPFs by TAMCN'!$C$8:$C$1000,'Ammo Pallet Calculator'!A105,'Loads + CPFs by TAMCN'!$M$8:$M$1000),0)</f>
        <v>0</v>
      </c>
      <c r="U105" s="41">
        <f t="shared" si="23"/>
        <v>0</v>
      </c>
      <c r="V105" s="42">
        <f t="shared" si="19"/>
        <v>0</v>
      </c>
      <c r="W105" s="42">
        <f t="shared" si="20"/>
        <v>0</v>
      </c>
      <c r="X105" s="43">
        <f t="shared" si="21"/>
        <v>0</v>
      </c>
      <c r="Y105" s="43">
        <f t="shared" si="22"/>
        <v>0</v>
      </c>
    </row>
    <row r="106" spans="1:25" ht="13.5" thickBot="1" x14ac:dyDescent="0.25">
      <c r="A106" s="29" t="s">
        <v>580</v>
      </c>
      <c r="B106" s="16"/>
      <c r="C106" s="46">
        <v>4</v>
      </c>
      <c r="D106" s="47">
        <v>63.53</v>
      </c>
      <c r="E106" s="35">
        <v>15.5</v>
      </c>
      <c r="F106" s="35">
        <v>9.75</v>
      </c>
      <c r="G106" s="35">
        <v>8.2799999999999994</v>
      </c>
      <c r="H106" s="35">
        <v>44.8</v>
      </c>
      <c r="I106" s="35">
        <f t="shared" si="28"/>
        <v>11.2</v>
      </c>
      <c r="J106" s="46" t="s">
        <v>581</v>
      </c>
      <c r="K106" s="48" t="s">
        <v>582</v>
      </c>
      <c r="L106" s="49">
        <v>1.28948</v>
      </c>
      <c r="M106" s="35">
        <v>41.4</v>
      </c>
      <c r="N106" s="35">
        <v>48.75</v>
      </c>
      <c r="O106" s="35">
        <v>36.5</v>
      </c>
      <c r="P106" s="36">
        <v>2327</v>
      </c>
      <c r="Q106" s="37">
        <v>50</v>
      </c>
      <c r="R106" s="38"/>
      <c r="S106" s="39">
        <f>IF($S$1="ASSAULT RATE",SUMIF('Loads + CPFs by TAMCN'!$C$8:$C$1000,'Ammo Pallet Calculator'!A106,'Loads + CPFs by TAMCN'!$L$8:$L$1000),0)</f>
        <v>0</v>
      </c>
      <c r="T106" s="40">
        <f>IF($S$1="SUSTAIN RATE",SUMIF('Loads + CPFs by TAMCN'!$C$8:$C$1000,'Ammo Pallet Calculator'!A106,'Loads + CPFs by TAMCN'!$M$8:$M$1000),0)</f>
        <v>0</v>
      </c>
      <c r="U106" s="41">
        <f t="shared" si="23"/>
        <v>0</v>
      </c>
      <c r="V106" s="42">
        <f t="shared" si="19"/>
        <v>0</v>
      </c>
      <c r="W106" s="42">
        <f t="shared" si="20"/>
        <v>0</v>
      </c>
      <c r="X106" s="43">
        <f t="shared" si="21"/>
        <v>0</v>
      </c>
      <c r="Y106" s="43">
        <f t="shared" si="22"/>
        <v>0</v>
      </c>
    </row>
    <row r="107" spans="1:25" ht="13.5" thickBot="1" x14ac:dyDescent="0.25">
      <c r="A107" s="29" t="s">
        <v>583</v>
      </c>
      <c r="B107" s="16"/>
      <c r="C107" s="46">
        <v>6</v>
      </c>
      <c r="D107" s="47">
        <v>131.47</v>
      </c>
      <c r="E107" s="35">
        <v>15.12</v>
      </c>
      <c r="F107" s="35">
        <v>10.62</v>
      </c>
      <c r="G107" s="35">
        <v>12.88</v>
      </c>
      <c r="H107" s="35">
        <v>53</v>
      </c>
      <c r="I107" s="35">
        <f t="shared" si="28"/>
        <v>8.8333333333333339</v>
      </c>
      <c r="J107" s="46" t="s">
        <v>554</v>
      </c>
      <c r="K107" s="48" t="s">
        <v>584</v>
      </c>
      <c r="L107" s="49">
        <v>1.5</v>
      </c>
      <c r="M107" s="35">
        <v>42.5</v>
      </c>
      <c r="N107" s="35">
        <v>53</v>
      </c>
      <c r="O107" s="35">
        <v>35.75</v>
      </c>
      <c r="P107" s="36">
        <v>1793</v>
      </c>
      <c r="Q107" s="37">
        <v>32</v>
      </c>
      <c r="R107" s="16"/>
      <c r="S107" s="39">
        <f>IF($S$1="ASSAULT RATE",SUMIF('Loads + CPFs by TAMCN'!$C$8:$C$1000,'Ammo Pallet Calculator'!A107,'Loads + CPFs by TAMCN'!$L$8:$L$1000),0)</f>
        <v>0</v>
      </c>
      <c r="T107" s="40">
        <f>IF($S$1="SUSTAIN RATE",SUMIF('Loads + CPFs by TAMCN'!$C$8:$C$1000,'Ammo Pallet Calculator'!A107,'Loads + CPFs by TAMCN'!$M$8:$M$1000),0)</f>
        <v>0</v>
      </c>
      <c r="U107" s="41">
        <f t="shared" si="23"/>
        <v>0</v>
      </c>
      <c r="V107" s="42">
        <f t="shared" si="19"/>
        <v>0</v>
      </c>
      <c r="W107" s="42">
        <f t="shared" si="20"/>
        <v>0</v>
      </c>
      <c r="X107" s="43">
        <f t="shared" si="21"/>
        <v>0</v>
      </c>
      <c r="Y107" s="43">
        <f t="shared" si="22"/>
        <v>0</v>
      </c>
    </row>
    <row r="108" spans="1:25" ht="13.5" thickBot="1" x14ac:dyDescent="0.25">
      <c r="A108" s="29" t="s">
        <v>585</v>
      </c>
      <c r="B108" s="16"/>
      <c r="C108" s="46">
        <v>1</v>
      </c>
      <c r="D108" s="47">
        <v>71.040000000000006</v>
      </c>
      <c r="E108" s="35">
        <v>17.75</v>
      </c>
      <c r="F108" s="35">
        <v>15</v>
      </c>
      <c r="G108" s="35">
        <v>7.25</v>
      </c>
      <c r="H108" s="35">
        <v>48.8</v>
      </c>
      <c r="I108" s="35">
        <f t="shared" si="28"/>
        <v>48.8</v>
      </c>
      <c r="J108" s="46" t="s">
        <v>554</v>
      </c>
      <c r="K108" s="48" t="s">
        <v>584</v>
      </c>
      <c r="L108" s="49">
        <v>22.799999</v>
      </c>
      <c r="M108" s="35">
        <v>36.25</v>
      </c>
      <c r="N108" s="35">
        <v>45.5</v>
      </c>
      <c r="O108" s="35">
        <v>41</v>
      </c>
      <c r="P108" s="36">
        <v>1540</v>
      </c>
      <c r="Q108" s="37">
        <v>30</v>
      </c>
      <c r="R108" s="38"/>
      <c r="S108" s="39">
        <f>IF($S$1="ASSAULT RATE",SUMIF('Loads + CPFs by TAMCN'!$C$8:$C$1000,'Ammo Pallet Calculator'!A108,'Loads + CPFs by TAMCN'!$L$8:$L$1000),0)</f>
        <v>0</v>
      </c>
      <c r="T108" s="40">
        <f>IF($S$1="SUSTAIN RATE",SUMIF('Loads + CPFs by TAMCN'!$C$8:$C$1000,'Ammo Pallet Calculator'!A108,'Loads + CPFs by TAMCN'!$M$8:$M$1000),0)</f>
        <v>0</v>
      </c>
      <c r="U108" s="41">
        <f t="shared" si="23"/>
        <v>0</v>
      </c>
      <c r="V108" s="42">
        <f t="shared" si="19"/>
        <v>0</v>
      </c>
      <c r="W108" s="42">
        <f t="shared" si="20"/>
        <v>0</v>
      </c>
      <c r="X108" s="43">
        <f t="shared" si="21"/>
        <v>0</v>
      </c>
      <c r="Y108" s="43">
        <f t="shared" si="22"/>
        <v>0</v>
      </c>
    </row>
    <row r="109" spans="1:25" ht="13.5" thickBot="1" x14ac:dyDescent="0.25">
      <c r="A109" s="29" t="s">
        <v>586</v>
      </c>
      <c r="B109" s="16"/>
      <c r="C109" s="46">
        <v>4</v>
      </c>
      <c r="D109" s="47">
        <v>106.67</v>
      </c>
      <c r="E109" s="35">
        <v>29.18</v>
      </c>
      <c r="F109" s="35">
        <v>12.68</v>
      </c>
      <c r="G109" s="35">
        <v>12.75</v>
      </c>
      <c r="H109" s="35">
        <v>90</v>
      </c>
      <c r="I109" s="35">
        <f t="shared" si="28"/>
        <v>22.5</v>
      </c>
      <c r="J109" s="46" t="s">
        <v>554</v>
      </c>
      <c r="K109" s="48" t="s">
        <v>584</v>
      </c>
      <c r="L109" s="49">
        <v>10.8</v>
      </c>
      <c r="M109" s="35">
        <v>29.18</v>
      </c>
      <c r="N109" s="35">
        <v>38.06</v>
      </c>
      <c r="O109" s="35">
        <v>31.25</v>
      </c>
      <c r="P109" s="36">
        <v>573</v>
      </c>
      <c r="Q109" s="37">
        <v>6</v>
      </c>
      <c r="R109" s="38"/>
      <c r="S109" s="39">
        <f>IF($S$1="ASSAULT RATE",SUMIF('Loads + CPFs by TAMCN'!$C$8:$C$1000,'Ammo Pallet Calculator'!A109,'Loads + CPFs by TAMCN'!$L$8:$L$1000),0)</f>
        <v>0</v>
      </c>
      <c r="T109" s="40">
        <f>IF($S$1="SUSTAIN RATE",SUMIF('Loads + CPFs by TAMCN'!$C$8:$C$1000,'Ammo Pallet Calculator'!A109,'Loads + CPFs by TAMCN'!$M$8:$M$1000),0)</f>
        <v>0</v>
      </c>
      <c r="U109" s="41">
        <f t="shared" si="23"/>
        <v>0</v>
      </c>
      <c r="V109" s="42">
        <f t="shared" si="19"/>
        <v>0</v>
      </c>
      <c r="W109" s="42">
        <f t="shared" si="20"/>
        <v>0</v>
      </c>
      <c r="X109" s="43">
        <f t="shared" si="21"/>
        <v>0</v>
      </c>
      <c r="Y109" s="43">
        <f t="shared" si="22"/>
        <v>0</v>
      </c>
    </row>
    <row r="110" spans="1:25" ht="13.5" thickBot="1" x14ac:dyDescent="0.25">
      <c r="A110" s="29" t="s">
        <v>587</v>
      </c>
      <c r="B110" s="16"/>
      <c r="C110" s="46">
        <v>2</v>
      </c>
      <c r="D110" s="47">
        <v>107.72</v>
      </c>
      <c r="E110" s="35">
        <v>16.309999999999999</v>
      </c>
      <c r="F110" s="35">
        <v>10.31</v>
      </c>
      <c r="G110" s="35">
        <v>15.97</v>
      </c>
      <c r="H110" s="35">
        <v>72</v>
      </c>
      <c r="I110" s="35">
        <f t="shared" si="28"/>
        <v>36</v>
      </c>
      <c r="J110" s="46" t="s">
        <v>554</v>
      </c>
      <c r="K110" s="48" t="s">
        <v>584</v>
      </c>
      <c r="L110" s="49">
        <v>21</v>
      </c>
      <c r="M110" s="35">
        <v>41.25</v>
      </c>
      <c r="N110" s="35">
        <v>48.94</v>
      </c>
      <c r="O110" s="35">
        <v>53.4</v>
      </c>
      <c r="P110" s="36">
        <v>2679</v>
      </c>
      <c r="Q110" s="37">
        <v>36</v>
      </c>
      <c r="R110" s="38"/>
      <c r="S110" s="39">
        <f>IF($S$1="ASSAULT RATE",SUMIF('Loads + CPFs by TAMCN'!$C$8:$C$1000,'Ammo Pallet Calculator'!A110,'Loads + CPFs by TAMCN'!$L$8:$L$1000),0)</f>
        <v>0</v>
      </c>
      <c r="T110" s="40">
        <f>IF($S$1="SUSTAIN RATE",SUMIF('Loads + CPFs by TAMCN'!$C$8:$C$1000,'Ammo Pallet Calculator'!A110,'Loads + CPFs by TAMCN'!$M$8:$M$1000),0)</f>
        <v>0</v>
      </c>
      <c r="U110" s="41">
        <f t="shared" si="23"/>
        <v>0</v>
      </c>
      <c r="V110" s="42">
        <f t="shared" si="19"/>
        <v>0</v>
      </c>
      <c r="W110" s="42">
        <f t="shared" si="20"/>
        <v>0</v>
      </c>
      <c r="X110" s="43">
        <f t="shared" si="21"/>
        <v>0</v>
      </c>
      <c r="Y110" s="43">
        <f t="shared" si="22"/>
        <v>0</v>
      </c>
    </row>
    <row r="111" spans="1:25" ht="13.5" thickBot="1" x14ac:dyDescent="0.25">
      <c r="A111" s="29" t="s">
        <v>588</v>
      </c>
      <c r="B111" s="16"/>
      <c r="C111" s="46">
        <v>1</v>
      </c>
      <c r="D111" s="47">
        <v>168.38</v>
      </c>
      <c r="E111" s="35">
        <v>18.12</v>
      </c>
      <c r="F111" s="35">
        <v>16.62</v>
      </c>
      <c r="G111" s="35">
        <v>17.62</v>
      </c>
      <c r="H111" s="35">
        <v>65</v>
      </c>
      <c r="I111" s="35">
        <f t="shared" si="28"/>
        <v>65</v>
      </c>
      <c r="J111" s="46" t="s">
        <v>521</v>
      </c>
      <c r="K111" s="48" t="s">
        <v>589</v>
      </c>
      <c r="L111" s="49">
        <v>27.51</v>
      </c>
      <c r="M111" s="35">
        <v>36.25</v>
      </c>
      <c r="N111" s="35">
        <v>49.88</v>
      </c>
      <c r="O111" s="35">
        <v>40.75</v>
      </c>
      <c r="P111" s="36">
        <v>900</v>
      </c>
      <c r="Q111" s="37">
        <v>12</v>
      </c>
      <c r="R111" s="38"/>
      <c r="S111" s="39">
        <f>IF($S$1="ASSAULT RATE",SUMIF('Loads + CPFs by TAMCN'!$C$8:$C$1000,'Ammo Pallet Calculator'!A111,'Loads + CPFs by TAMCN'!$L$8:$L$1000),0)</f>
        <v>0</v>
      </c>
      <c r="T111" s="40">
        <f>IF($S$1="SUSTAIN RATE",SUMIF('Loads + CPFs by TAMCN'!$C$8:$C$1000,'Ammo Pallet Calculator'!A111,'Loads + CPFs by TAMCN'!$M$8:$M$1000),0)</f>
        <v>0</v>
      </c>
      <c r="U111" s="41">
        <f t="shared" si="23"/>
        <v>0</v>
      </c>
      <c r="V111" s="42">
        <f t="shared" si="19"/>
        <v>0</v>
      </c>
      <c r="W111" s="42">
        <f t="shared" si="20"/>
        <v>0</v>
      </c>
      <c r="X111" s="43">
        <f t="shared" si="21"/>
        <v>0</v>
      </c>
      <c r="Y111" s="43">
        <f t="shared" si="22"/>
        <v>0</v>
      </c>
    </row>
    <row r="112" spans="1:25" ht="13.5" thickBot="1" x14ac:dyDescent="0.25">
      <c r="A112" s="29" t="s">
        <v>376</v>
      </c>
      <c r="B112" s="16"/>
      <c r="C112" s="46">
        <v>36</v>
      </c>
      <c r="D112" s="47">
        <v>36.520000000000003</v>
      </c>
      <c r="E112" s="35">
        <v>14.44</v>
      </c>
      <c r="F112" s="35">
        <v>12.53</v>
      </c>
      <c r="G112" s="35">
        <v>8.5</v>
      </c>
      <c r="H112" s="35">
        <v>35.200000000000003</v>
      </c>
      <c r="I112" s="35">
        <f t="shared" si="28"/>
        <v>0.97777777777777786</v>
      </c>
      <c r="J112" s="46" t="s">
        <v>521</v>
      </c>
      <c r="K112" s="48" t="s">
        <v>590</v>
      </c>
      <c r="L112" s="49">
        <v>0.21249999999999999</v>
      </c>
      <c r="M112" s="35">
        <v>43.31</v>
      </c>
      <c r="N112" s="35">
        <v>50.12</v>
      </c>
      <c r="O112" s="35">
        <v>38</v>
      </c>
      <c r="P112" s="36">
        <v>2187</v>
      </c>
      <c r="Q112" s="37">
        <v>60</v>
      </c>
      <c r="R112" s="38"/>
      <c r="S112" s="39">
        <f>IF($S$1="ASSAULT RATE",SUMIF('Loads + CPFs by TAMCN'!$C$8:$C$1000,'Ammo Pallet Calculator'!A112,'Loads + CPFs by TAMCN'!$L$8:$L$1000),0)</f>
        <v>0.99</v>
      </c>
      <c r="T112" s="40">
        <f>IF($S$1="SUSTAIN RATE",SUMIF('Loads + CPFs by TAMCN'!$C$8:$C$1000,'Ammo Pallet Calculator'!A112,'Loads + CPFs by TAMCN'!$M$8:$M$1000),0)</f>
        <v>0</v>
      </c>
      <c r="U112" s="41">
        <f t="shared" si="23"/>
        <v>0.99</v>
      </c>
      <c r="V112" s="42">
        <f t="shared" si="19"/>
        <v>2.75E-2</v>
      </c>
      <c r="W112" s="42">
        <f t="shared" si="20"/>
        <v>4.5833333333333332E-4</v>
      </c>
      <c r="X112" s="43">
        <f t="shared" si="21"/>
        <v>0.96800000000000008</v>
      </c>
      <c r="Y112" s="43">
        <f t="shared" si="22"/>
        <v>0.21037500000000001</v>
      </c>
    </row>
    <row r="113" spans="1:25" ht="13.5" thickBot="1" x14ac:dyDescent="0.25">
      <c r="A113" s="29" t="s">
        <v>591</v>
      </c>
      <c r="B113" s="16"/>
      <c r="C113" s="46">
        <v>700</v>
      </c>
      <c r="D113" s="47">
        <v>1.57</v>
      </c>
      <c r="E113" s="35">
        <v>14.44</v>
      </c>
      <c r="F113" s="35">
        <v>12.53</v>
      </c>
      <c r="G113" s="35">
        <v>8.5</v>
      </c>
      <c r="H113" s="35">
        <v>64</v>
      </c>
      <c r="I113" s="35">
        <f t="shared" si="28"/>
        <v>9.1428571428571428E-2</v>
      </c>
      <c r="J113" s="46" t="s">
        <v>550</v>
      </c>
      <c r="K113" s="48" t="s">
        <v>592</v>
      </c>
      <c r="L113" s="49">
        <v>1.2800000000000001E-2</v>
      </c>
      <c r="M113" s="35">
        <v>43.31</v>
      </c>
      <c r="N113" s="35">
        <v>50.12</v>
      </c>
      <c r="O113" s="35">
        <v>38</v>
      </c>
      <c r="P113" s="36">
        <v>3147</v>
      </c>
      <c r="Q113" s="37">
        <v>48</v>
      </c>
      <c r="R113" s="38"/>
      <c r="S113" s="39">
        <f>IF($S$1="ASSAULT RATE",SUMIF('Loads + CPFs by TAMCN'!$C$8:$C$1000,'Ammo Pallet Calculator'!A113,'Loads + CPFs by TAMCN'!$L$8:$L$1000),0)</f>
        <v>0</v>
      </c>
      <c r="T113" s="40">
        <f>IF($S$1="SUSTAIN RATE",SUMIF('Loads + CPFs by TAMCN'!$C$8:$C$1000,'Ammo Pallet Calculator'!A113,'Loads + CPFs by TAMCN'!$M$8:$M$1000),0)</f>
        <v>0</v>
      </c>
      <c r="U113" s="41">
        <f t="shared" si="23"/>
        <v>0</v>
      </c>
      <c r="V113" s="42">
        <f t="shared" si="19"/>
        <v>0</v>
      </c>
      <c r="W113" s="42">
        <f t="shared" si="20"/>
        <v>0</v>
      </c>
      <c r="X113" s="43">
        <f t="shared" si="21"/>
        <v>0</v>
      </c>
      <c r="Y113" s="43">
        <f t="shared" si="22"/>
        <v>0</v>
      </c>
    </row>
    <row r="114" spans="1:25" ht="13.5" thickBot="1" x14ac:dyDescent="0.25">
      <c r="A114" s="29" t="s">
        <v>593</v>
      </c>
      <c r="B114" s="16"/>
      <c r="C114" s="46">
        <v>700</v>
      </c>
      <c r="D114" s="47">
        <v>1.57</v>
      </c>
      <c r="E114" s="35">
        <v>14.44</v>
      </c>
      <c r="F114" s="35">
        <v>12.53</v>
      </c>
      <c r="G114" s="35">
        <v>8.5</v>
      </c>
      <c r="H114" s="35">
        <v>64</v>
      </c>
      <c r="I114" s="35">
        <f t="shared" si="28"/>
        <v>9.1428571428571428E-2</v>
      </c>
      <c r="J114" s="46" t="s">
        <v>550</v>
      </c>
      <c r="K114" s="48" t="s">
        <v>592</v>
      </c>
      <c r="L114" s="49">
        <v>1.2800000000000001E-2</v>
      </c>
      <c r="M114" s="35">
        <v>43.31</v>
      </c>
      <c r="N114" s="35">
        <v>50.12</v>
      </c>
      <c r="O114" s="35">
        <v>38</v>
      </c>
      <c r="P114" s="36">
        <v>3147</v>
      </c>
      <c r="Q114" s="37">
        <v>48</v>
      </c>
      <c r="R114" s="38"/>
      <c r="S114" s="39">
        <f>IF($S$1="ASSAULT RATE",SUMIF('Loads + CPFs by TAMCN'!$C$8:$C$1000,'Ammo Pallet Calculator'!A114,'Loads + CPFs by TAMCN'!$L$8:$L$1000),0)</f>
        <v>0</v>
      </c>
      <c r="T114" s="40">
        <f>IF($S$1="SUSTAIN RATE",SUMIF('Loads + CPFs by TAMCN'!$C$8:$C$1000,'Ammo Pallet Calculator'!A114,'Loads + CPFs by TAMCN'!$M$8:$M$1000),0)</f>
        <v>0</v>
      </c>
      <c r="U114" s="41">
        <f t="shared" si="23"/>
        <v>0</v>
      </c>
      <c r="V114" s="42">
        <f t="shared" si="19"/>
        <v>0</v>
      </c>
      <c r="W114" s="42">
        <f t="shared" si="20"/>
        <v>0</v>
      </c>
      <c r="X114" s="43">
        <f t="shared" si="21"/>
        <v>0</v>
      </c>
      <c r="Y114" s="43">
        <f t="shared" si="22"/>
        <v>0</v>
      </c>
    </row>
    <row r="115" spans="1:25" ht="13.5" thickBot="1" x14ac:dyDescent="0.25">
      <c r="A115" s="29" t="s">
        <v>380</v>
      </c>
      <c r="B115" s="16"/>
      <c r="C115" s="46">
        <v>36</v>
      </c>
      <c r="D115" s="47">
        <v>28.97</v>
      </c>
      <c r="E115" s="35">
        <v>14.88</v>
      </c>
      <c r="F115" s="35">
        <v>13.38</v>
      </c>
      <c r="G115" s="35">
        <v>13.18</v>
      </c>
      <c r="H115" s="35">
        <v>68</v>
      </c>
      <c r="I115" s="35">
        <f t="shared" si="28"/>
        <v>1.8888888888888888</v>
      </c>
      <c r="J115" s="46" t="s">
        <v>550</v>
      </c>
      <c r="K115" s="48" t="s">
        <v>592</v>
      </c>
      <c r="L115" s="49">
        <v>0.28087000000000001</v>
      </c>
      <c r="M115" s="35">
        <v>40.119999999999997</v>
      </c>
      <c r="N115" s="35">
        <v>52.75</v>
      </c>
      <c r="O115" s="35">
        <v>50.12</v>
      </c>
      <c r="P115" s="36">
        <v>2539</v>
      </c>
      <c r="Q115" s="37">
        <v>36</v>
      </c>
      <c r="R115" s="38"/>
      <c r="S115" s="39">
        <f>IF($S$1="ASSAULT RATE",SUMIF('Loads + CPFs by TAMCN'!$C$8:$C$1000,'Ammo Pallet Calculator'!A115,'Loads + CPFs by TAMCN'!$L$8:$L$1000),0)</f>
        <v>29.688000000000002</v>
      </c>
      <c r="T115" s="40">
        <f>IF($S$1="SUSTAIN RATE",SUMIF('Loads + CPFs by TAMCN'!$C$8:$C$1000,'Ammo Pallet Calculator'!A115,'Loads + CPFs by TAMCN'!$M$8:$M$1000),0)</f>
        <v>0</v>
      </c>
      <c r="U115" s="41">
        <f t="shared" si="23"/>
        <v>29.688000000000002</v>
      </c>
      <c r="V115" s="42">
        <f t="shared" si="19"/>
        <v>0.82466666666666677</v>
      </c>
      <c r="W115" s="42">
        <f t="shared" si="20"/>
        <v>2.2907407407407411E-2</v>
      </c>
      <c r="X115" s="43">
        <f t="shared" si="21"/>
        <v>56.077333333333343</v>
      </c>
      <c r="Y115" s="43">
        <f t="shared" si="22"/>
        <v>8.3384685600000008</v>
      </c>
    </row>
    <row r="116" spans="1:25" ht="13.5" thickBot="1" x14ac:dyDescent="0.25">
      <c r="A116" s="29" t="s">
        <v>382</v>
      </c>
      <c r="B116" s="16"/>
      <c r="C116" s="46">
        <v>36</v>
      </c>
      <c r="D116" s="47">
        <v>45.76</v>
      </c>
      <c r="E116" s="35">
        <v>14.88</v>
      </c>
      <c r="F116" s="35">
        <v>13.38</v>
      </c>
      <c r="G116" s="35">
        <v>13.18</v>
      </c>
      <c r="H116" s="35">
        <v>68</v>
      </c>
      <c r="I116" s="35">
        <f t="shared" si="28"/>
        <v>1.8888888888888888</v>
      </c>
      <c r="J116" s="46" t="s">
        <v>550</v>
      </c>
      <c r="K116" s="48" t="s">
        <v>594</v>
      </c>
      <c r="L116" s="49">
        <v>0.32</v>
      </c>
      <c r="M116" s="35">
        <v>40.119999999999997</v>
      </c>
      <c r="N116" s="35">
        <v>52.75</v>
      </c>
      <c r="O116" s="35">
        <v>50.12</v>
      </c>
      <c r="P116" s="36">
        <v>2539</v>
      </c>
      <c r="Q116" s="37">
        <v>36</v>
      </c>
      <c r="R116" s="38"/>
      <c r="S116" s="39">
        <f>IF($S$1="ASSAULT RATE",SUMIF('Loads + CPFs by TAMCN'!$C$8:$C$1000,'Ammo Pallet Calculator'!A116,'Loads + CPFs by TAMCN'!$L$8:$L$1000),0)</f>
        <v>29.688000000000002</v>
      </c>
      <c r="T116" s="40">
        <f>IF($S$1="SUSTAIN RATE",SUMIF('Loads + CPFs by TAMCN'!$C$8:$C$1000,'Ammo Pallet Calculator'!A116,'Loads + CPFs by TAMCN'!$M$8:$M$1000),0)</f>
        <v>0</v>
      </c>
      <c r="U116" s="41">
        <f t="shared" si="23"/>
        <v>29.688000000000002</v>
      </c>
      <c r="V116" s="42">
        <f t="shared" si="19"/>
        <v>0.82466666666666677</v>
      </c>
      <c r="W116" s="42">
        <f t="shared" si="20"/>
        <v>2.2907407407407411E-2</v>
      </c>
      <c r="X116" s="43">
        <f t="shared" si="21"/>
        <v>56.077333333333343</v>
      </c>
      <c r="Y116" s="43">
        <f t="shared" si="22"/>
        <v>9.500160000000001</v>
      </c>
    </row>
    <row r="117" spans="1:25" ht="13.5" thickBot="1" x14ac:dyDescent="0.25">
      <c r="A117" s="29" t="s">
        <v>384</v>
      </c>
      <c r="B117" s="16"/>
      <c r="C117" s="46">
        <v>36</v>
      </c>
      <c r="D117" s="47">
        <v>34.24</v>
      </c>
      <c r="E117" s="35">
        <v>14.88</v>
      </c>
      <c r="F117" s="35">
        <v>13.38</v>
      </c>
      <c r="G117" s="35">
        <v>13.18</v>
      </c>
      <c r="H117" s="35">
        <v>68</v>
      </c>
      <c r="I117" s="35">
        <f t="shared" si="28"/>
        <v>1.8888888888888888</v>
      </c>
      <c r="J117" s="46" t="s">
        <v>550</v>
      </c>
      <c r="K117" s="48" t="s">
        <v>594</v>
      </c>
      <c r="L117" s="49">
        <v>0.28999999999999998</v>
      </c>
      <c r="M117" s="35">
        <v>40.119999999999997</v>
      </c>
      <c r="N117" s="35">
        <v>52.75</v>
      </c>
      <c r="O117" s="35">
        <v>50.12</v>
      </c>
      <c r="P117" s="36">
        <v>2539</v>
      </c>
      <c r="Q117" s="37">
        <v>36</v>
      </c>
      <c r="R117" s="38"/>
      <c r="S117" s="39">
        <f>IF($S$1="ASSAULT RATE",SUMIF('Loads + CPFs by TAMCN'!$C$8:$C$1000,'Ammo Pallet Calculator'!A117,'Loads + CPFs by TAMCN'!$L$8:$L$1000),0)</f>
        <v>5.9399999999999995</v>
      </c>
      <c r="T117" s="40">
        <f>IF($S$1="SUSTAIN RATE",SUMIF('Loads + CPFs by TAMCN'!$C$8:$C$1000,'Ammo Pallet Calculator'!A117,'Loads + CPFs by TAMCN'!$M$8:$M$1000),0)</f>
        <v>0</v>
      </c>
      <c r="U117" s="41">
        <f t="shared" si="23"/>
        <v>5.9399999999999995</v>
      </c>
      <c r="V117" s="42">
        <f t="shared" si="19"/>
        <v>0.16499999999999998</v>
      </c>
      <c r="W117" s="42">
        <f t="shared" si="20"/>
        <v>4.5833333333333325E-3</v>
      </c>
      <c r="X117" s="43">
        <f t="shared" si="21"/>
        <v>11.219999999999999</v>
      </c>
      <c r="Y117" s="43">
        <f t="shared" si="22"/>
        <v>1.7225999999999997</v>
      </c>
    </row>
    <row r="118" spans="1:25" ht="13.5" thickBot="1" x14ac:dyDescent="0.25">
      <c r="A118" s="29" t="s">
        <v>386</v>
      </c>
      <c r="B118" s="16"/>
      <c r="C118" s="46">
        <v>36</v>
      </c>
      <c r="D118" s="47">
        <v>46.19</v>
      </c>
      <c r="E118" s="35">
        <v>14.88</v>
      </c>
      <c r="F118" s="35">
        <v>13.38</v>
      </c>
      <c r="G118" s="35">
        <v>13.18</v>
      </c>
      <c r="H118" s="35">
        <v>68</v>
      </c>
      <c r="I118" s="35">
        <f t="shared" si="28"/>
        <v>1.8888888888888888</v>
      </c>
      <c r="J118" s="46" t="s">
        <v>550</v>
      </c>
      <c r="K118" s="48" t="s">
        <v>592</v>
      </c>
      <c r="L118" s="49">
        <v>0.28087000000000001</v>
      </c>
      <c r="M118" s="35">
        <v>40.119999999999997</v>
      </c>
      <c r="N118" s="35">
        <v>52.75</v>
      </c>
      <c r="O118" s="35">
        <v>50.12</v>
      </c>
      <c r="P118" s="36">
        <v>2539</v>
      </c>
      <c r="Q118" s="37">
        <v>36</v>
      </c>
      <c r="R118" s="38"/>
      <c r="S118" s="39">
        <f>IF($S$1="ASSAULT RATE",SUMIF('Loads + CPFs by TAMCN'!$C$8:$C$1000,'Ammo Pallet Calculator'!A118,'Loads + CPFs by TAMCN'!$L$8:$L$1000),0)</f>
        <v>59.382000000000005</v>
      </c>
      <c r="T118" s="40">
        <f>IF($S$1="SUSTAIN RATE",SUMIF('Loads + CPFs by TAMCN'!$C$8:$C$1000,'Ammo Pallet Calculator'!A118,'Loads + CPFs by TAMCN'!$M$8:$M$1000),0)</f>
        <v>0</v>
      </c>
      <c r="U118" s="41">
        <f t="shared" si="23"/>
        <v>59.382000000000005</v>
      </c>
      <c r="V118" s="42">
        <f t="shared" si="19"/>
        <v>1.6495000000000002</v>
      </c>
      <c r="W118" s="42">
        <f t="shared" si="20"/>
        <v>4.5819444444444447E-2</v>
      </c>
      <c r="X118" s="43">
        <f t="shared" si="21"/>
        <v>112.16600000000001</v>
      </c>
      <c r="Y118" s="43">
        <f t="shared" si="22"/>
        <v>16.67862234</v>
      </c>
    </row>
    <row r="119" spans="1:25" ht="13.5" thickBot="1" x14ac:dyDescent="0.25">
      <c r="A119" s="29" t="s">
        <v>388</v>
      </c>
      <c r="B119" s="16"/>
      <c r="C119" s="46">
        <v>36</v>
      </c>
      <c r="D119" s="47">
        <v>45.76</v>
      </c>
      <c r="E119" s="35">
        <v>14.88</v>
      </c>
      <c r="F119" s="35">
        <v>13.38</v>
      </c>
      <c r="G119" s="35">
        <v>13.18</v>
      </c>
      <c r="H119" s="35">
        <v>68</v>
      </c>
      <c r="I119" s="35">
        <f t="shared" si="28"/>
        <v>1.8888888888888888</v>
      </c>
      <c r="J119" s="46" t="s">
        <v>550</v>
      </c>
      <c r="K119" s="48" t="s">
        <v>592</v>
      </c>
      <c r="L119" s="49">
        <v>0.27500000000000002</v>
      </c>
      <c r="M119" s="35">
        <v>40.119999999999997</v>
      </c>
      <c r="N119" s="35">
        <v>52.75</v>
      </c>
      <c r="O119" s="35">
        <v>50.12</v>
      </c>
      <c r="P119" s="36">
        <v>2539</v>
      </c>
      <c r="Q119" s="37">
        <v>36</v>
      </c>
      <c r="R119" s="38"/>
      <c r="S119" s="39">
        <f>IF($S$1="ASSAULT RATE",SUMIF('Loads + CPFs by TAMCN'!$C$8:$C$1000,'Ammo Pallet Calculator'!A119,'Loads + CPFs by TAMCN'!$L$8:$L$1000),0)</f>
        <v>29.688000000000002</v>
      </c>
      <c r="T119" s="40">
        <f>IF($S$1="SUSTAIN RATE",SUMIF('Loads + CPFs by TAMCN'!$C$8:$C$1000,'Ammo Pallet Calculator'!A119,'Loads + CPFs by TAMCN'!$M$8:$M$1000),0)</f>
        <v>0</v>
      </c>
      <c r="U119" s="41">
        <f t="shared" si="23"/>
        <v>29.688000000000002</v>
      </c>
      <c r="V119" s="42">
        <f t="shared" si="19"/>
        <v>0.82466666666666677</v>
      </c>
      <c r="W119" s="42">
        <f t="shared" si="20"/>
        <v>2.2907407407407411E-2</v>
      </c>
      <c r="X119" s="43">
        <f t="shared" si="21"/>
        <v>56.077333333333343</v>
      </c>
      <c r="Y119" s="43">
        <f t="shared" si="22"/>
        <v>8.164200000000001</v>
      </c>
    </row>
    <row r="120" spans="1:25" ht="13.5" thickBot="1" x14ac:dyDescent="0.25">
      <c r="A120" s="29" t="s">
        <v>595</v>
      </c>
      <c r="B120" s="16"/>
      <c r="C120" s="46">
        <v>36</v>
      </c>
      <c r="D120" s="47">
        <v>34.24</v>
      </c>
      <c r="E120" s="35">
        <v>14.88</v>
      </c>
      <c r="F120" s="35">
        <v>13.38</v>
      </c>
      <c r="G120" s="35">
        <v>13.18</v>
      </c>
      <c r="H120" s="35">
        <v>68</v>
      </c>
      <c r="I120" s="35">
        <f t="shared" si="28"/>
        <v>1.8888888888888888</v>
      </c>
      <c r="J120" s="46" t="s">
        <v>550</v>
      </c>
      <c r="K120" s="48" t="s">
        <v>592</v>
      </c>
      <c r="L120" s="49">
        <v>0.21926999999999999</v>
      </c>
      <c r="M120" s="35">
        <v>40.119999999999997</v>
      </c>
      <c r="N120" s="35">
        <v>52.75</v>
      </c>
      <c r="O120" s="35">
        <v>50.12</v>
      </c>
      <c r="P120" s="36">
        <v>2539</v>
      </c>
      <c r="Q120" s="37">
        <v>36</v>
      </c>
      <c r="R120" s="38"/>
      <c r="S120" s="39">
        <f>IF($S$1="ASSAULT RATE",SUMIF('Loads + CPFs by TAMCN'!$C$8:$C$1000,'Ammo Pallet Calculator'!A120,'Loads + CPFs by TAMCN'!$L$8:$L$1000),0)</f>
        <v>0</v>
      </c>
      <c r="T120" s="40">
        <f>IF($S$1="SUSTAIN RATE",SUMIF('Loads + CPFs by TAMCN'!$C$8:$C$1000,'Ammo Pallet Calculator'!A120,'Loads + CPFs by TAMCN'!$M$8:$M$1000),0)</f>
        <v>0</v>
      </c>
      <c r="U120" s="41">
        <f t="shared" si="23"/>
        <v>0</v>
      </c>
      <c r="V120" s="42">
        <f t="shared" si="19"/>
        <v>0</v>
      </c>
      <c r="W120" s="42">
        <f t="shared" si="20"/>
        <v>0</v>
      </c>
      <c r="X120" s="43">
        <f t="shared" si="21"/>
        <v>0</v>
      </c>
      <c r="Y120" s="43">
        <f t="shared" si="22"/>
        <v>0</v>
      </c>
    </row>
    <row r="121" spans="1:25" ht="13.5" thickBot="1" x14ac:dyDescent="0.25">
      <c r="A121" s="29" t="s">
        <v>596</v>
      </c>
      <c r="B121" s="16"/>
      <c r="C121" s="46">
        <v>36</v>
      </c>
      <c r="D121" s="47">
        <v>34.24</v>
      </c>
      <c r="E121" s="35">
        <v>14.88</v>
      </c>
      <c r="F121" s="35">
        <v>13.38</v>
      </c>
      <c r="G121" s="35">
        <v>13.18</v>
      </c>
      <c r="H121" s="35">
        <v>68</v>
      </c>
      <c r="I121" s="35">
        <f t="shared" si="28"/>
        <v>1.8888888888888888</v>
      </c>
      <c r="J121" s="46" t="s">
        <v>550</v>
      </c>
      <c r="K121" s="48" t="s">
        <v>592</v>
      </c>
      <c r="L121" s="49">
        <v>0.21926999999999999</v>
      </c>
      <c r="M121" s="35">
        <v>40.119999999999997</v>
      </c>
      <c r="N121" s="35">
        <v>52.75</v>
      </c>
      <c r="O121" s="35">
        <v>50.12</v>
      </c>
      <c r="P121" s="36">
        <v>2539</v>
      </c>
      <c r="Q121" s="37">
        <v>36</v>
      </c>
      <c r="R121" s="38"/>
      <c r="S121" s="39">
        <f>IF($S$1="ASSAULT RATE",SUMIF('Loads + CPFs by TAMCN'!$C$8:$C$1000,'Ammo Pallet Calculator'!A121,'Loads + CPFs by TAMCN'!$L$8:$L$1000),0)</f>
        <v>0</v>
      </c>
      <c r="T121" s="40">
        <f>IF($S$1="SUSTAIN RATE",SUMIF('Loads + CPFs by TAMCN'!$C$8:$C$1000,'Ammo Pallet Calculator'!A121,'Loads + CPFs by TAMCN'!$M$8:$M$1000),0)</f>
        <v>0</v>
      </c>
      <c r="U121" s="41">
        <f t="shared" si="23"/>
        <v>0</v>
      </c>
      <c r="V121" s="42">
        <f t="shared" si="19"/>
        <v>0</v>
      </c>
      <c r="W121" s="42">
        <f t="shared" si="20"/>
        <v>0</v>
      </c>
      <c r="X121" s="43">
        <f t="shared" si="21"/>
        <v>0</v>
      </c>
      <c r="Y121" s="43">
        <f t="shared" si="22"/>
        <v>0</v>
      </c>
    </row>
    <row r="122" spans="1:25" ht="13.5" thickBot="1" x14ac:dyDescent="0.25">
      <c r="A122" s="29" t="s">
        <v>597</v>
      </c>
      <c r="B122" s="16"/>
      <c r="C122" s="46">
        <v>700</v>
      </c>
      <c r="D122" s="47">
        <v>1.57</v>
      </c>
      <c r="E122" s="35">
        <v>14.44</v>
      </c>
      <c r="F122" s="35">
        <v>12.53</v>
      </c>
      <c r="G122" s="35">
        <v>8.5</v>
      </c>
      <c r="H122" s="35">
        <v>64</v>
      </c>
      <c r="I122" s="35">
        <f t="shared" si="28"/>
        <v>9.1428571428571428E-2</v>
      </c>
      <c r="J122" s="46" t="s">
        <v>550</v>
      </c>
      <c r="K122" s="48" t="s">
        <v>592</v>
      </c>
      <c r="L122" s="49">
        <v>1.2800000000000001E-2</v>
      </c>
      <c r="M122" s="35">
        <v>43.31</v>
      </c>
      <c r="N122" s="35">
        <v>50.12</v>
      </c>
      <c r="O122" s="35">
        <v>38</v>
      </c>
      <c r="P122" s="36">
        <v>3147</v>
      </c>
      <c r="Q122" s="37">
        <v>48</v>
      </c>
      <c r="R122" s="38"/>
      <c r="S122" s="39">
        <f>IF($S$1="ASSAULT RATE",SUMIF('Loads + CPFs by TAMCN'!$C$8:$C$1000,'Ammo Pallet Calculator'!A122,'Loads + CPFs by TAMCN'!$L$8:$L$1000),0)</f>
        <v>0</v>
      </c>
      <c r="T122" s="40">
        <f>IF($S$1="SUSTAIN RATE",SUMIF('Loads + CPFs by TAMCN'!$C$8:$C$1000,'Ammo Pallet Calculator'!A122,'Loads + CPFs by TAMCN'!$M$8:$M$1000),0)</f>
        <v>0</v>
      </c>
      <c r="U122" s="41">
        <f t="shared" si="23"/>
        <v>0</v>
      </c>
      <c r="V122" s="42">
        <f t="shared" si="19"/>
        <v>0</v>
      </c>
      <c r="W122" s="42">
        <f t="shared" si="20"/>
        <v>0</v>
      </c>
      <c r="X122" s="43">
        <f t="shared" si="21"/>
        <v>0</v>
      </c>
      <c r="Y122" s="43">
        <f t="shared" si="22"/>
        <v>0</v>
      </c>
    </row>
    <row r="123" spans="1:25" ht="13.5" thickBot="1" x14ac:dyDescent="0.25">
      <c r="A123" s="29" t="s">
        <v>390</v>
      </c>
      <c r="B123" s="16"/>
      <c r="C123" s="46">
        <v>32</v>
      </c>
      <c r="D123" s="47">
        <v>30.29</v>
      </c>
      <c r="E123" s="35">
        <v>16.25</v>
      </c>
      <c r="F123" s="35">
        <v>15</v>
      </c>
      <c r="G123" s="35">
        <v>12.5</v>
      </c>
      <c r="H123" s="35">
        <v>46.5</v>
      </c>
      <c r="I123" s="35">
        <f t="shared" si="28"/>
        <v>1.453125</v>
      </c>
      <c r="J123" s="46" t="s">
        <v>550</v>
      </c>
      <c r="K123" s="48" t="s">
        <v>598</v>
      </c>
      <c r="L123" s="49">
        <v>0.31030999999999997</v>
      </c>
      <c r="M123" s="35">
        <v>37.5</v>
      </c>
      <c r="N123" s="35">
        <v>48.75</v>
      </c>
      <c r="O123" s="35">
        <v>35.5</v>
      </c>
      <c r="P123" s="36">
        <v>918</v>
      </c>
      <c r="Q123" s="37">
        <v>18</v>
      </c>
      <c r="R123" s="38"/>
      <c r="S123" s="39">
        <f>IF($S$1="ASSAULT RATE",SUMIF('Loads + CPFs by TAMCN'!$C$8:$C$1000,'Ammo Pallet Calculator'!A123,'Loads + CPFs by TAMCN'!$L$8:$L$1000),0)</f>
        <v>79.176000000000002</v>
      </c>
      <c r="T123" s="40">
        <f>IF($S$1="SUSTAIN RATE",SUMIF('Loads + CPFs by TAMCN'!$C$8:$C$1000,'Ammo Pallet Calculator'!A123,'Loads + CPFs by TAMCN'!$M$8:$M$1000),0)</f>
        <v>0</v>
      </c>
      <c r="U123" s="41">
        <f t="shared" si="23"/>
        <v>79.176000000000002</v>
      </c>
      <c r="V123" s="42">
        <f t="shared" si="19"/>
        <v>2.4742500000000001</v>
      </c>
      <c r="W123" s="42">
        <f t="shared" si="20"/>
        <v>0.13745833333333335</v>
      </c>
      <c r="X123" s="43">
        <f t="shared" si="21"/>
        <v>115.05262500000001</v>
      </c>
      <c r="Y123" s="43">
        <f t="shared" si="22"/>
        <v>24.56910456</v>
      </c>
    </row>
    <row r="124" spans="1:25" ht="13.5" thickBot="1" x14ac:dyDescent="0.25">
      <c r="A124" s="29" t="s">
        <v>599</v>
      </c>
      <c r="B124" s="16"/>
      <c r="C124" s="46">
        <v>700</v>
      </c>
      <c r="D124" s="47">
        <v>2.2799999999999998</v>
      </c>
      <c r="E124" s="35">
        <v>14.88</v>
      </c>
      <c r="F124" s="35">
        <v>13.38</v>
      </c>
      <c r="G124" s="35">
        <v>13.18</v>
      </c>
      <c r="H124" s="35">
        <v>68</v>
      </c>
      <c r="I124" s="35">
        <f t="shared" si="28"/>
        <v>9.7142857142857142E-2</v>
      </c>
      <c r="J124" s="46" t="s">
        <v>578</v>
      </c>
      <c r="K124" s="48" t="s">
        <v>600</v>
      </c>
      <c r="L124" s="49">
        <v>0</v>
      </c>
      <c r="M124" s="35">
        <v>43.31</v>
      </c>
      <c r="N124" s="35">
        <v>50.12</v>
      </c>
      <c r="O124" s="35">
        <v>38</v>
      </c>
      <c r="P124" s="36">
        <v>3147</v>
      </c>
      <c r="Q124" s="55">
        <v>48</v>
      </c>
      <c r="R124" s="38"/>
      <c r="S124" s="39">
        <f>IF($S$1="ASSAULT RATE",SUMIF('Loads + CPFs by TAMCN'!$C$8:$C$1000,'Ammo Pallet Calculator'!A124,'Loads + CPFs by TAMCN'!$L$8:$L$1000),0)</f>
        <v>0</v>
      </c>
      <c r="T124" s="40">
        <f>IF($S$1="SUSTAIN RATE",SUMIF('Loads + CPFs by TAMCN'!$C$8:$C$1000,'Ammo Pallet Calculator'!A124,'Loads + CPFs by TAMCN'!$M$8:$M$1000),0)</f>
        <v>0</v>
      </c>
      <c r="U124" s="41">
        <f t="shared" si="23"/>
        <v>0</v>
      </c>
      <c r="V124" s="42">
        <f t="shared" si="19"/>
        <v>0</v>
      </c>
      <c r="W124" s="42">
        <f t="shared" si="20"/>
        <v>0</v>
      </c>
      <c r="X124" s="43">
        <f t="shared" si="21"/>
        <v>0</v>
      </c>
      <c r="Y124" s="43">
        <f t="shared" si="22"/>
        <v>0</v>
      </c>
    </row>
    <row r="125" spans="1:25" ht="13.5" thickBot="1" x14ac:dyDescent="0.25">
      <c r="A125" s="29" t="s">
        <v>601</v>
      </c>
      <c r="B125" s="16"/>
      <c r="C125" s="46">
        <v>30</v>
      </c>
      <c r="D125" s="47">
        <v>19.100000000000001</v>
      </c>
      <c r="E125" s="35">
        <v>13.75</v>
      </c>
      <c r="F125" s="35">
        <v>11.56</v>
      </c>
      <c r="G125" s="35">
        <v>7.94</v>
      </c>
      <c r="H125" s="35">
        <v>47</v>
      </c>
      <c r="I125" s="35">
        <f t="shared" si="28"/>
        <v>1.5666666666666667</v>
      </c>
      <c r="J125" s="46" t="s">
        <v>554</v>
      </c>
      <c r="K125" s="48" t="s">
        <v>602</v>
      </c>
      <c r="L125" s="49">
        <v>1.25</v>
      </c>
      <c r="M125" s="35">
        <v>41.25</v>
      </c>
      <c r="N125" s="35">
        <v>48</v>
      </c>
      <c r="O125" s="35">
        <v>40.119999999999997</v>
      </c>
      <c r="P125" s="36">
        <v>1800</v>
      </c>
      <c r="Q125" s="37">
        <v>36</v>
      </c>
      <c r="R125" s="38"/>
      <c r="S125" s="39">
        <f>IF($S$1="ASSAULT RATE",SUMIF('Loads + CPFs by TAMCN'!$C$8:$C$1000,'Ammo Pallet Calculator'!A125,'Loads + CPFs by TAMCN'!$L$8:$L$1000),0)</f>
        <v>0</v>
      </c>
      <c r="T125" s="40">
        <f>IF($S$1="SUSTAIN RATE",SUMIF('Loads + CPFs by TAMCN'!$C$8:$C$1000,'Ammo Pallet Calculator'!A125,'Loads + CPFs by TAMCN'!$M$8:$M$1000),0)</f>
        <v>0</v>
      </c>
      <c r="U125" s="41">
        <f t="shared" si="23"/>
        <v>0</v>
      </c>
      <c r="V125" s="42">
        <f t="shared" si="19"/>
        <v>0</v>
      </c>
      <c r="W125" s="42">
        <f t="shared" si="20"/>
        <v>0</v>
      </c>
      <c r="X125" s="43">
        <f t="shared" si="21"/>
        <v>0</v>
      </c>
      <c r="Y125" s="43">
        <f t="shared" si="22"/>
        <v>0</v>
      </c>
    </row>
    <row r="126" spans="1:25" ht="13.5" thickBot="1" x14ac:dyDescent="0.25">
      <c r="A126" s="29" t="s">
        <v>392</v>
      </c>
      <c r="B126" s="16"/>
      <c r="C126" s="46">
        <v>1</v>
      </c>
      <c r="D126" s="47">
        <v>555.67999999999995</v>
      </c>
      <c r="E126" s="35">
        <v>65.62</v>
      </c>
      <c r="F126" s="35">
        <v>15.31</v>
      </c>
      <c r="G126" s="35">
        <v>7</v>
      </c>
      <c r="H126" s="35">
        <v>198</v>
      </c>
      <c r="I126" s="35">
        <f t="shared" si="28"/>
        <v>198</v>
      </c>
      <c r="J126" s="46" t="s">
        <v>554</v>
      </c>
      <c r="K126" s="48" t="s">
        <v>603</v>
      </c>
      <c r="L126" s="49">
        <v>107.2</v>
      </c>
      <c r="M126" s="35">
        <v>30.62</v>
      </c>
      <c r="N126" s="35">
        <v>65.62</v>
      </c>
      <c r="O126" s="35">
        <v>33.75</v>
      </c>
      <c r="P126" s="36">
        <v>1631</v>
      </c>
      <c r="Q126" s="37">
        <v>8</v>
      </c>
      <c r="R126" s="38"/>
      <c r="S126" s="39">
        <f>IF($S$1="ASSAULT RATE",SUMIF('Loads + CPFs by TAMCN'!$C$8:$C$1000,'Ammo Pallet Calculator'!A126,'Loads + CPFs by TAMCN'!$L$8:$L$1000),0)</f>
        <v>0</v>
      </c>
      <c r="T126" s="40">
        <f>IF($S$1="SUSTAIN RATE",SUMIF('Loads + CPFs by TAMCN'!$C$8:$C$1000,'Ammo Pallet Calculator'!A126,'Loads + CPFs by TAMCN'!$M$8:$M$1000),0)</f>
        <v>0</v>
      </c>
      <c r="U126" s="41">
        <f t="shared" si="23"/>
        <v>0</v>
      </c>
      <c r="V126" s="42">
        <f t="shared" si="19"/>
        <v>0</v>
      </c>
      <c r="W126" s="42">
        <f t="shared" si="20"/>
        <v>0</v>
      </c>
      <c r="X126" s="43">
        <f t="shared" si="21"/>
        <v>0</v>
      </c>
      <c r="Y126" s="43">
        <f t="shared" si="22"/>
        <v>0</v>
      </c>
    </row>
    <row r="127" spans="1:25" ht="13.5" thickBot="1" x14ac:dyDescent="0.25">
      <c r="A127" s="29" t="s">
        <v>604</v>
      </c>
      <c r="B127" s="16"/>
      <c r="C127" s="46">
        <v>192</v>
      </c>
      <c r="D127" s="47">
        <v>1.83</v>
      </c>
      <c r="E127" s="35">
        <v>18</v>
      </c>
      <c r="F127" s="35">
        <v>16.62</v>
      </c>
      <c r="G127" s="35">
        <v>9.75</v>
      </c>
      <c r="H127" s="35">
        <v>82</v>
      </c>
      <c r="I127" s="35">
        <f t="shared" si="28"/>
        <v>0.42708333333333331</v>
      </c>
      <c r="J127" s="46" t="s">
        <v>554</v>
      </c>
      <c r="K127" s="48" t="s">
        <v>602</v>
      </c>
      <c r="L127" s="49">
        <v>0.25</v>
      </c>
      <c r="M127" s="35">
        <v>36</v>
      </c>
      <c r="N127" s="35">
        <v>49.88</v>
      </c>
      <c r="O127" s="35">
        <v>44.5</v>
      </c>
      <c r="P127" s="36">
        <v>2100</v>
      </c>
      <c r="Q127" s="37">
        <v>24</v>
      </c>
      <c r="R127" s="38"/>
      <c r="S127" s="39">
        <f>IF($S$1="ASSAULT RATE",SUMIF('Loads + CPFs by TAMCN'!$C$8:$C$1000,'Ammo Pallet Calculator'!A127,'Loads + CPFs by TAMCN'!$L$8:$L$1000),0)</f>
        <v>0</v>
      </c>
      <c r="T127" s="40">
        <f>IF($S$1="SUSTAIN RATE",SUMIF('Loads + CPFs by TAMCN'!$C$8:$C$1000,'Ammo Pallet Calculator'!A127,'Loads + CPFs by TAMCN'!$M$8:$M$1000),0)</f>
        <v>0</v>
      </c>
      <c r="U127" s="41">
        <f t="shared" si="23"/>
        <v>0</v>
      </c>
      <c r="V127" s="42">
        <f t="shared" si="19"/>
        <v>0</v>
      </c>
      <c r="W127" s="42">
        <f t="shared" si="20"/>
        <v>0</v>
      </c>
      <c r="X127" s="43">
        <f t="shared" si="21"/>
        <v>0</v>
      </c>
      <c r="Y127" s="43">
        <f t="shared" si="22"/>
        <v>0</v>
      </c>
    </row>
    <row r="128" spans="1:25" ht="13.5" thickBot="1" x14ac:dyDescent="0.25">
      <c r="A128" s="29" t="s">
        <v>394</v>
      </c>
      <c r="B128" s="16"/>
      <c r="C128" s="46">
        <v>50</v>
      </c>
      <c r="D128" s="47">
        <v>5.5</v>
      </c>
      <c r="E128" s="35">
        <v>22.62</v>
      </c>
      <c r="F128" s="35">
        <v>11.31</v>
      </c>
      <c r="G128" s="35">
        <v>9.5299999999999994</v>
      </c>
      <c r="H128" s="35">
        <v>71.5</v>
      </c>
      <c r="I128" s="35">
        <f t="shared" si="28"/>
        <v>1.43</v>
      </c>
      <c r="J128" s="46" t="s">
        <v>554</v>
      </c>
      <c r="K128" s="48" t="s">
        <v>602</v>
      </c>
      <c r="L128" s="49">
        <v>1</v>
      </c>
      <c r="M128" s="35">
        <v>38.119999999999997</v>
      </c>
      <c r="N128" s="35">
        <v>45.5</v>
      </c>
      <c r="O128" s="35">
        <v>39.44</v>
      </c>
      <c r="P128" s="36">
        <v>1788</v>
      </c>
      <c r="Q128" s="37">
        <v>24</v>
      </c>
      <c r="R128" s="38"/>
      <c r="S128" s="39">
        <f>IF($S$1="ASSAULT RATE",SUMIF('Loads + CPFs by TAMCN'!$C$8:$C$1000,'Ammo Pallet Calculator'!A128,'Loads + CPFs by TAMCN'!$L$8:$L$1000),0)</f>
        <v>0</v>
      </c>
      <c r="T128" s="40">
        <f>IF($S$1="SUSTAIN RATE",SUMIF('Loads + CPFs by TAMCN'!$C$8:$C$1000,'Ammo Pallet Calculator'!A128,'Loads + CPFs by TAMCN'!$M$8:$M$1000),0)</f>
        <v>0</v>
      </c>
      <c r="U128" s="41">
        <f t="shared" si="23"/>
        <v>0</v>
      </c>
      <c r="V128" s="42">
        <f t="shared" si="19"/>
        <v>0</v>
      </c>
      <c r="W128" s="42">
        <f t="shared" si="20"/>
        <v>0</v>
      </c>
      <c r="X128" s="43">
        <f t="shared" si="21"/>
        <v>0</v>
      </c>
      <c r="Y128" s="43">
        <f t="shared" si="22"/>
        <v>0</v>
      </c>
    </row>
    <row r="129" spans="1:25" ht="13.5" thickBot="1" x14ac:dyDescent="0.25">
      <c r="A129" s="29" t="s">
        <v>396</v>
      </c>
      <c r="B129" s="16"/>
      <c r="C129" s="46">
        <v>1</v>
      </c>
      <c r="D129" s="47">
        <v>466.13</v>
      </c>
      <c r="E129" s="35">
        <v>27.44</v>
      </c>
      <c r="F129" s="35">
        <v>8.75</v>
      </c>
      <c r="G129" s="35">
        <v>9.75</v>
      </c>
      <c r="H129" s="35">
        <v>59</v>
      </c>
      <c r="I129" s="35">
        <f t="shared" si="28"/>
        <v>59</v>
      </c>
      <c r="J129" s="46" t="s">
        <v>554</v>
      </c>
      <c r="K129" s="48" t="s">
        <v>602</v>
      </c>
      <c r="L129" s="49">
        <v>40.43</v>
      </c>
      <c r="M129" s="35">
        <v>43.75</v>
      </c>
      <c r="N129" s="35">
        <v>54.88</v>
      </c>
      <c r="O129" s="35">
        <v>34.75</v>
      </c>
      <c r="P129" s="36">
        <v>1870</v>
      </c>
      <c r="Q129" s="37">
        <v>30</v>
      </c>
      <c r="R129" s="38"/>
      <c r="S129" s="39">
        <f>IF($S$1="ASSAULT RATE",SUMIF('Loads + CPFs by TAMCN'!$C$8:$C$1000,'Ammo Pallet Calculator'!A129,'Loads + CPFs by TAMCN'!$L$8:$L$1000),0)</f>
        <v>0</v>
      </c>
      <c r="T129" s="40">
        <f>IF($S$1="SUSTAIN RATE",SUMIF('Loads + CPFs by TAMCN'!$C$8:$C$1000,'Ammo Pallet Calculator'!A129,'Loads + CPFs by TAMCN'!$M$8:$M$1000),0)</f>
        <v>0</v>
      </c>
      <c r="U129" s="41">
        <f t="shared" si="23"/>
        <v>0</v>
      </c>
      <c r="V129" s="42">
        <f t="shared" si="19"/>
        <v>0</v>
      </c>
      <c r="W129" s="42">
        <f t="shared" si="20"/>
        <v>0</v>
      </c>
      <c r="X129" s="43">
        <f t="shared" si="21"/>
        <v>0</v>
      </c>
      <c r="Y129" s="43">
        <f t="shared" si="22"/>
        <v>0</v>
      </c>
    </row>
    <row r="130" spans="1:25" ht="13.5" thickBot="1" x14ac:dyDescent="0.25">
      <c r="A130" s="29" t="s">
        <v>398</v>
      </c>
      <c r="B130" s="16"/>
      <c r="C130" s="46">
        <v>96</v>
      </c>
      <c r="D130" s="47">
        <v>8.73</v>
      </c>
      <c r="E130" s="35">
        <v>17.38</v>
      </c>
      <c r="F130" s="35">
        <v>11.5</v>
      </c>
      <c r="G130" s="35">
        <v>8.1199999999999992</v>
      </c>
      <c r="H130" s="35">
        <v>30.3</v>
      </c>
      <c r="I130" s="35">
        <f t="shared" si="28"/>
        <v>0.31562499999999999</v>
      </c>
      <c r="J130" s="46" t="s">
        <v>605</v>
      </c>
      <c r="K130" s="48" t="s">
        <v>606</v>
      </c>
      <c r="L130" s="49">
        <v>2.8E-3</v>
      </c>
      <c r="M130" s="35">
        <v>35</v>
      </c>
      <c r="N130" s="35">
        <v>46</v>
      </c>
      <c r="O130" s="35">
        <v>38</v>
      </c>
      <c r="P130" s="36">
        <v>1031</v>
      </c>
      <c r="Q130" s="37">
        <v>32</v>
      </c>
      <c r="R130" s="16"/>
      <c r="S130" s="39">
        <f>IF($S$1="ASSAULT RATE",SUMIF('Loads + CPFs by TAMCN'!$C$8:$C$1000,'Ammo Pallet Calculator'!A130,'Loads + CPFs by TAMCN'!$L$8:$L$1000),0)</f>
        <v>0</v>
      </c>
      <c r="T130" s="40">
        <f>IF($S$1="SUSTAIN RATE",SUMIF('Loads + CPFs by TAMCN'!$C$8:$C$1000,'Ammo Pallet Calculator'!A130,'Loads + CPFs by TAMCN'!$M$8:$M$1000),0)</f>
        <v>0</v>
      </c>
      <c r="U130" s="41">
        <f t="shared" si="23"/>
        <v>0</v>
      </c>
      <c r="V130" s="42">
        <f t="shared" si="19"/>
        <v>0</v>
      </c>
      <c r="W130" s="42">
        <f t="shared" si="20"/>
        <v>0</v>
      </c>
      <c r="X130" s="43">
        <f t="shared" si="21"/>
        <v>0</v>
      </c>
      <c r="Y130" s="43">
        <f t="shared" si="22"/>
        <v>0</v>
      </c>
    </row>
    <row r="131" spans="1:25" ht="13.5" thickBot="1" x14ac:dyDescent="0.25">
      <c r="A131" s="29" t="s">
        <v>400</v>
      </c>
      <c r="B131" s="16"/>
      <c r="C131" s="46">
        <v>768</v>
      </c>
      <c r="D131" s="47">
        <v>5.18</v>
      </c>
      <c r="E131" s="35">
        <v>17.38</v>
      </c>
      <c r="F131" s="35">
        <v>11.5</v>
      </c>
      <c r="G131" s="35">
        <v>8.1199999999999992</v>
      </c>
      <c r="H131" s="35">
        <v>28.5</v>
      </c>
      <c r="I131" s="35">
        <f t="shared" si="28"/>
        <v>3.7109375E-2</v>
      </c>
      <c r="J131" s="46" t="s">
        <v>605</v>
      </c>
      <c r="K131" s="48" t="s">
        <v>607</v>
      </c>
      <c r="L131" s="49">
        <v>2.6800000000000001E-3</v>
      </c>
      <c r="M131" s="35">
        <v>35</v>
      </c>
      <c r="N131" s="35">
        <v>46</v>
      </c>
      <c r="O131" s="35">
        <v>46.12</v>
      </c>
      <c r="P131" s="36">
        <v>999</v>
      </c>
      <c r="Q131" s="37">
        <v>40</v>
      </c>
      <c r="R131" s="38"/>
      <c r="S131" s="39">
        <f>IF($S$1="ASSAULT RATE",SUMIF('Loads + CPFs by TAMCN'!$C$8:$C$1000,'Ammo Pallet Calculator'!A131,'Loads + CPFs by TAMCN'!$L$8:$L$1000),0)</f>
        <v>0</v>
      </c>
      <c r="T131" s="40">
        <f>IF($S$1="SUSTAIN RATE",SUMIF('Loads + CPFs by TAMCN'!$C$8:$C$1000,'Ammo Pallet Calculator'!A131,'Loads + CPFs by TAMCN'!$M$8:$M$1000),0)</f>
        <v>0</v>
      </c>
      <c r="U131" s="41">
        <f t="shared" si="23"/>
        <v>0</v>
      </c>
      <c r="V131" s="42">
        <f t="shared" si="19"/>
        <v>0</v>
      </c>
      <c r="W131" s="42">
        <f t="shared" si="20"/>
        <v>0</v>
      </c>
      <c r="X131" s="43">
        <f t="shared" si="21"/>
        <v>0</v>
      </c>
      <c r="Y131" s="43">
        <f t="shared" si="22"/>
        <v>0</v>
      </c>
    </row>
    <row r="132" spans="1:25" ht="13.5" thickBot="1" x14ac:dyDescent="0.25">
      <c r="A132" s="29" t="s">
        <v>402</v>
      </c>
      <c r="B132" s="16"/>
      <c r="C132" s="46">
        <v>154</v>
      </c>
      <c r="D132" s="47">
        <v>9.19</v>
      </c>
      <c r="E132" s="35">
        <v>14.44</v>
      </c>
      <c r="F132" s="35">
        <v>12.53</v>
      </c>
      <c r="G132" s="35">
        <v>8.5</v>
      </c>
      <c r="H132" s="35">
        <v>48.3</v>
      </c>
      <c r="I132" s="35">
        <f t="shared" si="28"/>
        <v>0.3136363636363636</v>
      </c>
      <c r="J132" s="46" t="s">
        <v>516</v>
      </c>
      <c r="K132" s="48" t="s">
        <v>608</v>
      </c>
      <c r="L132" s="49">
        <v>2.4299999999999999E-2</v>
      </c>
      <c r="M132" s="35">
        <v>43.31</v>
      </c>
      <c r="N132" s="35">
        <v>50.12</v>
      </c>
      <c r="O132" s="35">
        <v>38</v>
      </c>
      <c r="P132" s="36">
        <v>2393</v>
      </c>
      <c r="Q132" s="37">
        <v>48</v>
      </c>
      <c r="R132" s="38"/>
      <c r="S132" s="39">
        <f>IF($S$1="ASSAULT RATE",SUMIF('Loads + CPFs by TAMCN'!$C$8:$C$1000,'Ammo Pallet Calculator'!A132,'Loads + CPFs by TAMCN'!$L$8:$L$1000),0)</f>
        <v>0</v>
      </c>
      <c r="T132" s="40">
        <f>IF($S$1="SUSTAIN RATE",SUMIF('Loads + CPFs by TAMCN'!$C$8:$C$1000,'Ammo Pallet Calculator'!A132,'Loads + CPFs by TAMCN'!$M$8:$M$1000),0)</f>
        <v>0</v>
      </c>
      <c r="U132" s="41">
        <f t="shared" si="23"/>
        <v>0</v>
      </c>
      <c r="V132" s="42">
        <f t="shared" si="19"/>
        <v>0</v>
      </c>
      <c r="W132" s="42">
        <f t="shared" si="20"/>
        <v>0</v>
      </c>
      <c r="X132" s="43">
        <f t="shared" si="21"/>
        <v>0</v>
      </c>
      <c r="Y132" s="43">
        <f t="shared" si="22"/>
        <v>0</v>
      </c>
    </row>
    <row r="133" spans="1:25" ht="13.5" thickBot="1" x14ac:dyDescent="0.25">
      <c r="A133" s="29" t="s">
        <v>404</v>
      </c>
      <c r="B133" s="16"/>
      <c r="C133" s="46">
        <v>3</v>
      </c>
      <c r="D133" s="47">
        <v>156.87</v>
      </c>
      <c r="E133" s="35">
        <v>33.94</v>
      </c>
      <c r="F133" s="35">
        <v>9.81</v>
      </c>
      <c r="G133" s="35">
        <v>10.59</v>
      </c>
      <c r="H133" s="35">
        <v>65</v>
      </c>
      <c r="I133" s="35">
        <f t="shared" si="28"/>
        <v>21.666666666666668</v>
      </c>
      <c r="J133" s="46" t="s">
        <v>554</v>
      </c>
      <c r="K133" s="48" t="s">
        <v>602</v>
      </c>
      <c r="L133" s="49">
        <v>11.5</v>
      </c>
      <c r="M133" s="35">
        <v>42</v>
      </c>
      <c r="N133" s="35">
        <v>53</v>
      </c>
      <c r="O133" s="35">
        <v>39.44</v>
      </c>
      <c r="P133" s="36">
        <v>1423</v>
      </c>
      <c r="Q133" s="37">
        <v>20</v>
      </c>
      <c r="R133" s="38"/>
      <c r="S133" s="39">
        <f>IF($S$1="ASSAULT RATE",SUMIF('Loads + CPFs by TAMCN'!$C$8:$C$1000,'Ammo Pallet Calculator'!A133,'Loads + CPFs by TAMCN'!$L$8:$L$1000),0)</f>
        <v>0</v>
      </c>
      <c r="T133" s="40">
        <f>IF($S$1="SUSTAIN RATE",SUMIF('Loads + CPFs by TAMCN'!$C$8:$C$1000,'Ammo Pallet Calculator'!A133,'Loads + CPFs by TAMCN'!$M$8:$M$1000),0)</f>
        <v>0</v>
      </c>
      <c r="U133" s="41">
        <f t="shared" si="23"/>
        <v>0</v>
      </c>
      <c r="V133" s="42">
        <f t="shared" si="19"/>
        <v>0</v>
      </c>
      <c r="W133" s="42">
        <f t="shared" si="20"/>
        <v>0</v>
      </c>
      <c r="X133" s="43">
        <f t="shared" si="21"/>
        <v>0</v>
      </c>
      <c r="Y133" s="43">
        <f t="shared" si="22"/>
        <v>0</v>
      </c>
    </row>
    <row r="134" spans="1:25" ht="13.5" thickBot="1" x14ac:dyDescent="0.25">
      <c r="A134" s="29" t="s">
        <v>406</v>
      </c>
      <c r="B134" s="16"/>
      <c r="C134" s="46">
        <v>1</v>
      </c>
      <c r="D134" s="47">
        <v>338.51</v>
      </c>
      <c r="E134" s="35">
        <v>20.5</v>
      </c>
      <c r="F134" s="35">
        <v>11.62</v>
      </c>
      <c r="G134" s="35">
        <v>13.12</v>
      </c>
      <c r="H134" s="35">
        <v>65</v>
      </c>
      <c r="I134" s="35">
        <f t="shared" si="28"/>
        <v>65</v>
      </c>
      <c r="J134" s="46" t="s">
        <v>554</v>
      </c>
      <c r="K134" s="48" t="s">
        <v>602</v>
      </c>
      <c r="L134" s="49">
        <v>30</v>
      </c>
      <c r="M134" s="35">
        <v>41</v>
      </c>
      <c r="N134" s="35">
        <v>52.5</v>
      </c>
      <c r="O134" s="35">
        <v>40.380000000000003</v>
      </c>
      <c r="P134" s="36">
        <v>1911</v>
      </c>
      <c r="Q134" s="37">
        <v>24</v>
      </c>
      <c r="R134" s="38"/>
      <c r="S134" s="39">
        <f>IF($S$1="ASSAULT RATE",SUMIF('Loads + CPFs by TAMCN'!$C$8:$C$1000,'Ammo Pallet Calculator'!A134,'Loads + CPFs by TAMCN'!$L$8:$L$1000),0)</f>
        <v>0</v>
      </c>
      <c r="T134" s="40">
        <f>IF($S$1="SUSTAIN RATE",SUMIF('Loads + CPFs by TAMCN'!$C$8:$C$1000,'Ammo Pallet Calculator'!A134,'Loads + CPFs by TAMCN'!$M$8:$M$1000),0)</f>
        <v>0</v>
      </c>
      <c r="U134" s="41">
        <f t="shared" si="23"/>
        <v>0</v>
      </c>
      <c r="V134" s="42">
        <f t="shared" si="19"/>
        <v>0</v>
      </c>
      <c r="W134" s="42">
        <f t="shared" si="20"/>
        <v>0</v>
      </c>
      <c r="X134" s="43">
        <f t="shared" si="21"/>
        <v>0</v>
      </c>
      <c r="Y134" s="43">
        <f t="shared" si="22"/>
        <v>0</v>
      </c>
    </row>
    <row r="135" spans="1:25" ht="13.5" thickBot="1" x14ac:dyDescent="0.25">
      <c r="A135" s="29" t="s">
        <v>408</v>
      </c>
      <c r="B135" s="16"/>
      <c r="C135" s="46">
        <v>3000</v>
      </c>
      <c r="D135" s="47">
        <v>0.2</v>
      </c>
      <c r="E135" s="35">
        <v>36</v>
      </c>
      <c r="F135" s="35">
        <v>11</v>
      </c>
      <c r="G135" s="35">
        <v>12</v>
      </c>
      <c r="H135" s="35">
        <v>75</v>
      </c>
      <c r="I135" s="35">
        <f t="shared" si="28"/>
        <v>2.5000000000000001E-2</v>
      </c>
      <c r="J135" s="46" t="s">
        <v>554</v>
      </c>
      <c r="K135" s="48" t="s">
        <v>609</v>
      </c>
      <c r="L135" s="49">
        <v>7.0000000000000001E-3</v>
      </c>
      <c r="M135" s="35">
        <v>44</v>
      </c>
      <c r="N135" s="35">
        <v>48</v>
      </c>
      <c r="O135" s="35">
        <v>41.5</v>
      </c>
      <c r="P135" s="36">
        <v>1300</v>
      </c>
      <c r="Q135" s="37">
        <v>16</v>
      </c>
      <c r="R135" s="38"/>
      <c r="S135" s="39">
        <f>IF($S$1="ASSAULT RATE",SUMIF('Loads + CPFs by TAMCN'!$C$8:$C$1000,'Ammo Pallet Calculator'!A135,'Loads + CPFs by TAMCN'!$L$8:$L$1000),0)</f>
        <v>0</v>
      </c>
      <c r="T135" s="40">
        <f>IF($S$1="SUSTAIN RATE",SUMIF('Loads + CPFs by TAMCN'!$C$8:$C$1000,'Ammo Pallet Calculator'!A135,'Loads + CPFs by TAMCN'!$M$8:$M$1000),0)</f>
        <v>0</v>
      </c>
      <c r="U135" s="41">
        <f t="shared" si="23"/>
        <v>0</v>
      </c>
      <c r="V135" s="42">
        <f t="shared" si="19"/>
        <v>0</v>
      </c>
      <c r="W135" s="42">
        <f t="shared" si="20"/>
        <v>0</v>
      </c>
      <c r="X135" s="43">
        <f t="shared" si="21"/>
        <v>0</v>
      </c>
      <c r="Y135" s="43">
        <f t="shared" si="22"/>
        <v>0</v>
      </c>
    </row>
    <row r="136" spans="1:25" ht="13.5" thickBot="1" x14ac:dyDescent="0.25">
      <c r="A136" s="29" t="s">
        <v>610</v>
      </c>
      <c r="B136" s="16"/>
      <c r="C136" s="46">
        <v>16</v>
      </c>
      <c r="D136" s="47">
        <v>19.46</v>
      </c>
      <c r="E136" s="35">
        <v>14.44</v>
      </c>
      <c r="F136" s="35">
        <v>12.53</v>
      </c>
      <c r="G136" s="35">
        <v>8.5</v>
      </c>
      <c r="H136" s="35">
        <v>24.5</v>
      </c>
      <c r="I136" s="35">
        <f t="shared" si="28"/>
        <v>1.53125</v>
      </c>
      <c r="J136" s="46" t="s">
        <v>578</v>
      </c>
      <c r="K136" s="48" t="s">
        <v>547</v>
      </c>
      <c r="L136" s="49">
        <v>0</v>
      </c>
      <c r="M136" s="35">
        <v>43.31</v>
      </c>
      <c r="N136" s="35">
        <v>50.12</v>
      </c>
      <c r="O136" s="35">
        <v>38</v>
      </c>
      <c r="P136" s="36">
        <v>1251</v>
      </c>
      <c r="Q136" s="37">
        <v>48</v>
      </c>
      <c r="R136" s="38"/>
      <c r="S136" s="39">
        <f>IF($S$1="ASSAULT RATE",SUMIF('Loads + CPFs by TAMCN'!$C$8:$C$1000,'Ammo Pallet Calculator'!A136,'Loads + CPFs by TAMCN'!$L$8:$L$1000),0)</f>
        <v>0</v>
      </c>
      <c r="T136" s="40">
        <f>IF($S$1="SUSTAIN RATE",SUMIF('Loads + CPFs by TAMCN'!$C$8:$C$1000,'Ammo Pallet Calculator'!A136,'Loads + CPFs by TAMCN'!$M$8:$M$1000),0)</f>
        <v>0</v>
      </c>
      <c r="U136" s="41">
        <f t="shared" si="23"/>
        <v>0</v>
      </c>
      <c r="V136" s="42">
        <f t="shared" ref="V136:V174" si="29">SUM(U136/C136)</f>
        <v>0</v>
      </c>
      <c r="W136" s="42">
        <f t="shared" ref="W136:W174" si="30">(V136/Q136)</f>
        <v>0</v>
      </c>
      <c r="X136" s="43">
        <f t="shared" ref="X136:X174" si="31">SUM(V136*H136)</f>
        <v>0</v>
      </c>
      <c r="Y136" s="43">
        <f t="shared" si="22"/>
        <v>0</v>
      </c>
    </row>
    <row r="137" spans="1:25" ht="13.5" thickBot="1" x14ac:dyDescent="0.25">
      <c r="A137" s="29" t="s">
        <v>611</v>
      </c>
      <c r="B137" s="16"/>
      <c r="C137" s="46">
        <v>20</v>
      </c>
      <c r="D137" s="47">
        <v>10.46</v>
      </c>
      <c r="E137" s="35">
        <v>14.44</v>
      </c>
      <c r="F137" s="35">
        <v>12.53</v>
      </c>
      <c r="G137" s="35">
        <v>8.5</v>
      </c>
      <c r="H137" s="35">
        <v>24.8</v>
      </c>
      <c r="I137" s="35">
        <f t="shared" si="28"/>
        <v>1.24</v>
      </c>
      <c r="J137" s="46" t="s">
        <v>578</v>
      </c>
      <c r="K137" s="48" t="s">
        <v>547</v>
      </c>
      <c r="L137" s="49">
        <v>0</v>
      </c>
      <c r="M137" s="35">
        <v>43.31</v>
      </c>
      <c r="N137" s="35">
        <v>50.12</v>
      </c>
      <c r="O137" s="35">
        <v>38</v>
      </c>
      <c r="P137" s="36">
        <v>1265</v>
      </c>
      <c r="Q137" s="37">
        <v>48</v>
      </c>
      <c r="R137" s="38"/>
      <c r="S137" s="39">
        <f>IF($S$1="ASSAULT RATE",SUMIF('Loads + CPFs by TAMCN'!$C$8:$C$1000,'Ammo Pallet Calculator'!A137,'Loads + CPFs by TAMCN'!$L$8:$L$1000),0)</f>
        <v>0</v>
      </c>
      <c r="T137" s="40">
        <f>IF($S$1="SUSTAIN RATE",SUMIF('Loads + CPFs by TAMCN'!$C$8:$C$1000,'Ammo Pallet Calculator'!A137,'Loads + CPFs by TAMCN'!$M$8:$M$1000),0)</f>
        <v>0</v>
      </c>
      <c r="U137" s="41">
        <f t="shared" si="23"/>
        <v>0</v>
      </c>
      <c r="V137" s="42">
        <f t="shared" si="29"/>
        <v>0</v>
      </c>
      <c r="W137" s="42">
        <f t="shared" si="30"/>
        <v>0</v>
      </c>
      <c r="X137" s="43">
        <f t="shared" si="31"/>
        <v>0</v>
      </c>
      <c r="Y137" s="43">
        <f t="shared" si="22"/>
        <v>0</v>
      </c>
    </row>
    <row r="138" spans="1:25" ht="13.5" thickBot="1" x14ac:dyDescent="0.25">
      <c r="A138" s="29" t="s">
        <v>612</v>
      </c>
      <c r="B138" s="16"/>
      <c r="C138" s="46">
        <v>8</v>
      </c>
      <c r="D138" s="47">
        <v>11.33</v>
      </c>
      <c r="E138" s="35">
        <v>14.44</v>
      </c>
      <c r="F138" s="35">
        <v>12.53</v>
      </c>
      <c r="G138" s="35">
        <v>8.5</v>
      </c>
      <c r="H138" s="35">
        <v>22.6</v>
      </c>
      <c r="I138" s="35">
        <f t="shared" si="28"/>
        <v>2.8250000000000002</v>
      </c>
      <c r="J138" s="46" t="s">
        <v>578</v>
      </c>
      <c r="K138" s="48" t="s">
        <v>547</v>
      </c>
      <c r="L138" s="49">
        <v>0</v>
      </c>
      <c r="M138" s="35">
        <v>43.31</v>
      </c>
      <c r="N138" s="35">
        <v>50.12</v>
      </c>
      <c r="O138" s="35">
        <v>38</v>
      </c>
      <c r="P138" s="36">
        <v>1160</v>
      </c>
      <c r="Q138" s="37">
        <v>48</v>
      </c>
      <c r="R138" s="38"/>
      <c r="S138" s="39">
        <f>IF($S$1="ASSAULT RATE",SUMIF('Loads + CPFs by TAMCN'!$C$8:$C$1000,'Ammo Pallet Calculator'!A138,'Loads + CPFs by TAMCN'!$L$8:$L$1000),0)</f>
        <v>0</v>
      </c>
      <c r="T138" s="40">
        <f>IF($S$1="SUSTAIN RATE",SUMIF('Loads + CPFs by TAMCN'!$C$8:$C$1000,'Ammo Pallet Calculator'!A138,'Loads + CPFs by TAMCN'!$M$8:$M$1000),0)</f>
        <v>0</v>
      </c>
      <c r="U138" s="41">
        <f t="shared" ref="U138:U174" si="32">SUM(S138:T138)</f>
        <v>0</v>
      </c>
      <c r="V138" s="42">
        <f t="shared" si="29"/>
        <v>0</v>
      </c>
      <c r="W138" s="42">
        <f t="shared" si="30"/>
        <v>0</v>
      </c>
      <c r="X138" s="43">
        <f t="shared" si="31"/>
        <v>0</v>
      </c>
      <c r="Y138" s="43">
        <f t="shared" ref="Y138:Y174" si="33">U138*L138</f>
        <v>0</v>
      </c>
    </row>
    <row r="139" spans="1:25" ht="13.5" thickBot="1" x14ac:dyDescent="0.25">
      <c r="A139" s="29" t="s">
        <v>613</v>
      </c>
      <c r="B139" s="16"/>
      <c r="C139" s="46">
        <v>40</v>
      </c>
      <c r="D139" s="47">
        <v>11.33</v>
      </c>
      <c r="E139" s="35">
        <v>17.38</v>
      </c>
      <c r="F139" s="35">
        <v>11.5</v>
      </c>
      <c r="G139" s="35">
        <v>8.1199999999999992</v>
      </c>
      <c r="H139" s="35">
        <v>25.4</v>
      </c>
      <c r="I139" s="35">
        <f t="shared" si="28"/>
        <v>0.63500000000000001</v>
      </c>
      <c r="J139" s="46" t="s">
        <v>578</v>
      </c>
      <c r="K139" s="48" t="s">
        <v>547</v>
      </c>
      <c r="L139" s="49">
        <v>0</v>
      </c>
      <c r="M139" s="35">
        <v>43.31</v>
      </c>
      <c r="N139" s="35">
        <v>50.12</v>
      </c>
      <c r="O139" s="35">
        <v>38</v>
      </c>
      <c r="P139" s="36">
        <v>1091</v>
      </c>
      <c r="Q139" s="37">
        <v>40</v>
      </c>
      <c r="R139" s="38"/>
      <c r="S139" s="39">
        <f>IF($S$1="ASSAULT RATE",SUMIF('Loads + CPFs by TAMCN'!$C$8:$C$1000,'Ammo Pallet Calculator'!A139,'Loads + CPFs by TAMCN'!$L$8:$L$1000),0)</f>
        <v>0</v>
      </c>
      <c r="T139" s="40">
        <f>IF($S$1="SUSTAIN RATE",SUMIF('Loads + CPFs by TAMCN'!$C$8:$C$1000,'Ammo Pallet Calculator'!A139,'Loads + CPFs by TAMCN'!$M$8:$M$1000),0)</f>
        <v>0</v>
      </c>
      <c r="U139" s="41">
        <f t="shared" si="32"/>
        <v>0</v>
      </c>
      <c r="V139" s="42">
        <f t="shared" si="29"/>
        <v>0</v>
      </c>
      <c r="W139" s="42">
        <f t="shared" si="30"/>
        <v>0</v>
      </c>
      <c r="X139" s="43">
        <f t="shared" si="31"/>
        <v>0</v>
      </c>
      <c r="Y139" s="43">
        <f t="shared" si="33"/>
        <v>0</v>
      </c>
    </row>
    <row r="140" spans="1:25" ht="13.5" thickBot="1" x14ac:dyDescent="0.25">
      <c r="A140" s="29" t="s">
        <v>614</v>
      </c>
      <c r="B140" s="16"/>
      <c r="C140" s="46">
        <v>40</v>
      </c>
      <c r="D140" s="47">
        <v>11.25</v>
      </c>
      <c r="E140" s="35">
        <v>17.38</v>
      </c>
      <c r="F140" s="35">
        <v>11.5</v>
      </c>
      <c r="G140" s="35">
        <v>8.1199999999999992</v>
      </c>
      <c r="H140" s="35">
        <v>25.4</v>
      </c>
      <c r="I140" s="35">
        <f t="shared" si="28"/>
        <v>0.63500000000000001</v>
      </c>
      <c r="J140" s="46" t="s">
        <v>578</v>
      </c>
      <c r="K140" s="48" t="s">
        <v>547</v>
      </c>
      <c r="L140" s="49">
        <v>0</v>
      </c>
      <c r="M140" s="35">
        <v>43.31</v>
      </c>
      <c r="N140" s="35">
        <v>50.12</v>
      </c>
      <c r="O140" s="35">
        <v>38</v>
      </c>
      <c r="P140" s="36">
        <v>1091</v>
      </c>
      <c r="Q140" s="37">
        <v>40</v>
      </c>
      <c r="R140" s="38"/>
      <c r="S140" s="39">
        <f>IF($S$1="ASSAULT RATE",SUMIF('Loads + CPFs by TAMCN'!$C$8:$C$1000,'Ammo Pallet Calculator'!A140,'Loads + CPFs by TAMCN'!$L$8:$L$1000),0)</f>
        <v>0</v>
      </c>
      <c r="T140" s="40">
        <f>IF($S$1="SUSTAIN RATE",SUMIF('Loads + CPFs by TAMCN'!$C$8:$C$1000,'Ammo Pallet Calculator'!A140,'Loads + CPFs by TAMCN'!$M$8:$M$1000),0)</f>
        <v>0</v>
      </c>
      <c r="U140" s="41">
        <f t="shared" si="32"/>
        <v>0</v>
      </c>
      <c r="V140" s="42">
        <f t="shared" si="29"/>
        <v>0</v>
      </c>
      <c r="W140" s="42">
        <f t="shared" si="30"/>
        <v>0</v>
      </c>
      <c r="X140" s="43">
        <f t="shared" si="31"/>
        <v>0</v>
      </c>
      <c r="Y140" s="43">
        <f t="shared" si="33"/>
        <v>0</v>
      </c>
    </row>
    <row r="141" spans="1:25" ht="13.5" thickBot="1" x14ac:dyDescent="0.25">
      <c r="A141" s="29" t="s">
        <v>615</v>
      </c>
      <c r="B141" s="16"/>
      <c r="C141" s="46">
        <v>40</v>
      </c>
      <c r="D141" s="47">
        <v>7.05</v>
      </c>
      <c r="E141" s="35">
        <v>17.38</v>
      </c>
      <c r="F141" s="35">
        <v>11.5</v>
      </c>
      <c r="G141" s="35">
        <v>8.1199999999999992</v>
      </c>
      <c r="H141" s="35">
        <v>27</v>
      </c>
      <c r="I141" s="35">
        <f t="shared" si="28"/>
        <v>0.67500000000000004</v>
      </c>
      <c r="J141" s="46" t="s">
        <v>578</v>
      </c>
      <c r="K141" s="48" t="s">
        <v>547</v>
      </c>
      <c r="L141" s="49">
        <v>0</v>
      </c>
      <c r="M141" s="35">
        <v>43.31</v>
      </c>
      <c r="N141" s="35">
        <v>50.12</v>
      </c>
      <c r="O141" s="35">
        <v>38</v>
      </c>
      <c r="P141" s="36">
        <v>1091</v>
      </c>
      <c r="Q141" s="37">
        <v>40</v>
      </c>
      <c r="R141" s="38"/>
      <c r="S141" s="39">
        <f>IF($S$1="ASSAULT RATE",SUMIF('Loads + CPFs by TAMCN'!$C$8:$C$1000,'Ammo Pallet Calculator'!A141,'Loads + CPFs by TAMCN'!$L$8:$L$1000),0)</f>
        <v>0</v>
      </c>
      <c r="T141" s="40">
        <f>IF($S$1="SUSTAIN RATE",SUMIF('Loads + CPFs by TAMCN'!$C$8:$C$1000,'Ammo Pallet Calculator'!A141,'Loads + CPFs by TAMCN'!$M$8:$M$1000),0)</f>
        <v>0</v>
      </c>
      <c r="U141" s="41">
        <f t="shared" si="32"/>
        <v>0</v>
      </c>
      <c r="V141" s="42">
        <f t="shared" si="29"/>
        <v>0</v>
      </c>
      <c r="W141" s="42">
        <f t="shared" si="30"/>
        <v>0</v>
      </c>
      <c r="X141" s="43">
        <f t="shared" si="31"/>
        <v>0</v>
      </c>
      <c r="Y141" s="43">
        <f t="shared" si="33"/>
        <v>0</v>
      </c>
    </row>
    <row r="142" spans="1:25" ht="13.5" thickBot="1" x14ac:dyDescent="0.25">
      <c r="A142" s="29" t="s">
        <v>616</v>
      </c>
      <c r="B142" s="16"/>
      <c r="C142" s="46">
        <v>40</v>
      </c>
      <c r="D142" s="47">
        <v>7.05</v>
      </c>
      <c r="E142" s="35">
        <v>17.38</v>
      </c>
      <c r="F142" s="35">
        <v>11.5</v>
      </c>
      <c r="G142" s="35">
        <v>8.1199999999999992</v>
      </c>
      <c r="H142" s="35">
        <v>25.4</v>
      </c>
      <c r="I142" s="35">
        <f t="shared" si="28"/>
        <v>0.63500000000000001</v>
      </c>
      <c r="J142" s="46" t="s">
        <v>578</v>
      </c>
      <c r="K142" s="48" t="s">
        <v>547</v>
      </c>
      <c r="L142" s="49">
        <v>0</v>
      </c>
      <c r="M142" s="35">
        <v>43.31</v>
      </c>
      <c r="N142" s="35">
        <v>50.12</v>
      </c>
      <c r="O142" s="35">
        <v>38</v>
      </c>
      <c r="P142" s="36">
        <v>1091</v>
      </c>
      <c r="Q142" s="37">
        <v>40</v>
      </c>
      <c r="R142" s="38"/>
      <c r="S142" s="39">
        <f>IF($S$1="ASSAULT RATE",SUMIF('Loads + CPFs by TAMCN'!$C$8:$C$1000,'Ammo Pallet Calculator'!A142,'Loads + CPFs by TAMCN'!$L$8:$L$1000),0)</f>
        <v>0</v>
      </c>
      <c r="T142" s="40">
        <f>IF($S$1="SUSTAIN RATE",SUMIF('Loads + CPFs by TAMCN'!$C$8:$C$1000,'Ammo Pallet Calculator'!A142,'Loads + CPFs by TAMCN'!$M$8:$M$1000),0)</f>
        <v>0</v>
      </c>
      <c r="U142" s="41">
        <f t="shared" si="32"/>
        <v>0</v>
      </c>
      <c r="V142" s="42">
        <f t="shared" si="29"/>
        <v>0</v>
      </c>
      <c r="W142" s="42">
        <f t="shared" si="30"/>
        <v>0</v>
      </c>
      <c r="X142" s="43">
        <f t="shared" si="31"/>
        <v>0</v>
      </c>
      <c r="Y142" s="43">
        <f t="shared" si="33"/>
        <v>0</v>
      </c>
    </row>
    <row r="143" spans="1:25" ht="13.5" thickBot="1" x14ac:dyDescent="0.25">
      <c r="A143" s="29" t="s">
        <v>617</v>
      </c>
      <c r="B143" s="16"/>
      <c r="C143" s="46">
        <v>40</v>
      </c>
      <c r="D143" s="47">
        <v>9.15</v>
      </c>
      <c r="E143" s="35">
        <v>17.38</v>
      </c>
      <c r="F143" s="35">
        <v>11.5</v>
      </c>
      <c r="G143" s="35">
        <v>8.1199999999999992</v>
      </c>
      <c r="H143" s="35">
        <v>28.3</v>
      </c>
      <c r="I143" s="35">
        <f t="shared" si="28"/>
        <v>0.70750000000000002</v>
      </c>
      <c r="J143" s="46" t="s">
        <v>578</v>
      </c>
      <c r="K143" s="48" t="s">
        <v>547</v>
      </c>
      <c r="L143" s="49">
        <v>0</v>
      </c>
      <c r="M143" s="35">
        <v>43.31</v>
      </c>
      <c r="N143" s="35">
        <v>50.12</v>
      </c>
      <c r="O143" s="35">
        <v>38</v>
      </c>
      <c r="P143" s="36">
        <v>1091</v>
      </c>
      <c r="Q143" s="37">
        <v>40</v>
      </c>
      <c r="R143" s="38"/>
      <c r="S143" s="39">
        <f>IF($S$1="ASSAULT RATE",SUMIF('Loads + CPFs by TAMCN'!$C$8:$C$1000,'Ammo Pallet Calculator'!A143,'Loads + CPFs by TAMCN'!$L$8:$L$1000),0)</f>
        <v>0</v>
      </c>
      <c r="T143" s="40">
        <f>IF($S$1="SUSTAIN RATE",SUMIF('Loads + CPFs by TAMCN'!$C$8:$C$1000,'Ammo Pallet Calculator'!A143,'Loads + CPFs by TAMCN'!$M$8:$M$1000),0)</f>
        <v>0</v>
      </c>
      <c r="U143" s="41">
        <f t="shared" si="32"/>
        <v>0</v>
      </c>
      <c r="V143" s="42">
        <f t="shared" si="29"/>
        <v>0</v>
      </c>
      <c r="W143" s="42">
        <f t="shared" si="30"/>
        <v>0</v>
      </c>
      <c r="X143" s="43">
        <f t="shared" si="31"/>
        <v>0</v>
      </c>
      <c r="Y143" s="43">
        <f t="shared" si="33"/>
        <v>0</v>
      </c>
    </row>
    <row r="144" spans="1:25" ht="13.5" thickBot="1" x14ac:dyDescent="0.25">
      <c r="A144" s="29" t="s">
        <v>618</v>
      </c>
      <c r="B144" s="16"/>
      <c r="C144" s="46">
        <v>40</v>
      </c>
      <c r="D144" s="47">
        <v>9.67</v>
      </c>
      <c r="E144" s="35">
        <v>17.38</v>
      </c>
      <c r="F144" s="35">
        <v>11.5</v>
      </c>
      <c r="G144" s="35">
        <v>8.1199999999999992</v>
      </c>
      <c r="H144" s="35">
        <v>29.2</v>
      </c>
      <c r="I144" s="35">
        <f t="shared" si="28"/>
        <v>0.73</v>
      </c>
      <c r="J144" s="46" t="s">
        <v>578</v>
      </c>
      <c r="K144" s="48" t="s">
        <v>547</v>
      </c>
      <c r="L144" s="49">
        <v>0</v>
      </c>
      <c r="M144" s="35">
        <v>43.31</v>
      </c>
      <c r="N144" s="35">
        <v>50.12</v>
      </c>
      <c r="O144" s="35">
        <v>38</v>
      </c>
      <c r="P144" s="36">
        <v>1091</v>
      </c>
      <c r="Q144" s="37">
        <v>40</v>
      </c>
      <c r="R144" s="38"/>
      <c r="S144" s="39">
        <f>IF($S$1="ASSAULT RATE",SUMIF('Loads + CPFs by TAMCN'!$C$8:$C$1000,'Ammo Pallet Calculator'!A144,'Loads + CPFs by TAMCN'!$L$8:$L$1000),0)</f>
        <v>0</v>
      </c>
      <c r="T144" s="40">
        <f>IF($S$1="SUSTAIN RATE",SUMIF('Loads + CPFs by TAMCN'!$C$8:$C$1000,'Ammo Pallet Calculator'!A144,'Loads + CPFs by TAMCN'!$M$8:$M$1000),0)</f>
        <v>0</v>
      </c>
      <c r="U144" s="41">
        <f t="shared" si="32"/>
        <v>0</v>
      </c>
      <c r="V144" s="42">
        <f t="shared" si="29"/>
        <v>0</v>
      </c>
      <c r="W144" s="42">
        <f t="shared" si="30"/>
        <v>0</v>
      </c>
      <c r="X144" s="43">
        <f t="shared" si="31"/>
        <v>0</v>
      </c>
      <c r="Y144" s="43">
        <f t="shared" si="33"/>
        <v>0</v>
      </c>
    </row>
    <row r="145" spans="1:25" ht="13.5" thickBot="1" x14ac:dyDescent="0.25">
      <c r="A145" s="29" t="s">
        <v>619</v>
      </c>
      <c r="B145" s="16"/>
      <c r="C145" s="46">
        <v>20</v>
      </c>
      <c r="D145" s="47">
        <v>10.46</v>
      </c>
      <c r="E145" s="35">
        <v>14.44</v>
      </c>
      <c r="F145" s="35">
        <v>12.53</v>
      </c>
      <c r="G145" s="35">
        <v>8.5</v>
      </c>
      <c r="H145" s="35">
        <v>33</v>
      </c>
      <c r="I145" s="35">
        <f t="shared" si="28"/>
        <v>1.65</v>
      </c>
      <c r="J145" s="46" t="s">
        <v>578</v>
      </c>
      <c r="K145" s="48" t="s">
        <v>547</v>
      </c>
      <c r="L145" s="49">
        <v>0</v>
      </c>
      <c r="M145" s="35">
        <v>43.31</v>
      </c>
      <c r="N145" s="35">
        <v>50.12</v>
      </c>
      <c r="O145" s="35">
        <v>38</v>
      </c>
      <c r="P145" s="36">
        <v>1659</v>
      </c>
      <c r="Q145" s="37">
        <v>48</v>
      </c>
      <c r="R145" s="38"/>
      <c r="S145" s="39">
        <f>IF($S$1="ASSAULT RATE",SUMIF('Loads + CPFs by TAMCN'!$C$8:$C$1000,'Ammo Pallet Calculator'!A145,'Loads + CPFs by TAMCN'!$L$8:$L$1000),0)</f>
        <v>0</v>
      </c>
      <c r="T145" s="40">
        <f>IF($S$1="SUSTAIN RATE",SUMIF('Loads + CPFs by TAMCN'!$C$8:$C$1000,'Ammo Pallet Calculator'!A145,'Loads + CPFs by TAMCN'!$M$8:$M$1000),0)</f>
        <v>0</v>
      </c>
      <c r="U145" s="41">
        <f t="shared" si="32"/>
        <v>0</v>
      </c>
      <c r="V145" s="42">
        <f t="shared" si="29"/>
        <v>0</v>
      </c>
      <c r="W145" s="42">
        <f t="shared" si="30"/>
        <v>0</v>
      </c>
      <c r="X145" s="43">
        <f t="shared" si="31"/>
        <v>0</v>
      </c>
      <c r="Y145" s="43">
        <f t="shared" si="33"/>
        <v>0</v>
      </c>
    </row>
    <row r="146" spans="1:25" ht="13.5" thickBot="1" x14ac:dyDescent="0.25">
      <c r="A146" s="29" t="s">
        <v>620</v>
      </c>
      <c r="B146" s="16"/>
      <c r="C146" s="46">
        <v>40</v>
      </c>
      <c r="D146" s="47">
        <v>11.8</v>
      </c>
      <c r="E146" s="35">
        <v>17.38</v>
      </c>
      <c r="F146" s="35">
        <v>11.5</v>
      </c>
      <c r="G146" s="35">
        <v>8.1199999999999992</v>
      </c>
      <c r="H146" s="35">
        <v>36.5</v>
      </c>
      <c r="I146" s="35">
        <f t="shared" si="28"/>
        <v>0.91249999999999998</v>
      </c>
      <c r="J146" s="46" t="s">
        <v>578</v>
      </c>
      <c r="K146" s="48" t="s">
        <v>547</v>
      </c>
      <c r="L146" s="49">
        <v>0</v>
      </c>
      <c r="M146" s="35">
        <v>43.31</v>
      </c>
      <c r="N146" s="35">
        <v>50.12</v>
      </c>
      <c r="O146" s="35">
        <v>38</v>
      </c>
      <c r="P146" s="36">
        <v>1535</v>
      </c>
      <c r="Q146" s="37">
        <v>40</v>
      </c>
      <c r="R146" s="38"/>
      <c r="S146" s="39">
        <f>IF($S$1="ASSAULT RATE",SUMIF('Loads + CPFs by TAMCN'!$C$8:$C$1000,'Ammo Pallet Calculator'!A146,'Loads + CPFs by TAMCN'!$L$8:$L$1000),0)</f>
        <v>0</v>
      </c>
      <c r="T146" s="40">
        <f>IF($S$1="SUSTAIN RATE",SUMIF('Loads + CPFs by TAMCN'!$C$8:$C$1000,'Ammo Pallet Calculator'!A146,'Loads + CPFs by TAMCN'!$M$8:$M$1000),0)</f>
        <v>0</v>
      </c>
      <c r="U146" s="41">
        <f t="shared" si="32"/>
        <v>0</v>
      </c>
      <c r="V146" s="42">
        <f t="shared" si="29"/>
        <v>0</v>
      </c>
      <c r="W146" s="42">
        <f t="shared" si="30"/>
        <v>0</v>
      </c>
      <c r="X146" s="43">
        <f t="shared" si="31"/>
        <v>0</v>
      </c>
      <c r="Y146" s="43">
        <f t="shared" si="33"/>
        <v>0</v>
      </c>
    </row>
    <row r="147" spans="1:25" ht="13.5" thickBot="1" x14ac:dyDescent="0.25">
      <c r="A147" s="29" t="s">
        <v>621</v>
      </c>
      <c r="B147" s="16"/>
      <c r="C147" s="46">
        <v>100</v>
      </c>
      <c r="D147" s="47">
        <v>6.27</v>
      </c>
      <c r="E147" s="35">
        <v>17.38</v>
      </c>
      <c r="F147" s="35">
        <v>11.5</v>
      </c>
      <c r="G147" s="35">
        <v>8.1199999999999992</v>
      </c>
      <c r="H147" s="35">
        <v>36.5</v>
      </c>
      <c r="I147" s="35">
        <f t="shared" si="28"/>
        <v>0.36499999999999999</v>
      </c>
      <c r="J147" s="46" t="s">
        <v>578</v>
      </c>
      <c r="K147" s="48" t="s">
        <v>547</v>
      </c>
      <c r="L147" s="49">
        <v>0</v>
      </c>
      <c r="M147" s="35">
        <v>43.31</v>
      </c>
      <c r="N147" s="35">
        <v>50.12</v>
      </c>
      <c r="O147" s="35">
        <v>38</v>
      </c>
      <c r="P147" s="36">
        <v>1535</v>
      </c>
      <c r="Q147" s="55">
        <v>40</v>
      </c>
      <c r="R147" s="38"/>
      <c r="S147" s="39">
        <f>IF($S$1="ASSAULT RATE",SUMIF('Loads + CPFs by TAMCN'!$C$8:$C$1000,'Ammo Pallet Calculator'!A147,'Loads + CPFs by TAMCN'!$L$8:$L$1000),0)</f>
        <v>0</v>
      </c>
      <c r="T147" s="40">
        <f>IF($S$1="SUSTAIN RATE",SUMIF('Loads + CPFs by TAMCN'!$C$8:$C$1000,'Ammo Pallet Calculator'!A147,'Loads + CPFs by TAMCN'!$M$8:$M$1000),0)</f>
        <v>0</v>
      </c>
      <c r="U147" s="41">
        <f t="shared" si="32"/>
        <v>0</v>
      </c>
      <c r="V147" s="42">
        <f t="shared" si="29"/>
        <v>0</v>
      </c>
      <c r="W147" s="42">
        <f t="shared" si="30"/>
        <v>0</v>
      </c>
      <c r="X147" s="43">
        <f t="shared" si="31"/>
        <v>0</v>
      </c>
      <c r="Y147" s="43">
        <f t="shared" si="33"/>
        <v>0</v>
      </c>
    </row>
    <row r="148" spans="1:25" ht="13.5" thickBot="1" x14ac:dyDescent="0.25">
      <c r="A148" s="29" t="s">
        <v>412</v>
      </c>
      <c r="B148" s="16"/>
      <c r="C148" s="46">
        <v>100</v>
      </c>
      <c r="D148" s="47">
        <v>0.36</v>
      </c>
      <c r="E148" s="35">
        <v>20.62</v>
      </c>
      <c r="F148" s="35">
        <v>15.06</v>
      </c>
      <c r="G148" s="35">
        <v>9.59</v>
      </c>
      <c r="H148" s="35">
        <v>117</v>
      </c>
      <c r="I148" s="35">
        <f t="shared" si="28"/>
        <v>1.17</v>
      </c>
      <c r="J148" s="46" t="s">
        <v>554</v>
      </c>
      <c r="K148" s="48" t="s">
        <v>622</v>
      </c>
      <c r="L148" s="49">
        <v>0.39</v>
      </c>
      <c r="M148" s="35">
        <v>41.25</v>
      </c>
      <c r="N148" s="35">
        <v>45.5</v>
      </c>
      <c r="O148" s="35">
        <v>43.88</v>
      </c>
      <c r="P148" s="36">
        <v>2879</v>
      </c>
      <c r="Q148" s="37">
        <v>24</v>
      </c>
      <c r="R148" s="38"/>
      <c r="S148" s="39">
        <f>IF($S$1="ASSAULT RATE",SUMIF('Loads + CPFs by TAMCN'!$C$8:$C$1000,'Ammo Pallet Calculator'!A148,'Loads + CPFs by TAMCN'!$L$8:$L$1000),0)</f>
        <v>0</v>
      </c>
      <c r="T148" s="40">
        <f>IF($S$1="SUSTAIN RATE",SUMIF('Loads + CPFs by TAMCN'!$C$8:$C$1000,'Ammo Pallet Calculator'!A148,'Loads + CPFs by TAMCN'!$M$8:$M$1000),0)</f>
        <v>0</v>
      </c>
      <c r="U148" s="41">
        <f t="shared" si="32"/>
        <v>0</v>
      </c>
      <c r="V148" s="42">
        <f t="shared" si="29"/>
        <v>0</v>
      </c>
      <c r="W148" s="42">
        <f t="shared" si="30"/>
        <v>0</v>
      </c>
      <c r="X148" s="43">
        <f t="shared" si="31"/>
        <v>0</v>
      </c>
      <c r="Y148" s="43">
        <f t="shared" si="33"/>
        <v>0</v>
      </c>
    </row>
    <row r="149" spans="1:25" ht="12" thickBot="1" x14ac:dyDescent="0.25">
      <c r="A149" s="56" t="s">
        <v>623</v>
      </c>
      <c r="B149" s="16"/>
      <c r="C149" s="46">
        <v>1</v>
      </c>
      <c r="D149" s="47">
        <v>299.83999999999997</v>
      </c>
      <c r="E149" s="35">
        <v>27.62</v>
      </c>
      <c r="F149" s="35">
        <v>18.88</v>
      </c>
      <c r="G149" s="35">
        <v>2.88</v>
      </c>
      <c r="H149" s="35">
        <v>55</v>
      </c>
      <c r="I149" s="35">
        <f t="shared" si="28"/>
        <v>55</v>
      </c>
      <c r="J149" s="46" t="s">
        <v>550</v>
      </c>
      <c r="K149" s="48" t="s">
        <v>574</v>
      </c>
      <c r="L149" s="49">
        <v>28</v>
      </c>
      <c r="M149" s="35">
        <v>38</v>
      </c>
      <c r="N149" s="35">
        <v>27.62</v>
      </c>
      <c r="O149" s="35">
        <v>37.380000000000003</v>
      </c>
      <c r="P149" s="36">
        <v>1246</v>
      </c>
      <c r="Q149" s="37">
        <v>22</v>
      </c>
      <c r="R149" s="38"/>
      <c r="S149" s="39">
        <f>IF($S$1="ASSAULT RATE",SUMIF('Loads + CPFs by TAMCN'!$C$8:$C$1000,'Ammo Pallet Calculator'!A149,'Loads + CPFs by TAMCN'!$L$8:$L$1000),0)</f>
        <v>0</v>
      </c>
      <c r="T149" s="40">
        <f>IF($S$1="SUSTAIN RATE",SUMIF('Loads + CPFs by TAMCN'!$C$8:$C$1000,'Ammo Pallet Calculator'!A149,'Loads + CPFs by TAMCN'!$M$8:$M$1000),0)</f>
        <v>0</v>
      </c>
      <c r="U149" s="41">
        <f t="shared" si="32"/>
        <v>0</v>
      </c>
      <c r="V149" s="42">
        <f t="shared" si="29"/>
        <v>0</v>
      </c>
      <c r="W149" s="42">
        <f t="shared" si="30"/>
        <v>0</v>
      </c>
      <c r="X149" s="43">
        <f t="shared" si="31"/>
        <v>0</v>
      </c>
      <c r="Y149" s="43">
        <f t="shared" si="33"/>
        <v>0</v>
      </c>
    </row>
    <row r="150" spans="1:25" ht="13.5" thickBot="1" x14ac:dyDescent="0.25">
      <c r="A150" s="29" t="s">
        <v>414</v>
      </c>
      <c r="B150" s="16"/>
      <c r="C150" s="46">
        <v>400</v>
      </c>
      <c r="D150" s="47">
        <v>0.15</v>
      </c>
      <c r="E150" s="35">
        <v>14.44</v>
      </c>
      <c r="F150" s="35">
        <v>12.53</v>
      </c>
      <c r="G150" s="35">
        <v>8.5</v>
      </c>
      <c r="H150" s="35">
        <v>26.8</v>
      </c>
      <c r="I150" s="35">
        <f t="shared" si="28"/>
        <v>6.7000000000000004E-2</v>
      </c>
      <c r="J150" s="46" t="s">
        <v>505</v>
      </c>
      <c r="K150" s="48" t="s">
        <v>624</v>
      </c>
      <c r="L150" s="49">
        <v>2.7000000000000001E-3</v>
      </c>
      <c r="M150" s="35">
        <v>43.31</v>
      </c>
      <c r="N150" s="35">
        <v>50.12</v>
      </c>
      <c r="O150" s="35">
        <v>38</v>
      </c>
      <c r="P150" s="36">
        <v>1384</v>
      </c>
      <c r="Q150" s="37">
        <v>48</v>
      </c>
      <c r="R150" s="38"/>
      <c r="S150" s="39">
        <f>IF($S$1="ASSAULT RATE",SUMIF('Loads + CPFs by TAMCN'!$C$8:$C$1000,'Ammo Pallet Calculator'!A150,'Loads + CPFs by TAMCN'!$L$8:$L$1000),0)</f>
        <v>0</v>
      </c>
      <c r="T150" s="40">
        <f>IF($S$1="SUSTAIN RATE",SUMIF('Loads + CPFs by TAMCN'!$C$8:$C$1000,'Ammo Pallet Calculator'!A150,'Loads + CPFs by TAMCN'!$M$8:$M$1000),0)</f>
        <v>0</v>
      </c>
      <c r="U150" s="41">
        <f t="shared" si="32"/>
        <v>0</v>
      </c>
      <c r="V150" s="42">
        <f t="shared" si="29"/>
        <v>0</v>
      </c>
      <c r="W150" s="42">
        <f t="shared" si="30"/>
        <v>0</v>
      </c>
      <c r="X150" s="43">
        <f t="shared" si="31"/>
        <v>0</v>
      </c>
      <c r="Y150" s="43">
        <f t="shared" si="33"/>
        <v>0</v>
      </c>
    </row>
    <row r="151" spans="1:25" ht="13.5" thickBot="1" x14ac:dyDescent="0.25">
      <c r="A151" s="29" t="s">
        <v>416</v>
      </c>
      <c r="B151" s="16"/>
      <c r="C151" s="46">
        <v>2</v>
      </c>
      <c r="D151" s="47">
        <v>526.89</v>
      </c>
      <c r="E151" s="35">
        <v>16.12</v>
      </c>
      <c r="F151" s="35">
        <v>11.18</v>
      </c>
      <c r="G151" s="35">
        <v>12.38</v>
      </c>
      <c r="H151" s="35">
        <v>52</v>
      </c>
      <c r="I151" s="35">
        <f t="shared" si="28"/>
        <v>26</v>
      </c>
      <c r="J151" s="46" t="s">
        <v>554</v>
      </c>
      <c r="K151" s="48" t="s">
        <v>602</v>
      </c>
      <c r="L151" s="49">
        <v>20</v>
      </c>
      <c r="M151" s="35">
        <v>37.119999999999997</v>
      </c>
      <c r="N151" s="35">
        <v>48.38</v>
      </c>
      <c r="O151" s="35">
        <v>50.25</v>
      </c>
      <c r="P151" s="36">
        <v>2091</v>
      </c>
      <c r="Q151" s="37">
        <v>36</v>
      </c>
      <c r="R151" s="38"/>
      <c r="S151" s="39">
        <f>IF($S$1="ASSAULT RATE",SUMIF('Loads + CPFs by TAMCN'!$C$8:$C$1000,'Ammo Pallet Calculator'!A151,'Loads + CPFs by TAMCN'!$L$8:$L$1000),0)</f>
        <v>0</v>
      </c>
      <c r="T151" s="40">
        <f>IF($S$1="SUSTAIN RATE",SUMIF('Loads + CPFs by TAMCN'!$C$8:$C$1000,'Ammo Pallet Calculator'!A151,'Loads + CPFs by TAMCN'!$M$8:$M$1000),0)</f>
        <v>0</v>
      </c>
      <c r="U151" s="41">
        <f t="shared" si="32"/>
        <v>0</v>
      </c>
      <c r="V151" s="42">
        <f t="shared" si="29"/>
        <v>0</v>
      </c>
      <c r="W151" s="42">
        <f t="shared" si="30"/>
        <v>0</v>
      </c>
      <c r="X151" s="43">
        <f t="shared" si="31"/>
        <v>0</v>
      </c>
      <c r="Y151" s="43">
        <f t="shared" si="33"/>
        <v>0</v>
      </c>
    </row>
    <row r="152" spans="1:25" ht="13.5" thickBot="1" x14ac:dyDescent="0.25">
      <c r="A152" s="29" t="s">
        <v>418</v>
      </c>
      <c r="B152" s="16"/>
      <c r="C152" s="46">
        <v>1</v>
      </c>
      <c r="D152" s="47">
        <v>328.74</v>
      </c>
      <c r="E152" s="35">
        <v>23.62</v>
      </c>
      <c r="F152" s="35">
        <v>23.62</v>
      </c>
      <c r="G152" s="35">
        <v>35.18</v>
      </c>
      <c r="H152" s="35">
        <v>300</v>
      </c>
      <c r="I152" s="35">
        <f t="shared" si="28"/>
        <v>300</v>
      </c>
      <c r="J152" s="46" t="s">
        <v>550</v>
      </c>
      <c r="K152" s="48" t="s">
        <v>574</v>
      </c>
      <c r="L152" s="49">
        <v>8.44</v>
      </c>
      <c r="M152" s="35">
        <v>25.25</v>
      </c>
      <c r="N152" s="35">
        <v>49.5</v>
      </c>
      <c r="O152" s="35">
        <v>41</v>
      </c>
      <c r="P152" s="36">
        <v>653</v>
      </c>
      <c r="Q152" s="37">
        <v>2</v>
      </c>
      <c r="R152" s="38"/>
      <c r="S152" s="39">
        <f>IF($S$1="ASSAULT RATE",SUMIF('Loads + CPFs by TAMCN'!$C$8:$C$1000,'Ammo Pallet Calculator'!A152,'Loads + CPFs by TAMCN'!$L$8:$L$1000),0)</f>
        <v>0</v>
      </c>
      <c r="T152" s="40">
        <f>IF($S$1="SUSTAIN RATE",SUMIF('Loads + CPFs by TAMCN'!$C$8:$C$1000,'Ammo Pallet Calculator'!A152,'Loads + CPFs by TAMCN'!$M$8:$M$1000),0)</f>
        <v>0</v>
      </c>
      <c r="U152" s="41">
        <f t="shared" si="32"/>
        <v>0</v>
      </c>
      <c r="V152" s="42">
        <f t="shared" si="29"/>
        <v>0</v>
      </c>
      <c r="W152" s="42">
        <f t="shared" si="30"/>
        <v>0</v>
      </c>
      <c r="X152" s="43">
        <f t="shared" si="31"/>
        <v>0</v>
      </c>
      <c r="Y152" s="43">
        <f t="shared" si="33"/>
        <v>0</v>
      </c>
    </row>
    <row r="153" spans="1:25" ht="13.5" thickBot="1" x14ac:dyDescent="0.25">
      <c r="A153" s="29" t="s">
        <v>65</v>
      </c>
      <c r="B153" s="16"/>
      <c r="C153" s="46">
        <v>1</v>
      </c>
      <c r="D153" s="47">
        <v>41706</v>
      </c>
      <c r="E153" s="35">
        <v>54</v>
      </c>
      <c r="F153" s="35">
        <v>94</v>
      </c>
      <c r="G153" s="35">
        <v>25</v>
      </c>
      <c r="H153" s="35">
        <v>3000</v>
      </c>
      <c r="I153" s="35">
        <f t="shared" si="28"/>
        <v>3000</v>
      </c>
      <c r="J153" s="46" t="s">
        <v>554</v>
      </c>
      <c r="K153" s="48" t="s">
        <v>602</v>
      </c>
      <c r="L153" s="49">
        <v>1617.3</v>
      </c>
      <c r="M153" s="35">
        <v>54</v>
      </c>
      <c r="N153" s="35">
        <v>94</v>
      </c>
      <c r="O153" s="35">
        <v>25</v>
      </c>
      <c r="P153" s="35">
        <v>3000</v>
      </c>
      <c r="Q153" s="37">
        <v>1</v>
      </c>
      <c r="R153" s="38"/>
      <c r="S153" s="39">
        <f>IF($S$1="ASSAULT RATE",SUMIF('Loads + CPFs by TAMCN'!$C$8:$C$1000,'Ammo Pallet Calculator'!A153,'Loads + CPFs by TAMCN'!$L$8:$L$1000),0)</f>
        <v>23.625999999999998</v>
      </c>
      <c r="T153" s="40">
        <f>IF($S$1="SUSTAIN RATE",SUMIF('Loads + CPFs by TAMCN'!$C$8:$C$1000,'Ammo Pallet Calculator'!A153,'Loads + CPFs by TAMCN'!$M$8:$M$1000),0)</f>
        <v>0</v>
      </c>
      <c r="U153" s="41">
        <f t="shared" si="32"/>
        <v>23.625999999999998</v>
      </c>
      <c r="V153" s="42">
        <f t="shared" si="29"/>
        <v>23.625999999999998</v>
      </c>
      <c r="W153" s="42">
        <f t="shared" si="30"/>
        <v>23.625999999999998</v>
      </c>
      <c r="X153" s="43">
        <f t="shared" si="31"/>
        <v>70878</v>
      </c>
      <c r="Y153" s="43">
        <f t="shared" si="33"/>
        <v>38210.329799999992</v>
      </c>
    </row>
    <row r="154" spans="1:25" ht="13.5" thickBot="1" x14ac:dyDescent="0.25">
      <c r="A154" s="29" t="s">
        <v>420</v>
      </c>
      <c r="B154" s="16"/>
      <c r="C154" s="46">
        <v>2</v>
      </c>
      <c r="D154" s="47">
        <v>369.17</v>
      </c>
      <c r="E154" s="35">
        <v>20.62</v>
      </c>
      <c r="F154" s="35">
        <v>15.38</v>
      </c>
      <c r="G154" s="35">
        <v>10.5</v>
      </c>
      <c r="H154" s="35">
        <v>60</v>
      </c>
      <c r="I154" s="35">
        <f t="shared" si="28"/>
        <v>30</v>
      </c>
      <c r="J154" s="46" t="s">
        <v>554</v>
      </c>
      <c r="K154" s="48" t="s">
        <v>602</v>
      </c>
      <c r="L154" s="49">
        <v>20</v>
      </c>
      <c r="M154" s="35">
        <v>48.38</v>
      </c>
      <c r="N154" s="35">
        <v>41.25</v>
      </c>
      <c r="O154" s="35">
        <v>47.5</v>
      </c>
      <c r="P154" s="35">
        <v>1549</v>
      </c>
      <c r="Q154" s="37">
        <v>24</v>
      </c>
      <c r="R154" s="38"/>
      <c r="S154" s="39">
        <f>IF($S$1="ASSAULT RATE",SUMIF('Loads + CPFs by TAMCN'!$C$8:$C$1000,'Ammo Pallet Calculator'!A154,'Loads + CPFs by TAMCN'!$L$8:$L$1000),0)</f>
        <v>0</v>
      </c>
      <c r="T154" s="40">
        <f>IF($S$1="SUSTAIN RATE",SUMIF('Loads + CPFs by TAMCN'!$C$8:$C$1000,'Ammo Pallet Calculator'!A154,'Loads + CPFs by TAMCN'!$M$8:$M$1000),0)</f>
        <v>0</v>
      </c>
      <c r="U154" s="41">
        <f t="shared" si="32"/>
        <v>0</v>
      </c>
      <c r="V154" s="42">
        <f t="shared" si="29"/>
        <v>0</v>
      </c>
      <c r="W154" s="42">
        <f t="shared" si="30"/>
        <v>0</v>
      </c>
      <c r="X154" s="43">
        <f t="shared" si="31"/>
        <v>0</v>
      </c>
      <c r="Y154" s="43">
        <f t="shared" si="33"/>
        <v>0</v>
      </c>
    </row>
    <row r="155" spans="1:25" ht="13.5" thickBot="1" x14ac:dyDescent="0.25">
      <c r="A155" s="29" t="s">
        <v>422</v>
      </c>
      <c r="B155" s="16"/>
      <c r="C155" s="46">
        <v>2</v>
      </c>
      <c r="D155" s="47">
        <v>263.54000000000002</v>
      </c>
      <c r="E155" s="35">
        <v>20.62</v>
      </c>
      <c r="F155" s="35">
        <v>15.38</v>
      </c>
      <c r="G155" s="35">
        <v>10.5</v>
      </c>
      <c r="H155" s="35">
        <v>60</v>
      </c>
      <c r="I155" s="35">
        <f t="shared" si="28"/>
        <v>30</v>
      </c>
      <c r="J155" s="46" t="s">
        <v>554</v>
      </c>
      <c r="K155" s="48" t="s">
        <v>602</v>
      </c>
      <c r="L155" s="49">
        <v>20</v>
      </c>
      <c r="M155" s="35">
        <v>41.25</v>
      </c>
      <c r="N155" s="35">
        <v>52.5</v>
      </c>
      <c r="O155" s="35">
        <v>51.62</v>
      </c>
      <c r="P155" s="35">
        <v>1549</v>
      </c>
      <c r="Q155" s="37">
        <v>24</v>
      </c>
      <c r="R155" s="16"/>
      <c r="S155" s="39">
        <f>IF($S$1="ASSAULT RATE",SUMIF('Loads + CPFs by TAMCN'!$C$8:$C$1000,'Ammo Pallet Calculator'!A155,'Loads + CPFs by TAMCN'!$L$8:$L$1000),0)</f>
        <v>0</v>
      </c>
      <c r="T155" s="40">
        <f>IF($S$1="SUSTAIN RATE",SUMIF('Loads + CPFs by TAMCN'!$C$8:$C$1000,'Ammo Pallet Calculator'!A155,'Loads + CPFs by TAMCN'!$M$8:$M$1000),0)</f>
        <v>0</v>
      </c>
      <c r="U155" s="41">
        <f t="shared" si="32"/>
        <v>0</v>
      </c>
      <c r="V155" s="42">
        <f t="shared" si="29"/>
        <v>0</v>
      </c>
      <c r="W155" s="42">
        <f t="shared" si="30"/>
        <v>0</v>
      </c>
      <c r="X155" s="43">
        <f t="shared" si="31"/>
        <v>0</v>
      </c>
      <c r="Y155" s="43">
        <f t="shared" si="33"/>
        <v>0</v>
      </c>
    </row>
    <row r="156" spans="1:25" ht="13.5" thickBot="1" x14ac:dyDescent="0.25">
      <c r="A156" s="29" t="s">
        <v>424</v>
      </c>
      <c r="B156" s="16"/>
      <c r="C156" s="46">
        <v>1</v>
      </c>
      <c r="D156" s="47">
        <v>287.64999999999998</v>
      </c>
      <c r="E156" s="35">
        <v>20.62</v>
      </c>
      <c r="F156" s="35">
        <v>15.38</v>
      </c>
      <c r="G156" s="35">
        <v>10.5</v>
      </c>
      <c r="H156" s="35">
        <v>42</v>
      </c>
      <c r="I156" s="35">
        <f t="shared" ref="I156:I198" si="34">(H156/C156)</f>
        <v>42</v>
      </c>
      <c r="J156" s="46" t="s">
        <v>554</v>
      </c>
      <c r="K156" s="48" t="s">
        <v>602</v>
      </c>
      <c r="L156" s="49">
        <v>20</v>
      </c>
      <c r="M156" s="35">
        <v>41.25</v>
      </c>
      <c r="N156" s="35">
        <v>52.5</v>
      </c>
      <c r="O156" s="35">
        <v>51.62</v>
      </c>
      <c r="P156" s="35">
        <v>1117</v>
      </c>
      <c r="Q156" s="37">
        <v>24</v>
      </c>
      <c r="R156" s="16"/>
      <c r="S156" s="39">
        <f>IF($S$1="ASSAULT RATE",SUMIF('Loads + CPFs by TAMCN'!$C$8:$C$1000,'Ammo Pallet Calculator'!A156,'Loads + CPFs by TAMCN'!$L$8:$L$1000),0)</f>
        <v>0</v>
      </c>
      <c r="T156" s="40">
        <f>IF($S$1="SUSTAIN RATE",SUMIF('Loads + CPFs by TAMCN'!$C$8:$C$1000,'Ammo Pallet Calculator'!A156,'Loads + CPFs by TAMCN'!$M$8:$M$1000),0)</f>
        <v>0</v>
      </c>
      <c r="U156" s="41">
        <f t="shared" si="32"/>
        <v>0</v>
      </c>
      <c r="V156" s="42">
        <f t="shared" si="29"/>
        <v>0</v>
      </c>
      <c r="W156" s="42">
        <f t="shared" si="30"/>
        <v>0</v>
      </c>
      <c r="X156" s="43">
        <f t="shared" si="31"/>
        <v>0</v>
      </c>
      <c r="Y156" s="43">
        <f t="shared" si="33"/>
        <v>0</v>
      </c>
    </row>
    <row r="157" spans="1:25" ht="13.5" thickBot="1" x14ac:dyDescent="0.25">
      <c r="A157" s="29" t="s">
        <v>426</v>
      </c>
      <c r="B157" s="16"/>
      <c r="C157" s="46">
        <v>56</v>
      </c>
      <c r="D157" s="47">
        <v>29.91</v>
      </c>
      <c r="E157" s="35">
        <v>17.38</v>
      </c>
      <c r="F157" s="35">
        <v>11.5</v>
      </c>
      <c r="G157" s="35">
        <v>8.1199999999999992</v>
      </c>
      <c r="H157" s="35">
        <v>43</v>
      </c>
      <c r="I157" s="35">
        <f t="shared" si="34"/>
        <v>0.7678571428571429</v>
      </c>
      <c r="J157" s="46" t="s">
        <v>505</v>
      </c>
      <c r="K157" s="48" t="s">
        <v>529</v>
      </c>
      <c r="L157" s="49">
        <v>5.1E-5</v>
      </c>
      <c r="M157" s="35">
        <v>35</v>
      </c>
      <c r="N157" s="35">
        <v>46</v>
      </c>
      <c r="O157" s="35">
        <v>38</v>
      </c>
      <c r="P157" s="36">
        <v>1447</v>
      </c>
      <c r="Q157" s="37">
        <v>32</v>
      </c>
      <c r="R157" s="16"/>
      <c r="S157" s="39">
        <f>IF($S$1="ASSAULT RATE",SUMIF('Loads + CPFs by TAMCN'!$C$8:$C$1000,'Ammo Pallet Calculator'!A157,'Loads + CPFs by TAMCN'!$L$8:$L$1000),0)</f>
        <v>0</v>
      </c>
      <c r="T157" s="40">
        <f>IF($S$1="SUSTAIN RATE",SUMIF('Loads + CPFs by TAMCN'!$C$8:$C$1000,'Ammo Pallet Calculator'!A157,'Loads + CPFs by TAMCN'!$M$8:$M$1000),0)</f>
        <v>0</v>
      </c>
      <c r="U157" s="41">
        <f t="shared" si="32"/>
        <v>0</v>
      </c>
      <c r="V157" s="42">
        <f t="shared" si="29"/>
        <v>0</v>
      </c>
      <c r="W157" s="42">
        <f t="shared" si="30"/>
        <v>0</v>
      </c>
      <c r="X157" s="43">
        <f t="shared" si="31"/>
        <v>0</v>
      </c>
      <c r="Y157" s="43">
        <f t="shared" si="33"/>
        <v>0</v>
      </c>
    </row>
    <row r="158" spans="1:25" ht="13.5" thickBot="1" x14ac:dyDescent="0.25">
      <c r="A158" s="29" t="s">
        <v>428</v>
      </c>
      <c r="B158" s="16"/>
      <c r="C158" s="46">
        <v>12</v>
      </c>
      <c r="D158" s="47">
        <v>237.81</v>
      </c>
      <c r="E158" s="35">
        <v>14.44</v>
      </c>
      <c r="F158" s="35">
        <v>12.53</v>
      </c>
      <c r="G158" s="35">
        <v>8.5</v>
      </c>
      <c r="H158" s="35">
        <v>25.9</v>
      </c>
      <c r="I158" s="35">
        <f t="shared" si="34"/>
        <v>2.1583333333333332</v>
      </c>
      <c r="J158" s="46" t="s">
        <v>554</v>
      </c>
      <c r="K158" s="48" t="s">
        <v>602</v>
      </c>
      <c r="L158" s="49">
        <v>0.28549999999999998</v>
      </c>
      <c r="M158" s="35">
        <v>43.31</v>
      </c>
      <c r="N158" s="35">
        <v>50.12</v>
      </c>
      <c r="O158" s="35">
        <v>38</v>
      </c>
      <c r="P158" s="36">
        <v>1291</v>
      </c>
      <c r="Q158" s="37">
        <v>48</v>
      </c>
      <c r="R158" s="16"/>
      <c r="S158" s="39">
        <f>IF($S$1="ASSAULT RATE",SUMIF('Loads + CPFs by TAMCN'!$C$8:$C$1000,'Ammo Pallet Calculator'!A158,'Loads + CPFs by TAMCN'!$L$8:$L$1000),0)</f>
        <v>0</v>
      </c>
      <c r="T158" s="40">
        <f>IF($S$1="SUSTAIN RATE",SUMIF('Loads + CPFs by TAMCN'!$C$8:$C$1000,'Ammo Pallet Calculator'!A158,'Loads + CPFs by TAMCN'!$M$8:$M$1000),0)</f>
        <v>0</v>
      </c>
      <c r="U158" s="41">
        <f t="shared" si="32"/>
        <v>0</v>
      </c>
      <c r="V158" s="42">
        <f t="shared" si="29"/>
        <v>0</v>
      </c>
      <c r="W158" s="42">
        <f t="shared" si="30"/>
        <v>0</v>
      </c>
      <c r="X158" s="43">
        <f t="shared" si="31"/>
        <v>0</v>
      </c>
      <c r="Y158" s="43">
        <f t="shared" si="33"/>
        <v>0</v>
      </c>
    </row>
    <row r="159" spans="1:25" ht="13.5" thickBot="1" x14ac:dyDescent="0.25">
      <c r="A159" s="29" t="s">
        <v>430</v>
      </c>
      <c r="B159" s="16"/>
      <c r="C159" s="46">
        <v>4</v>
      </c>
      <c r="D159" s="47">
        <v>281.3</v>
      </c>
      <c r="E159" s="35">
        <v>14.44</v>
      </c>
      <c r="F159" s="35">
        <v>12.53</v>
      </c>
      <c r="G159" s="35">
        <v>8.5</v>
      </c>
      <c r="H159" s="35">
        <v>45.5</v>
      </c>
      <c r="I159" s="35">
        <f t="shared" si="34"/>
        <v>11.375</v>
      </c>
      <c r="J159" s="46" t="s">
        <v>554</v>
      </c>
      <c r="K159" s="48" t="s">
        <v>602</v>
      </c>
      <c r="L159" s="49">
        <v>1.264E-2</v>
      </c>
      <c r="M159" s="35">
        <v>43.31</v>
      </c>
      <c r="N159" s="35">
        <v>50.12</v>
      </c>
      <c r="O159" s="35">
        <v>38</v>
      </c>
      <c r="P159" s="36">
        <v>2259</v>
      </c>
      <c r="Q159" s="37">
        <v>48</v>
      </c>
      <c r="R159" s="16"/>
      <c r="S159" s="39">
        <f>IF($S$1="ASSAULT RATE",SUMIF('Loads + CPFs by TAMCN'!$C$8:$C$1000,'Ammo Pallet Calculator'!A159,'Loads + CPFs by TAMCN'!$L$8:$L$1000),0)</f>
        <v>0</v>
      </c>
      <c r="T159" s="40">
        <f>IF($S$1="SUSTAIN RATE",SUMIF('Loads + CPFs by TAMCN'!$C$8:$C$1000,'Ammo Pallet Calculator'!A159,'Loads + CPFs by TAMCN'!$M$8:$M$1000),0)</f>
        <v>0</v>
      </c>
      <c r="U159" s="41">
        <f t="shared" si="32"/>
        <v>0</v>
      </c>
      <c r="V159" s="42">
        <f t="shared" si="29"/>
        <v>0</v>
      </c>
      <c r="W159" s="42">
        <f t="shared" si="30"/>
        <v>0</v>
      </c>
      <c r="X159" s="43">
        <f t="shared" si="31"/>
        <v>0</v>
      </c>
      <c r="Y159" s="43">
        <f t="shared" si="33"/>
        <v>0</v>
      </c>
    </row>
    <row r="160" spans="1:25" ht="13.5" thickBot="1" x14ac:dyDescent="0.25">
      <c r="A160" s="29" t="s">
        <v>67</v>
      </c>
      <c r="B160" s="16"/>
      <c r="C160" s="46">
        <v>1</v>
      </c>
      <c r="D160" s="47">
        <v>38642</v>
      </c>
      <c r="E160" s="35">
        <v>43.75</v>
      </c>
      <c r="F160" s="35">
        <v>35.18</v>
      </c>
      <c r="G160" s="35">
        <v>55.25</v>
      </c>
      <c r="H160" s="35">
        <v>2520</v>
      </c>
      <c r="I160" s="35">
        <f t="shared" si="34"/>
        <v>2520</v>
      </c>
      <c r="J160" s="46" t="s">
        <v>554</v>
      </c>
      <c r="K160" s="48" t="s">
        <v>602</v>
      </c>
      <c r="L160" s="49">
        <v>1750</v>
      </c>
      <c r="M160" s="35">
        <v>43.75</v>
      </c>
      <c r="N160" s="35">
        <v>35.18</v>
      </c>
      <c r="O160" s="35">
        <v>55.25</v>
      </c>
      <c r="P160" s="36">
        <v>2520</v>
      </c>
      <c r="Q160" s="37">
        <v>1</v>
      </c>
      <c r="R160" s="38"/>
      <c r="S160" s="39">
        <f>IF($S$1="ASSAULT RATE",SUMIF('Loads + CPFs by TAMCN'!$C$8:$C$1000,'Ammo Pallet Calculator'!A160,'Loads + CPFs by TAMCN'!$L$8:$L$1000),0)</f>
        <v>0</v>
      </c>
      <c r="T160" s="40">
        <f>IF($S$1="SUSTAIN RATE",SUMIF('Loads + CPFs by TAMCN'!$C$8:$C$1000,'Ammo Pallet Calculator'!A160,'Loads + CPFs by TAMCN'!$M$8:$M$1000),0)</f>
        <v>0</v>
      </c>
      <c r="U160" s="41">
        <f t="shared" si="32"/>
        <v>0</v>
      </c>
      <c r="V160" s="42">
        <f t="shared" si="29"/>
        <v>0</v>
      </c>
      <c r="W160" s="42">
        <f t="shared" si="30"/>
        <v>0</v>
      </c>
      <c r="X160" s="43">
        <f t="shared" si="31"/>
        <v>0</v>
      </c>
      <c r="Y160" s="43">
        <f t="shared" si="33"/>
        <v>0</v>
      </c>
    </row>
    <row r="161" spans="1:25" ht="13.5" thickBot="1" x14ac:dyDescent="0.25">
      <c r="A161" s="29" t="s">
        <v>434</v>
      </c>
      <c r="B161" s="16"/>
      <c r="C161" s="46">
        <v>480</v>
      </c>
      <c r="D161" s="47">
        <v>1.41</v>
      </c>
      <c r="E161" s="35">
        <v>14.44</v>
      </c>
      <c r="F161" s="35">
        <v>12.53</v>
      </c>
      <c r="G161" s="35">
        <v>8.5</v>
      </c>
      <c r="H161" s="35">
        <v>24</v>
      </c>
      <c r="I161" s="35">
        <f t="shared" si="34"/>
        <v>0.05</v>
      </c>
      <c r="J161" s="46" t="s">
        <v>554</v>
      </c>
      <c r="K161" s="48" t="s">
        <v>602</v>
      </c>
      <c r="L161" s="49">
        <v>4.41E-2</v>
      </c>
      <c r="M161" s="35">
        <v>44</v>
      </c>
      <c r="N161" s="35">
        <v>51</v>
      </c>
      <c r="O161" s="35">
        <v>38.75</v>
      </c>
      <c r="P161" s="36">
        <v>2105</v>
      </c>
      <c r="Q161" s="37">
        <v>48</v>
      </c>
      <c r="R161" s="38"/>
      <c r="S161" s="39">
        <f>IF($S$1="ASSAULT RATE",SUMIF('Loads + CPFs by TAMCN'!$C$8:$C$1000,'Ammo Pallet Calculator'!A161,'Loads + CPFs by TAMCN'!$L$8:$L$1000),0)</f>
        <v>0</v>
      </c>
      <c r="T161" s="40">
        <f>IF($S$1="SUSTAIN RATE",SUMIF('Loads + CPFs by TAMCN'!$C$8:$C$1000,'Ammo Pallet Calculator'!A161,'Loads + CPFs by TAMCN'!$M$8:$M$1000),0)</f>
        <v>0</v>
      </c>
      <c r="U161" s="41">
        <f t="shared" si="32"/>
        <v>0</v>
      </c>
      <c r="V161" s="42">
        <f t="shared" si="29"/>
        <v>0</v>
      </c>
      <c r="W161" s="42">
        <f t="shared" si="30"/>
        <v>0</v>
      </c>
      <c r="X161" s="43">
        <f t="shared" si="31"/>
        <v>0</v>
      </c>
      <c r="Y161" s="43">
        <f t="shared" si="33"/>
        <v>0</v>
      </c>
    </row>
    <row r="162" spans="1:25" ht="13.5" thickBot="1" x14ac:dyDescent="0.25">
      <c r="A162" s="29" t="s">
        <v>625</v>
      </c>
      <c r="B162" s="16"/>
      <c r="C162" s="46">
        <v>6</v>
      </c>
      <c r="D162" s="47">
        <v>42.92</v>
      </c>
      <c r="E162" s="35">
        <v>75.88</v>
      </c>
      <c r="F162" s="35">
        <v>5.5</v>
      </c>
      <c r="G162" s="35">
        <v>2.06</v>
      </c>
      <c r="H162" s="35">
        <v>16.329999999999998</v>
      </c>
      <c r="I162" s="35">
        <f t="shared" si="34"/>
        <v>2.7216666666666662</v>
      </c>
      <c r="J162" s="46" t="s">
        <v>554</v>
      </c>
      <c r="K162" s="48" t="s">
        <v>626</v>
      </c>
      <c r="L162" s="49">
        <v>2.5714000000000001E-2</v>
      </c>
      <c r="M162" s="35">
        <v>44</v>
      </c>
      <c r="N162" s="35">
        <v>75.88</v>
      </c>
      <c r="O162" s="35">
        <v>43.5</v>
      </c>
      <c r="P162" s="36">
        <v>2540</v>
      </c>
      <c r="Q162" s="37">
        <v>152</v>
      </c>
      <c r="R162" s="38"/>
      <c r="S162" s="39">
        <f>IF($S$1="ASSAULT RATE",SUMIF('Loads + CPFs by TAMCN'!$C$8:$C$1000,'Ammo Pallet Calculator'!A162,'Loads + CPFs by TAMCN'!$L$8:$L$1000),0)</f>
        <v>0</v>
      </c>
      <c r="T162" s="40">
        <f>IF($S$1="SUSTAIN RATE",SUMIF('Loads + CPFs by TAMCN'!$C$8:$C$1000,'Ammo Pallet Calculator'!A162,'Loads + CPFs by TAMCN'!$M$8:$M$1000),0)</f>
        <v>0</v>
      </c>
      <c r="U162" s="41">
        <f t="shared" si="32"/>
        <v>0</v>
      </c>
      <c r="V162" s="42">
        <f t="shared" si="29"/>
        <v>0</v>
      </c>
      <c r="W162" s="42">
        <f t="shared" si="30"/>
        <v>0</v>
      </c>
      <c r="X162" s="43">
        <f t="shared" si="31"/>
        <v>0</v>
      </c>
      <c r="Y162" s="43">
        <f t="shared" si="33"/>
        <v>0</v>
      </c>
    </row>
    <row r="163" spans="1:25" ht="13.5" thickBot="1" x14ac:dyDescent="0.25">
      <c r="A163" s="29" t="s">
        <v>436</v>
      </c>
      <c r="B163" s="16"/>
      <c r="C163" s="46">
        <v>6</v>
      </c>
      <c r="D163" s="47">
        <v>39</v>
      </c>
      <c r="E163" s="35">
        <v>75.88</v>
      </c>
      <c r="F163" s="35">
        <v>5.5</v>
      </c>
      <c r="G163" s="35">
        <v>2.06</v>
      </c>
      <c r="H163" s="35">
        <v>16.88</v>
      </c>
      <c r="I163" s="35">
        <f t="shared" si="34"/>
        <v>2.813333333333333</v>
      </c>
      <c r="J163" s="46" t="s">
        <v>554</v>
      </c>
      <c r="K163" s="48" t="s">
        <v>626</v>
      </c>
      <c r="L163" s="49">
        <v>3.4286999999999998E-2</v>
      </c>
      <c r="M163" s="35">
        <v>44</v>
      </c>
      <c r="N163" s="35">
        <v>75.88</v>
      </c>
      <c r="O163" s="35">
        <v>43.5</v>
      </c>
      <c r="P163" s="36">
        <v>2692</v>
      </c>
      <c r="Q163" s="37">
        <v>152</v>
      </c>
      <c r="R163" s="38"/>
      <c r="S163" s="39">
        <f>IF($S$1="ASSAULT RATE",SUMIF('Loads + CPFs by TAMCN'!$C$8:$C$1000,'Ammo Pallet Calculator'!A163,'Loads + CPFs by TAMCN'!$L$8:$L$1000),0)</f>
        <v>0</v>
      </c>
      <c r="T163" s="40">
        <f>IF($S$1="SUSTAIN RATE",SUMIF('Loads + CPFs by TAMCN'!$C$8:$C$1000,'Ammo Pallet Calculator'!A163,'Loads + CPFs by TAMCN'!$M$8:$M$1000),0)</f>
        <v>0</v>
      </c>
      <c r="U163" s="41">
        <f t="shared" si="32"/>
        <v>0</v>
      </c>
      <c r="V163" s="42">
        <f t="shared" si="29"/>
        <v>0</v>
      </c>
      <c r="W163" s="42">
        <f t="shared" si="30"/>
        <v>0</v>
      </c>
      <c r="X163" s="43">
        <f t="shared" si="31"/>
        <v>0</v>
      </c>
      <c r="Y163" s="43">
        <f t="shared" si="33"/>
        <v>0</v>
      </c>
    </row>
    <row r="164" spans="1:25" ht="13.5" thickBot="1" x14ac:dyDescent="0.25">
      <c r="A164" s="29" t="s">
        <v>627</v>
      </c>
      <c r="B164" s="16"/>
      <c r="C164" s="46">
        <v>6</v>
      </c>
      <c r="D164" s="47">
        <v>33.06</v>
      </c>
      <c r="E164" s="35">
        <v>75.88</v>
      </c>
      <c r="F164" s="35">
        <v>5.5</v>
      </c>
      <c r="G164" s="35">
        <v>2.06</v>
      </c>
      <c r="H164" s="35">
        <v>17.75</v>
      </c>
      <c r="I164" s="35">
        <f t="shared" si="34"/>
        <v>2.9583333333333335</v>
      </c>
      <c r="J164" s="46" t="s">
        <v>554</v>
      </c>
      <c r="K164" s="48" t="s">
        <v>626</v>
      </c>
      <c r="L164" s="49">
        <v>5.1429000000000002E-2</v>
      </c>
      <c r="M164" s="35">
        <v>44</v>
      </c>
      <c r="N164" s="35">
        <v>75.88</v>
      </c>
      <c r="O164" s="35">
        <v>43.5</v>
      </c>
      <c r="P164" s="36">
        <v>2884</v>
      </c>
      <c r="Q164" s="37">
        <v>152</v>
      </c>
      <c r="R164" s="38"/>
      <c r="S164" s="39">
        <f>IF($S$1="ASSAULT RATE",SUMIF('Loads + CPFs by TAMCN'!$C$8:$C$1000,'Ammo Pallet Calculator'!A164,'Loads + CPFs by TAMCN'!$L$8:$L$1000),0)</f>
        <v>0</v>
      </c>
      <c r="T164" s="40">
        <f>IF($S$1="SUSTAIN RATE",SUMIF('Loads + CPFs by TAMCN'!$C$8:$C$1000,'Ammo Pallet Calculator'!A164,'Loads + CPFs by TAMCN'!$M$8:$M$1000),0)</f>
        <v>0</v>
      </c>
      <c r="U164" s="41">
        <f t="shared" si="32"/>
        <v>0</v>
      </c>
      <c r="V164" s="42">
        <f t="shared" si="29"/>
        <v>0</v>
      </c>
      <c r="W164" s="42">
        <f t="shared" si="30"/>
        <v>0</v>
      </c>
      <c r="X164" s="43">
        <f t="shared" si="31"/>
        <v>0</v>
      </c>
      <c r="Y164" s="43">
        <f t="shared" si="33"/>
        <v>0</v>
      </c>
    </row>
    <row r="165" spans="1:25" ht="13.5" thickBot="1" x14ac:dyDescent="0.25">
      <c r="A165" s="29" t="s">
        <v>438</v>
      </c>
      <c r="B165" s="16"/>
      <c r="C165" s="46">
        <v>6</v>
      </c>
      <c r="D165" s="47">
        <v>37.4</v>
      </c>
      <c r="E165" s="35">
        <v>75.88</v>
      </c>
      <c r="F165" s="35">
        <v>5.5</v>
      </c>
      <c r="G165" s="35">
        <v>2.06</v>
      </c>
      <c r="H165" s="35">
        <v>19.18</v>
      </c>
      <c r="I165" s="35">
        <f t="shared" si="34"/>
        <v>3.1966666666666668</v>
      </c>
      <c r="J165" s="46" t="s">
        <v>554</v>
      </c>
      <c r="K165" s="48" t="s">
        <v>626</v>
      </c>
      <c r="L165" s="49">
        <v>6.4285999999999996E-2</v>
      </c>
      <c r="M165" s="35">
        <v>44</v>
      </c>
      <c r="N165" s="35">
        <v>75.88</v>
      </c>
      <c r="O165" s="35">
        <v>43.5</v>
      </c>
      <c r="P165" s="36">
        <v>2996</v>
      </c>
      <c r="Q165" s="37">
        <v>152</v>
      </c>
      <c r="R165" s="38"/>
      <c r="S165" s="39">
        <f>IF($S$1="ASSAULT RATE",SUMIF('Loads + CPFs by TAMCN'!$C$8:$C$1000,'Ammo Pallet Calculator'!A165,'Loads + CPFs by TAMCN'!$L$8:$L$1000),0)</f>
        <v>0</v>
      </c>
      <c r="T165" s="40">
        <f>IF($S$1="SUSTAIN RATE",SUMIF('Loads + CPFs by TAMCN'!$C$8:$C$1000,'Ammo Pallet Calculator'!A165,'Loads + CPFs by TAMCN'!$M$8:$M$1000),0)</f>
        <v>0</v>
      </c>
      <c r="U165" s="41">
        <f t="shared" si="32"/>
        <v>0</v>
      </c>
      <c r="V165" s="42">
        <f t="shared" si="29"/>
        <v>0</v>
      </c>
      <c r="W165" s="42">
        <f t="shared" si="30"/>
        <v>0</v>
      </c>
      <c r="X165" s="43">
        <f t="shared" si="31"/>
        <v>0</v>
      </c>
      <c r="Y165" s="43">
        <f t="shared" si="33"/>
        <v>0</v>
      </c>
    </row>
    <row r="166" spans="1:25" ht="13.5" thickBot="1" x14ac:dyDescent="0.25">
      <c r="A166" s="29" t="s">
        <v>440</v>
      </c>
      <c r="B166" s="16"/>
      <c r="C166" s="46">
        <v>6</v>
      </c>
      <c r="D166" s="47">
        <v>33.35</v>
      </c>
      <c r="E166" s="35">
        <v>75.88</v>
      </c>
      <c r="F166" s="35">
        <v>5.5</v>
      </c>
      <c r="G166" s="35">
        <v>2.06</v>
      </c>
      <c r="H166" s="35">
        <v>19.96</v>
      </c>
      <c r="I166" s="35">
        <f t="shared" si="34"/>
        <v>3.3266666666666667</v>
      </c>
      <c r="J166" s="46" t="s">
        <v>554</v>
      </c>
      <c r="K166" s="48" t="s">
        <v>626</v>
      </c>
      <c r="L166" s="49">
        <v>0.107143</v>
      </c>
      <c r="M166" s="35">
        <v>44</v>
      </c>
      <c r="N166" s="35">
        <v>75.88</v>
      </c>
      <c r="O166" s="35">
        <v>43.5</v>
      </c>
      <c r="P166" s="36">
        <v>3148</v>
      </c>
      <c r="Q166" s="37">
        <v>152</v>
      </c>
      <c r="R166" s="38"/>
      <c r="S166" s="39">
        <f>IF($S$1="ASSAULT RATE",SUMIF('Loads + CPFs by TAMCN'!$C$8:$C$1000,'Ammo Pallet Calculator'!A166,'Loads + CPFs by TAMCN'!$L$8:$L$1000),0)</f>
        <v>0</v>
      </c>
      <c r="T166" s="40">
        <f>IF($S$1="SUSTAIN RATE",SUMIF('Loads + CPFs by TAMCN'!$C$8:$C$1000,'Ammo Pallet Calculator'!A166,'Loads + CPFs by TAMCN'!$M$8:$M$1000),0)</f>
        <v>0</v>
      </c>
      <c r="U166" s="41">
        <f t="shared" si="32"/>
        <v>0</v>
      </c>
      <c r="V166" s="42">
        <f t="shared" si="29"/>
        <v>0</v>
      </c>
      <c r="W166" s="42">
        <f t="shared" si="30"/>
        <v>0</v>
      </c>
      <c r="X166" s="43">
        <f t="shared" si="31"/>
        <v>0</v>
      </c>
      <c r="Y166" s="43">
        <f t="shared" si="33"/>
        <v>0</v>
      </c>
    </row>
    <row r="167" spans="1:25" ht="13.5" thickBot="1" x14ac:dyDescent="0.25">
      <c r="A167" s="29" t="s">
        <v>442</v>
      </c>
      <c r="B167" s="16"/>
      <c r="C167" s="46">
        <v>3</v>
      </c>
      <c r="D167" s="47">
        <v>55.42</v>
      </c>
      <c r="E167" s="35">
        <v>75.88</v>
      </c>
      <c r="F167" s="35">
        <v>5.5</v>
      </c>
      <c r="G167" s="35">
        <v>2.06</v>
      </c>
      <c r="H167" s="35">
        <v>21.88</v>
      </c>
      <c r="I167" s="35">
        <f t="shared" si="34"/>
        <v>7.293333333333333</v>
      </c>
      <c r="J167" s="46" t="s">
        <v>554</v>
      </c>
      <c r="K167" s="48" t="s">
        <v>626</v>
      </c>
      <c r="L167" s="49">
        <v>0.19255700000000001</v>
      </c>
      <c r="M167" s="35">
        <v>44</v>
      </c>
      <c r="N167" s="35">
        <v>75.88</v>
      </c>
      <c r="O167" s="35">
        <v>43.5</v>
      </c>
      <c r="P167" s="36">
        <v>3452</v>
      </c>
      <c r="Q167" s="37">
        <v>152</v>
      </c>
      <c r="R167" s="16"/>
      <c r="S167" s="39">
        <f>IF($S$1="ASSAULT RATE",SUMIF('Loads + CPFs by TAMCN'!$C$8:$C$1000,'Ammo Pallet Calculator'!A167,'Loads + CPFs by TAMCN'!$L$8:$L$1000),0)</f>
        <v>0</v>
      </c>
      <c r="T167" s="40">
        <f>IF($S$1="SUSTAIN RATE",SUMIF('Loads + CPFs by TAMCN'!$C$8:$C$1000,'Ammo Pallet Calculator'!A167,'Loads + CPFs by TAMCN'!$M$8:$M$1000),0)</f>
        <v>0</v>
      </c>
      <c r="U167" s="41">
        <f t="shared" si="32"/>
        <v>0</v>
      </c>
      <c r="V167" s="42">
        <f t="shared" si="29"/>
        <v>0</v>
      </c>
      <c r="W167" s="42">
        <f t="shared" si="30"/>
        <v>0</v>
      </c>
      <c r="X167" s="43">
        <f t="shared" si="31"/>
        <v>0</v>
      </c>
      <c r="Y167" s="43">
        <f t="shared" si="33"/>
        <v>0</v>
      </c>
    </row>
    <row r="168" spans="1:25" ht="13.5" thickBot="1" x14ac:dyDescent="0.25">
      <c r="A168" s="29" t="s">
        <v>444</v>
      </c>
      <c r="B168" s="16"/>
      <c r="C168" s="46">
        <v>3</v>
      </c>
      <c r="D168" s="47">
        <v>65</v>
      </c>
      <c r="E168" s="35">
        <v>75.88</v>
      </c>
      <c r="F168" s="35">
        <v>5.5</v>
      </c>
      <c r="G168" s="35">
        <v>2.06</v>
      </c>
      <c r="H168" s="35">
        <v>23.04</v>
      </c>
      <c r="I168" s="35">
        <f t="shared" si="34"/>
        <v>7.68</v>
      </c>
      <c r="J168" s="46" t="s">
        <v>554</v>
      </c>
      <c r="K168" s="48" t="s">
        <v>626</v>
      </c>
      <c r="L168" s="49">
        <v>0.34285700000000002</v>
      </c>
      <c r="M168" s="35">
        <v>44</v>
      </c>
      <c r="N168" s="35">
        <v>75.88</v>
      </c>
      <c r="O168" s="35">
        <v>43.5</v>
      </c>
      <c r="P168" s="36">
        <v>3604</v>
      </c>
      <c r="Q168" s="37">
        <v>152</v>
      </c>
      <c r="R168" s="16"/>
      <c r="S168" s="39">
        <f>IF($S$1="ASSAULT RATE",SUMIF('Loads + CPFs by TAMCN'!$C$8:$C$1000,'Ammo Pallet Calculator'!A168,'Loads + CPFs by TAMCN'!$L$8:$L$1000),0)</f>
        <v>0</v>
      </c>
      <c r="T168" s="40">
        <f>IF($S$1="SUSTAIN RATE",SUMIF('Loads + CPFs by TAMCN'!$C$8:$C$1000,'Ammo Pallet Calculator'!A168,'Loads + CPFs by TAMCN'!$M$8:$M$1000),0)</f>
        <v>0</v>
      </c>
      <c r="U168" s="41">
        <f t="shared" si="32"/>
        <v>0</v>
      </c>
      <c r="V168" s="42">
        <f t="shared" ref="V168" si="35">SUM(U168/C168)</f>
        <v>0</v>
      </c>
      <c r="W168" s="42">
        <f t="shared" ref="W168" si="36">(V168/Q168)</f>
        <v>0</v>
      </c>
      <c r="X168" s="43">
        <f t="shared" ref="X168" si="37">SUM(V168*H168)</f>
        <v>0</v>
      </c>
      <c r="Y168" s="43">
        <f t="shared" ref="Y168" si="38">U168*L168</f>
        <v>0</v>
      </c>
    </row>
    <row r="169" spans="1:25" ht="13.5" thickBot="1" x14ac:dyDescent="0.25">
      <c r="A169" s="29" t="s">
        <v>446</v>
      </c>
      <c r="B169" s="16"/>
      <c r="C169" s="46">
        <v>3</v>
      </c>
      <c r="D169" s="47">
        <v>45.36</v>
      </c>
      <c r="E169" s="35">
        <v>75.88</v>
      </c>
      <c r="F169" s="35">
        <v>5.5</v>
      </c>
      <c r="G169" s="35">
        <v>2.06</v>
      </c>
      <c r="H169" s="35">
        <v>25.96</v>
      </c>
      <c r="I169" s="35">
        <f t="shared" si="34"/>
        <v>8.6533333333333342</v>
      </c>
      <c r="J169" s="46" t="s">
        <v>554</v>
      </c>
      <c r="K169" s="48" t="s">
        <v>626</v>
      </c>
      <c r="L169" s="49">
        <v>0.51428600000000002</v>
      </c>
      <c r="M169" s="35">
        <v>44</v>
      </c>
      <c r="N169" s="35">
        <v>75.88</v>
      </c>
      <c r="O169" s="35">
        <v>43.5</v>
      </c>
      <c r="P169" s="36">
        <v>4060</v>
      </c>
      <c r="Q169" s="37">
        <v>152</v>
      </c>
      <c r="R169" s="38"/>
      <c r="S169" s="39">
        <f>IF($S$1="ASSAULT RATE",SUMIF('Loads + CPFs by TAMCN'!$C$8:$C$1000,'Ammo Pallet Calculator'!A169,'Loads + CPFs by TAMCN'!$L$8:$L$1000),0)</f>
        <v>0</v>
      </c>
      <c r="T169" s="40">
        <f>IF($S$1="SUSTAIN RATE",SUMIF('Loads + CPFs by TAMCN'!$C$8:$C$1000,'Ammo Pallet Calculator'!A169,'Loads + CPFs by TAMCN'!$M$8:$M$1000),0)</f>
        <v>0</v>
      </c>
      <c r="U169" s="41">
        <f t="shared" si="32"/>
        <v>0</v>
      </c>
      <c r="V169" s="42">
        <f t="shared" si="29"/>
        <v>0</v>
      </c>
      <c r="W169" s="42">
        <f t="shared" si="30"/>
        <v>0</v>
      </c>
      <c r="X169" s="43">
        <f t="shared" si="31"/>
        <v>0</v>
      </c>
      <c r="Y169" s="43">
        <f t="shared" si="33"/>
        <v>0</v>
      </c>
    </row>
    <row r="170" spans="1:25" ht="13.5" thickBot="1" x14ac:dyDescent="0.25">
      <c r="A170" s="29" t="s">
        <v>628</v>
      </c>
      <c r="B170" s="16"/>
      <c r="C170" s="46">
        <v>8</v>
      </c>
      <c r="D170" s="47">
        <v>34.51</v>
      </c>
      <c r="E170" s="35">
        <v>18.62</v>
      </c>
      <c r="F170" s="35">
        <v>10.62</v>
      </c>
      <c r="G170" s="35">
        <v>14.62</v>
      </c>
      <c r="H170" s="35">
        <v>40.5</v>
      </c>
      <c r="I170" s="35">
        <f t="shared" si="34"/>
        <v>5.0625</v>
      </c>
      <c r="J170" s="46" t="s">
        <v>505</v>
      </c>
      <c r="K170" s="48" t="s">
        <v>629</v>
      </c>
      <c r="L170" s="49">
        <v>8.8000000000000005E-3</v>
      </c>
      <c r="M170" s="35">
        <v>40.25</v>
      </c>
      <c r="N170" s="35">
        <v>53.12</v>
      </c>
      <c r="O170" s="35">
        <v>34.75</v>
      </c>
      <c r="P170" s="36">
        <v>2095</v>
      </c>
      <c r="Q170" s="37">
        <v>20</v>
      </c>
      <c r="R170" s="38"/>
      <c r="S170" s="39">
        <f>IF($S$1="ASSAULT RATE",SUMIF('Loads + CPFs by TAMCN'!$C$8:$C$1000,'Ammo Pallet Calculator'!A170,'Loads + CPFs by TAMCN'!$L$8:$L$1000),0)</f>
        <v>0</v>
      </c>
      <c r="T170" s="40">
        <f>IF($S$1="SUSTAIN RATE",SUMIF('Loads + CPFs by TAMCN'!$C$8:$C$1000,'Ammo Pallet Calculator'!A170,'Loads + CPFs by TAMCN'!$M$8:$M$1000),0)</f>
        <v>0</v>
      </c>
      <c r="U170" s="41">
        <f t="shared" si="32"/>
        <v>0</v>
      </c>
      <c r="V170" s="42">
        <f t="shared" si="29"/>
        <v>0</v>
      </c>
      <c r="W170" s="42">
        <f t="shared" si="30"/>
        <v>0</v>
      </c>
      <c r="X170" s="43">
        <f t="shared" si="31"/>
        <v>0</v>
      </c>
      <c r="Y170" s="43">
        <f t="shared" si="33"/>
        <v>0</v>
      </c>
    </row>
    <row r="171" spans="1:25" ht="13.5" thickBot="1" x14ac:dyDescent="0.25">
      <c r="A171" s="29" t="s">
        <v>456</v>
      </c>
      <c r="B171" s="16"/>
      <c r="C171" s="46">
        <v>60</v>
      </c>
      <c r="D171" s="47">
        <v>3.07</v>
      </c>
      <c r="E171" s="35">
        <v>14.44</v>
      </c>
      <c r="F171" s="35">
        <v>12.53</v>
      </c>
      <c r="G171" s="35">
        <v>8.5</v>
      </c>
      <c r="H171" s="35">
        <v>27.34</v>
      </c>
      <c r="I171" s="35">
        <f t="shared" si="34"/>
        <v>0.45566666666666666</v>
      </c>
      <c r="J171" s="46" t="s">
        <v>505</v>
      </c>
      <c r="K171" s="48" t="s">
        <v>630</v>
      </c>
      <c r="L171" s="49">
        <v>5.0000000000000002E-5</v>
      </c>
      <c r="M171" s="35">
        <v>43.31</v>
      </c>
      <c r="N171" s="35">
        <v>50.12</v>
      </c>
      <c r="O171" s="35">
        <v>38</v>
      </c>
      <c r="P171" s="36">
        <v>1390</v>
      </c>
      <c r="Q171" s="37">
        <v>48</v>
      </c>
      <c r="R171" s="16"/>
      <c r="S171" s="39">
        <f>IF($S$1="ASSAULT RATE",SUMIF('Loads + CPFs by TAMCN'!$C$8:$C$1000,'Ammo Pallet Calculator'!A171,'Loads + CPFs by TAMCN'!$L$8:$L$1000),0)</f>
        <v>0</v>
      </c>
      <c r="T171" s="40">
        <f>IF($S$1="SUSTAIN RATE",SUMIF('Loads + CPFs by TAMCN'!$C$8:$C$1000,'Ammo Pallet Calculator'!A171,'Loads + CPFs by TAMCN'!$M$8:$M$1000),0)</f>
        <v>0</v>
      </c>
      <c r="U171" s="41">
        <f t="shared" si="32"/>
        <v>0</v>
      </c>
      <c r="V171" s="42">
        <f t="shared" si="29"/>
        <v>0</v>
      </c>
      <c r="W171" s="42">
        <f t="shared" si="30"/>
        <v>0</v>
      </c>
      <c r="X171" s="43">
        <f t="shared" si="31"/>
        <v>0</v>
      </c>
      <c r="Y171" s="43">
        <f t="shared" si="33"/>
        <v>0</v>
      </c>
    </row>
    <row r="172" spans="1:25" ht="13.5" thickBot="1" x14ac:dyDescent="0.25">
      <c r="A172" s="29" t="s">
        <v>460</v>
      </c>
      <c r="B172" s="16"/>
      <c r="C172" s="46">
        <v>1</v>
      </c>
      <c r="D172" s="47">
        <v>9000</v>
      </c>
      <c r="E172" s="35">
        <v>48</v>
      </c>
      <c r="F172" s="35">
        <v>36</v>
      </c>
      <c r="G172" s="35">
        <v>18</v>
      </c>
      <c r="H172" s="35">
        <v>180</v>
      </c>
      <c r="I172" s="35">
        <f t="shared" si="34"/>
        <v>180</v>
      </c>
      <c r="J172" s="46" t="s">
        <v>554</v>
      </c>
      <c r="K172" s="48" t="s">
        <v>600</v>
      </c>
      <c r="L172" s="49">
        <v>80</v>
      </c>
      <c r="M172" s="35">
        <v>48</v>
      </c>
      <c r="N172" s="35">
        <v>36</v>
      </c>
      <c r="O172" s="35">
        <v>36</v>
      </c>
      <c r="P172" s="36">
        <v>360</v>
      </c>
      <c r="Q172" s="55">
        <v>2</v>
      </c>
      <c r="R172" s="16"/>
      <c r="S172" s="39">
        <f>IF($S$1="ASSAULT RATE",SUMIF('Loads + CPFs by TAMCN'!$C$8:$C$1000,'Ammo Pallet Calculator'!A172,'Loads + CPFs by TAMCN'!$L$8:$L$1000),0)</f>
        <v>2.7840000000000003</v>
      </c>
      <c r="T172" s="40">
        <f>IF($S$1="SUSTAIN RATE",SUMIF('Loads + CPFs by TAMCN'!$C$8:$C$1000,'Ammo Pallet Calculator'!A172,'Loads + CPFs by TAMCN'!$M$8:$M$1000),0)</f>
        <v>0</v>
      </c>
      <c r="U172" s="41">
        <f t="shared" si="32"/>
        <v>2.7840000000000003</v>
      </c>
      <c r="V172" s="42">
        <f t="shared" si="29"/>
        <v>2.7840000000000003</v>
      </c>
      <c r="W172" s="42">
        <f t="shared" si="30"/>
        <v>1.3920000000000001</v>
      </c>
      <c r="X172" s="43">
        <f t="shared" si="31"/>
        <v>501.12000000000006</v>
      </c>
      <c r="Y172" s="43">
        <f t="shared" si="33"/>
        <v>222.72000000000003</v>
      </c>
    </row>
    <row r="173" spans="1:25" ht="13.5" thickBot="1" x14ac:dyDescent="0.25">
      <c r="A173" s="29" t="s">
        <v>631</v>
      </c>
      <c r="B173" s="16"/>
      <c r="C173" s="46">
        <v>500</v>
      </c>
      <c r="D173" s="47">
        <v>0.77</v>
      </c>
      <c r="E173" s="57">
        <v>13.4</v>
      </c>
      <c r="F173" s="57">
        <v>13.4</v>
      </c>
      <c r="G173" s="57">
        <v>15</v>
      </c>
      <c r="H173" s="57">
        <v>36</v>
      </c>
      <c r="I173" s="35">
        <f t="shared" si="34"/>
        <v>7.1999999999999995E-2</v>
      </c>
      <c r="J173" s="46" t="s">
        <v>554</v>
      </c>
      <c r="K173" s="48" t="s">
        <v>609</v>
      </c>
      <c r="L173" s="49">
        <v>5.7200000000000001E-2</v>
      </c>
      <c r="M173" s="35">
        <v>0</v>
      </c>
      <c r="N173" s="35">
        <v>0</v>
      </c>
      <c r="O173" s="35">
        <v>0</v>
      </c>
      <c r="P173" s="36">
        <v>0</v>
      </c>
      <c r="Q173" s="55">
        <v>1</v>
      </c>
      <c r="R173" s="38"/>
      <c r="S173" s="39">
        <f>IF($S$1="ASSAULT RATE",SUMIF('Loads + CPFs by TAMCN'!$C$8:$C$1000,'Ammo Pallet Calculator'!A173,'Loads + CPFs by TAMCN'!$L$8:$L$1000),0)</f>
        <v>0</v>
      </c>
      <c r="T173" s="40">
        <f>IF($S$1="SUSTAIN RATE",SUMIF('Loads + CPFs by TAMCN'!$C$8:$C$1000,'Ammo Pallet Calculator'!A173,'Loads + CPFs by TAMCN'!$M$8:$M$1000),0)</f>
        <v>0</v>
      </c>
      <c r="U173" s="41">
        <f t="shared" si="32"/>
        <v>0</v>
      </c>
      <c r="V173" s="42">
        <f t="shared" si="29"/>
        <v>0</v>
      </c>
      <c r="W173" s="42">
        <f t="shared" si="30"/>
        <v>0</v>
      </c>
      <c r="X173" s="43">
        <f t="shared" si="31"/>
        <v>0</v>
      </c>
      <c r="Y173" s="43">
        <f t="shared" si="33"/>
        <v>0</v>
      </c>
    </row>
    <row r="174" spans="1:25" ht="13.5" thickBot="1" x14ac:dyDescent="0.25">
      <c r="A174" s="29" t="s">
        <v>632</v>
      </c>
      <c r="B174" s="16"/>
      <c r="C174" s="46">
        <v>1200</v>
      </c>
      <c r="D174" s="47">
        <v>0.26</v>
      </c>
      <c r="E174" s="57">
        <v>13.4</v>
      </c>
      <c r="F174" s="57">
        <v>13.4</v>
      </c>
      <c r="G174" s="57">
        <v>15</v>
      </c>
      <c r="H174" s="57">
        <v>36</v>
      </c>
      <c r="I174" s="35">
        <f t="shared" si="34"/>
        <v>0.03</v>
      </c>
      <c r="J174" s="46" t="s">
        <v>554</v>
      </c>
      <c r="K174" s="48" t="s">
        <v>609</v>
      </c>
      <c r="L174" s="49">
        <v>2.86E-2</v>
      </c>
      <c r="M174" s="35">
        <v>0</v>
      </c>
      <c r="N174" s="35">
        <v>0</v>
      </c>
      <c r="O174" s="35">
        <v>0</v>
      </c>
      <c r="P174" s="36">
        <v>0</v>
      </c>
      <c r="Q174" s="55">
        <v>1</v>
      </c>
      <c r="R174" s="38"/>
      <c r="S174" s="39">
        <f>IF($S$1="ASSAULT RATE",SUMIF('Loads + CPFs by TAMCN'!$C$8:$C$1000,'Ammo Pallet Calculator'!A174,'Loads + CPFs by TAMCN'!$L$8:$L$1000),0)</f>
        <v>0</v>
      </c>
      <c r="T174" s="40">
        <f>IF($S$1="SUSTAIN RATE",SUMIF('Loads + CPFs by TAMCN'!$C$8:$C$1000,'Ammo Pallet Calculator'!A174,'Loads + CPFs by TAMCN'!$M$8:$M$1000),0)</f>
        <v>0</v>
      </c>
      <c r="U174" s="41">
        <f t="shared" si="32"/>
        <v>0</v>
      </c>
      <c r="V174" s="59">
        <f t="shared" si="29"/>
        <v>0</v>
      </c>
      <c r="W174" s="59">
        <f t="shared" si="30"/>
        <v>0</v>
      </c>
      <c r="X174" s="60">
        <f t="shared" si="31"/>
        <v>0</v>
      </c>
      <c r="Y174" s="60">
        <f t="shared" si="33"/>
        <v>0</v>
      </c>
    </row>
    <row r="175" spans="1:25" ht="13.5" thickBot="1" x14ac:dyDescent="0.25">
      <c r="A175" s="29" t="s">
        <v>633</v>
      </c>
      <c r="B175" s="16"/>
      <c r="C175" s="46">
        <v>1600</v>
      </c>
      <c r="D175" s="47">
        <v>0.16</v>
      </c>
      <c r="E175" s="57">
        <v>11</v>
      </c>
      <c r="F175" s="57">
        <v>11</v>
      </c>
      <c r="G175" s="57">
        <v>13</v>
      </c>
      <c r="H175" s="57">
        <v>34</v>
      </c>
      <c r="I175" s="35">
        <f t="shared" si="34"/>
        <v>2.1250000000000002E-2</v>
      </c>
      <c r="J175" s="46" t="s">
        <v>554</v>
      </c>
      <c r="K175" s="48" t="s">
        <v>609</v>
      </c>
      <c r="L175" s="49">
        <v>1.43E-2</v>
      </c>
      <c r="M175" s="35">
        <v>0</v>
      </c>
      <c r="N175" s="35">
        <v>0</v>
      </c>
      <c r="O175" s="35">
        <v>0</v>
      </c>
      <c r="P175" s="36">
        <v>0</v>
      </c>
      <c r="Q175" s="55">
        <v>1</v>
      </c>
      <c r="R175" s="38"/>
      <c r="S175" s="39">
        <f>IF($S$1="ASSAULT RATE",SUMIF('Loads + CPFs by TAMCN'!$C$8:$C$1000,'Ammo Pallet Calculator'!A175,'Loads + CPFs by TAMCN'!$L$8:$L$1000),0)</f>
        <v>0</v>
      </c>
      <c r="T175" s="40">
        <f>IF($S$1="SUSTAIN RATE",SUMIF('Loads + CPFs by TAMCN'!$C$8:$C$1000,'Ammo Pallet Calculator'!A175,'Loads + CPFs by TAMCN'!$M$8:$M$1000),0)</f>
        <v>0</v>
      </c>
      <c r="U175" s="41">
        <f t="shared" ref="U175:U198" si="39">SUM(S175:T175)</f>
        <v>0</v>
      </c>
      <c r="V175" s="59">
        <f t="shared" ref="V175:V198" si="40">SUM(U175/C175)</f>
        <v>0</v>
      </c>
      <c r="W175" s="59">
        <f t="shared" ref="W175:W198" si="41">(V175/Q175)</f>
        <v>0</v>
      </c>
      <c r="X175" s="60">
        <f t="shared" ref="X175:X198" si="42">SUM(V175*H175)</f>
        <v>0</v>
      </c>
      <c r="Y175" s="60">
        <f t="shared" ref="Y175:Y198" si="43">U175*L175</f>
        <v>0</v>
      </c>
    </row>
    <row r="176" spans="1:25" ht="13.5" thickBot="1" x14ac:dyDescent="0.25">
      <c r="A176" s="29" t="s">
        <v>634</v>
      </c>
      <c r="B176" s="16"/>
      <c r="C176" s="46">
        <v>250</v>
      </c>
      <c r="D176" s="47">
        <v>1.1000000000000001</v>
      </c>
      <c r="E176" s="57">
        <v>13.4</v>
      </c>
      <c r="F176" s="57">
        <v>13.4</v>
      </c>
      <c r="G176" s="57">
        <v>15</v>
      </c>
      <c r="H176" s="57">
        <v>36</v>
      </c>
      <c r="I176" s="35">
        <f t="shared" si="34"/>
        <v>0.14399999999999999</v>
      </c>
      <c r="J176" s="46" t="s">
        <v>554</v>
      </c>
      <c r="K176" s="48" t="s">
        <v>609</v>
      </c>
      <c r="L176" s="49">
        <v>8.5800000000000001E-2</v>
      </c>
      <c r="M176" s="35">
        <v>0</v>
      </c>
      <c r="N176" s="35">
        <v>0</v>
      </c>
      <c r="O176" s="35">
        <v>0</v>
      </c>
      <c r="P176" s="36">
        <v>0</v>
      </c>
      <c r="Q176" s="55">
        <v>1</v>
      </c>
      <c r="R176" s="38"/>
      <c r="S176" s="39">
        <f>IF($S$1="ASSAULT RATE",SUMIF('Loads + CPFs by TAMCN'!$C$8:$C$1000,'Ammo Pallet Calculator'!A176,'Loads + CPFs by TAMCN'!$L$8:$L$1000),0)</f>
        <v>0</v>
      </c>
      <c r="T176" s="40">
        <f>IF($S$1="SUSTAIN RATE",SUMIF('Loads + CPFs by TAMCN'!$C$8:$C$1000,'Ammo Pallet Calculator'!A176,'Loads + CPFs by TAMCN'!$M$8:$M$1000),0)</f>
        <v>0</v>
      </c>
      <c r="U176" s="41">
        <f t="shared" si="39"/>
        <v>0</v>
      </c>
      <c r="V176" s="59">
        <f t="shared" si="40"/>
        <v>0</v>
      </c>
      <c r="W176" s="59">
        <f t="shared" si="41"/>
        <v>0</v>
      </c>
      <c r="X176" s="60">
        <f t="shared" si="42"/>
        <v>0</v>
      </c>
      <c r="Y176" s="60">
        <f t="shared" si="43"/>
        <v>0</v>
      </c>
    </row>
    <row r="177" spans="1:25" ht="13.5" thickBot="1" x14ac:dyDescent="0.25">
      <c r="A177" s="29" t="s">
        <v>635</v>
      </c>
      <c r="B177" s="16"/>
      <c r="C177" s="46">
        <v>16</v>
      </c>
      <c r="D177" s="47">
        <v>106.73</v>
      </c>
      <c r="E177" s="35">
        <v>14.62</v>
      </c>
      <c r="F177" s="35">
        <v>13.18</v>
      </c>
      <c r="G177" s="35">
        <v>8.56</v>
      </c>
      <c r="H177" s="35">
        <v>39.4</v>
      </c>
      <c r="I177" s="35">
        <f t="shared" si="34"/>
        <v>2.4624999999999999</v>
      </c>
      <c r="J177" s="46" t="s">
        <v>505</v>
      </c>
      <c r="K177" s="48" t="s">
        <v>636</v>
      </c>
      <c r="L177" s="49">
        <v>5.5000000000000003E-4</v>
      </c>
      <c r="M177" s="35">
        <v>43.88</v>
      </c>
      <c r="N177" s="35">
        <v>52.75</v>
      </c>
      <c r="O177" s="35">
        <v>31.18</v>
      </c>
      <c r="P177" s="36">
        <v>1496</v>
      </c>
      <c r="Q177" s="37">
        <v>36</v>
      </c>
      <c r="R177" s="38"/>
      <c r="S177" s="39">
        <f>IF($S$1="ASSAULT RATE",SUMIF('Loads + CPFs by TAMCN'!$C$8:$C$1000,'Ammo Pallet Calculator'!A177,'Loads + CPFs by TAMCN'!$L$8:$L$1000),0)</f>
        <v>0</v>
      </c>
      <c r="T177" s="40">
        <f>IF($S$1="SUSTAIN RATE",SUMIF('Loads + CPFs by TAMCN'!$C$8:$C$1000,'Ammo Pallet Calculator'!A177,'Loads + CPFs by TAMCN'!$M$8:$M$1000),0)</f>
        <v>0</v>
      </c>
      <c r="U177" s="41">
        <f t="shared" si="39"/>
        <v>0</v>
      </c>
      <c r="V177" s="59">
        <f t="shared" si="40"/>
        <v>0</v>
      </c>
      <c r="W177" s="59">
        <f t="shared" si="41"/>
        <v>0</v>
      </c>
      <c r="X177" s="60">
        <f t="shared" si="42"/>
        <v>0</v>
      </c>
      <c r="Y177" s="60">
        <f t="shared" si="43"/>
        <v>0</v>
      </c>
    </row>
    <row r="178" spans="1:25" ht="13.5" thickBot="1" x14ac:dyDescent="0.25">
      <c r="A178" s="29" t="s">
        <v>637</v>
      </c>
      <c r="B178" s="16"/>
      <c r="C178" s="46">
        <v>16</v>
      </c>
      <c r="D178" s="47">
        <v>78.22</v>
      </c>
      <c r="E178" s="35">
        <v>14.62</v>
      </c>
      <c r="F178" s="35">
        <v>13.18</v>
      </c>
      <c r="G178" s="35">
        <v>8.56</v>
      </c>
      <c r="H178" s="35">
        <v>41.8</v>
      </c>
      <c r="I178" s="35">
        <f t="shared" si="34"/>
        <v>2.6124999999999998</v>
      </c>
      <c r="J178" s="46" t="s">
        <v>581</v>
      </c>
      <c r="K178" s="48" t="s">
        <v>638</v>
      </c>
      <c r="L178" s="49">
        <v>6.7000000000000004E-2</v>
      </c>
      <c r="M178" s="35">
        <v>43.88</v>
      </c>
      <c r="N178" s="35">
        <v>52.75</v>
      </c>
      <c r="O178" s="35">
        <v>31.18</v>
      </c>
      <c r="P178" s="36">
        <v>1599</v>
      </c>
      <c r="Q178" s="37">
        <v>36</v>
      </c>
      <c r="R178" s="38"/>
      <c r="S178" s="39">
        <f>IF($S$1="ASSAULT RATE",SUMIF('Loads + CPFs by TAMCN'!$C$8:$C$1000,'Ammo Pallet Calculator'!A178,'Loads + CPFs by TAMCN'!$L$8:$L$1000),0)</f>
        <v>0</v>
      </c>
      <c r="T178" s="40">
        <f>IF($S$1="SUSTAIN RATE",SUMIF('Loads + CPFs by TAMCN'!$C$8:$C$1000,'Ammo Pallet Calculator'!A178,'Loads + CPFs by TAMCN'!$M$8:$M$1000),0)</f>
        <v>0</v>
      </c>
      <c r="U178" s="41">
        <f t="shared" si="39"/>
        <v>0</v>
      </c>
      <c r="V178" s="59">
        <f t="shared" si="40"/>
        <v>0</v>
      </c>
      <c r="W178" s="59">
        <f t="shared" si="41"/>
        <v>0</v>
      </c>
      <c r="X178" s="60">
        <f t="shared" si="42"/>
        <v>0</v>
      </c>
      <c r="Y178" s="60">
        <f t="shared" si="43"/>
        <v>0</v>
      </c>
    </row>
    <row r="179" spans="1:25" ht="13.5" thickBot="1" x14ac:dyDescent="0.25">
      <c r="A179" s="29" t="s">
        <v>639</v>
      </c>
      <c r="B179" s="16"/>
      <c r="C179" s="46">
        <v>16</v>
      </c>
      <c r="D179" s="47">
        <v>175.42</v>
      </c>
      <c r="E179" s="35">
        <v>14.62</v>
      </c>
      <c r="F179" s="35">
        <v>13.18</v>
      </c>
      <c r="G179" s="35">
        <v>8.56</v>
      </c>
      <c r="H179" s="35">
        <v>41.8</v>
      </c>
      <c r="I179" s="35">
        <f t="shared" si="34"/>
        <v>2.6124999999999998</v>
      </c>
      <c r="J179" s="46" t="s">
        <v>581</v>
      </c>
      <c r="K179" s="48" t="s">
        <v>638</v>
      </c>
      <c r="L179" s="49">
        <v>6.7098000000000005E-2</v>
      </c>
      <c r="M179" s="35">
        <v>43.88</v>
      </c>
      <c r="N179" s="35">
        <v>52.75</v>
      </c>
      <c r="O179" s="35">
        <v>31.18</v>
      </c>
      <c r="P179" s="36">
        <v>1594</v>
      </c>
      <c r="Q179" s="37">
        <v>36</v>
      </c>
      <c r="R179" s="38"/>
      <c r="S179" s="39">
        <f>IF($S$1="ASSAULT RATE",SUMIF('Loads + CPFs by TAMCN'!$C$8:$C$1000,'Ammo Pallet Calculator'!A179,'Loads + CPFs by TAMCN'!$L$8:$L$1000),0)</f>
        <v>0</v>
      </c>
      <c r="T179" s="40">
        <f>IF($S$1="SUSTAIN RATE",SUMIF('Loads + CPFs by TAMCN'!$C$8:$C$1000,'Ammo Pallet Calculator'!A179,'Loads + CPFs by TAMCN'!$M$8:$M$1000),0)</f>
        <v>0</v>
      </c>
      <c r="U179" s="41">
        <f t="shared" si="39"/>
        <v>0</v>
      </c>
      <c r="V179" s="59">
        <f t="shared" si="40"/>
        <v>0</v>
      </c>
      <c r="W179" s="59">
        <f t="shared" si="41"/>
        <v>0</v>
      </c>
      <c r="X179" s="60">
        <f t="shared" si="42"/>
        <v>0</v>
      </c>
      <c r="Y179" s="60">
        <f t="shared" si="43"/>
        <v>0</v>
      </c>
    </row>
    <row r="180" spans="1:25" ht="13.5" thickBot="1" x14ac:dyDescent="0.25">
      <c r="A180" s="29" t="s">
        <v>16</v>
      </c>
      <c r="B180" s="16"/>
      <c r="C180" s="46">
        <v>16</v>
      </c>
      <c r="D180" s="47">
        <v>18.43</v>
      </c>
      <c r="E180" s="35">
        <v>14.62</v>
      </c>
      <c r="F180" s="35">
        <v>13.18</v>
      </c>
      <c r="G180" s="35">
        <v>8.56</v>
      </c>
      <c r="H180" s="35">
        <v>46</v>
      </c>
      <c r="I180" s="35">
        <f t="shared" si="34"/>
        <v>2.875</v>
      </c>
      <c r="J180" s="46" t="s">
        <v>554</v>
      </c>
      <c r="K180" s="48" t="s">
        <v>638</v>
      </c>
      <c r="L180" s="49">
        <v>4.8000000000000001E-2</v>
      </c>
      <c r="M180" s="35">
        <v>43.88</v>
      </c>
      <c r="N180" s="35">
        <v>52.75</v>
      </c>
      <c r="O180" s="35">
        <v>31.18</v>
      </c>
      <c r="P180" s="36">
        <v>1745</v>
      </c>
      <c r="Q180" s="37">
        <v>36</v>
      </c>
      <c r="R180" s="38"/>
      <c r="S180" s="39">
        <f>IF($S$1="ASSAULT RATE",SUMIF('Loads + CPFs by TAMCN'!$C$8:$C$1000,'Ammo Pallet Calculator'!A180,'Loads + CPFs by TAMCN'!$L$8:$L$1000),0)</f>
        <v>354.52800000000002</v>
      </c>
      <c r="T180" s="40">
        <f>IF($S$1="SUSTAIN RATE",SUMIF('Loads + CPFs by TAMCN'!$C$8:$C$1000,'Ammo Pallet Calculator'!A180,'Loads + CPFs by TAMCN'!$M$8:$M$1000),0)</f>
        <v>0</v>
      </c>
      <c r="U180" s="41">
        <f t="shared" si="39"/>
        <v>354.52800000000002</v>
      </c>
      <c r="V180" s="59">
        <f t="shared" si="40"/>
        <v>22.158000000000001</v>
      </c>
      <c r="W180" s="59">
        <f t="shared" si="41"/>
        <v>0.61550000000000005</v>
      </c>
      <c r="X180" s="60">
        <f t="shared" si="42"/>
        <v>1019.268</v>
      </c>
      <c r="Y180" s="60">
        <f t="shared" si="43"/>
        <v>17.017344000000001</v>
      </c>
    </row>
    <row r="181" spans="1:25" ht="13.5" thickBot="1" x14ac:dyDescent="0.25">
      <c r="A181" s="29" t="s">
        <v>11</v>
      </c>
      <c r="B181" s="16"/>
      <c r="C181" s="46">
        <v>800</v>
      </c>
      <c r="D181" s="47">
        <v>1.69</v>
      </c>
      <c r="E181" s="35">
        <v>24.12</v>
      </c>
      <c r="F181" s="35">
        <v>12</v>
      </c>
      <c r="G181" s="35">
        <v>11.18</v>
      </c>
      <c r="H181" s="35">
        <v>49</v>
      </c>
      <c r="I181" s="35">
        <f t="shared" si="34"/>
        <v>6.1249999999999999E-2</v>
      </c>
      <c r="J181" s="46" t="s">
        <v>505</v>
      </c>
      <c r="K181" s="48" t="s">
        <v>640</v>
      </c>
      <c r="L181" s="49">
        <v>3.0799999999999998E-3</v>
      </c>
      <c r="M181" s="35">
        <v>36</v>
      </c>
      <c r="N181" s="35">
        <v>48.25</v>
      </c>
      <c r="O181" s="35">
        <v>39.06</v>
      </c>
      <c r="P181" s="36">
        <v>954</v>
      </c>
      <c r="Q181" s="37">
        <v>18</v>
      </c>
      <c r="R181" s="38"/>
      <c r="S181" s="39">
        <f>IF($S$1="ASSAULT RATE",SUMIF('Loads + CPFs by TAMCN'!$C$8:$C$1000,'Ammo Pallet Calculator'!A181,'Loads + CPFs by TAMCN'!$L$8:$L$1000),0)</f>
        <v>1216.9680000000001</v>
      </c>
      <c r="T181" s="40">
        <f>IF($S$1="SUSTAIN RATE",SUMIF('Loads + CPFs by TAMCN'!$C$8:$C$1000,'Ammo Pallet Calculator'!A181,'Loads + CPFs by TAMCN'!$M$8:$M$1000),0)</f>
        <v>0</v>
      </c>
      <c r="U181" s="41">
        <f t="shared" si="39"/>
        <v>1216.9680000000001</v>
      </c>
      <c r="V181" s="59">
        <f t="shared" si="40"/>
        <v>1.5212100000000002</v>
      </c>
      <c r="W181" s="59">
        <f t="shared" si="41"/>
        <v>8.4511666666666679E-2</v>
      </c>
      <c r="X181" s="60">
        <f t="shared" si="42"/>
        <v>74.539290000000008</v>
      </c>
      <c r="Y181" s="60">
        <f t="shared" si="43"/>
        <v>3.7482614399999998</v>
      </c>
    </row>
    <row r="182" spans="1:25" ht="13.5" thickBot="1" x14ac:dyDescent="0.25">
      <c r="A182" s="29" t="s">
        <v>17</v>
      </c>
      <c r="B182" s="16"/>
      <c r="C182" s="46">
        <v>8</v>
      </c>
      <c r="D182" s="47">
        <v>72.75</v>
      </c>
      <c r="E182" s="35">
        <v>12.03</v>
      </c>
      <c r="F182" s="35">
        <v>6.09</v>
      </c>
      <c r="G182" s="35">
        <v>7.5</v>
      </c>
      <c r="H182" s="35">
        <v>26.9</v>
      </c>
      <c r="I182" s="35">
        <f t="shared" si="34"/>
        <v>3.3624999999999998</v>
      </c>
      <c r="J182" s="46" t="s">
        <v>581</v>
      </c>
      <c r="K182" s="48" t="s">
        <v>638</v>
      </c>
      <c r="L182" s="49">
        <v>2.76E-2</v>
      </c>
      <c r="M182" s="35">
        <v>48</v>
      </c>
      <c r="N182" s="35">
        <v>40.5</v>
      </c>
      <c r="O182" s="35">
        <v>27</v>
      </c>
      <c r="P182" s="36">
        <v>1689</v>
      </c>
      <c r="Q182" s="37">
        <v>36</v>
      </c>
      <c r="R182" s="38"/>
      <c r="S182" s="39">
        <f>IF($S$1="ASSAULT RATE",SUMIF('Loads + CPFs by TAMCN'!$C$8:$C$1000,'Ammo Pallet Calculator'!A182,'Loads + CPFs by TAMCN'!$L$8:$L$1000),0)</f>
        <v>19.919999999999998</v>
      </c>
      <c r="T182" s="40">
        <f>IF($S$1="SUSTAIN RATE",SUMIF('Loads + CPFs by TAMCN'!$C$8:$C$1000,'Ammo Pallet Calculator'!A182,'Loads + CPFs by TAMCN'!$M$8:$M$1000),0)</f>
        <v>0</v>
      </c>
      <c r="U182" s="41">
        <f t="shared" si="39"/>
        <v>19.919999999999998</v>
      </c>
      <c r="V182" s="59">
        <f t="shared" si="40"/>
        <v>2.4899999999999998</v>
      </c>
      <c r="W182" s="59">
        <f t="shared" si="41"/>
        <v>6.9166666666666654E-2</v>
      </c>
      <c r="X182" s="60">
        <f t="shared" si="42"/>
        <v>66.980999999999995</v>
      </c>
      <c r="Y182" s="60">
        <f t="shared" si="43"/>
        <v>0.54979199999999995</v>
      </c>
    </row>
    <row r="183" spans="1:25" ht="13.5" thickBot="1" x14ac:dyDescent="0.25">
      <c r="A183" s="29" t="s">
        <v>20</v>
      </c>
      <c r="B183" s="16"/>
      <c r="C183" s="46">
        <v>16</v>
      </c>
      <c r="D183" s="47"/>
      <c r="E183" s="35">
        <v>14.44</v>
      </c>
      <c r="F183" s="35">
        <v>43.87</v>
      </c>
      <c r="G183" s="35">
        <v>31.25</v>
      </c>
      <c r="H183" s="35">
        <v>1575</v>
      </c>
      <c r="I183" s="35">
        <f t="shared" si="34"/>
        <v>98.4375</v>
      </c>
      <c r="J183" s="46" t="s">
        <v>804</v>
      </c>
      <c r="K183" s="48" t="s">
        <v>638</v>
      </c>
      <c r="L183" s="49">
        <v>4.9520000000000002E-2</v>
      </c>
      <c r="M183" s="35">
        <v>51.25</v>
      </c>
      <c r="N183" s="35">
        <v>43.87</v>
      </c>
      <c r="O183" s="35">
        <v>31.25</v>
      </c>
      <c r="P183" s="36">
        <v>1575</v>
      </c>
      <c r="Q183" s="37">
        <v>36</v>
      </c>
      <c r="R183" s="38"/>
      <c r="S183" s="39">
        <f>IF($S$1="ASSAULT RATE",SUMIF('Loads + CPFs by TAMCN'!$C$8:$C$1000,'Ammo Pallet Calculator'!A183,'Loads + CPFs by TAMCN'!$L$8:$L$1000),0)</f>
        <v>186.792</v>
      </c>
      <c r="T183" s="40">
        <f>IF($S$1="SUSTAIN RATE",SUMIF('Loads + CPFs by TAMCN'!$C$8:$C$1000,'Ammo Pallet Calculator'!A183,'Loads + CPFs by TAMCN'!$M$8:$M$1000),0)</f>
        <v>0</v>
      </c>
      <c r="U183" s="41">
        <f t="shared" si="39"/>
        <v>186.792</v>
      </c>
      <c r="V183" s="59">
        <f t="shared" si="40"/>
        <v>11.6745</v>
      </c>
      <c r="W183" s="59">
        <f t="shared" si="41"/>
        <v>0.32429166666666664</v>
      </c>
      <c r="X183" s="60">
        <f t="shared" si="42"/>
        <v>18387.337500000001</v>
      </c>
      <c r="Y183" s="60">
        <f t="shared" si="43"/>
        <v>9.2499398399999997</v>
      </c>
    </row>
    <row r="184" spans="1:25" ht="13.5" thickBot="1" x14ac:dyDescent="0.25">
      <c r="A184" s="29" t="s">
        <v>22</v>
      </c>
      <c r="B184" s="16"/>
      <c r="C184" s="46">
        <v>36</v>
      </c>
      <c r="D184" s="47"/>
      <c r="E184" s="35">
        <v>14.44</v>
      </c>
      <c r="F184" s="35">
        <v>12.53</v>
      </c>
      <c r="G184" s="35">
        <v>8.1300000000000008</v>
      </c>
      <c r="H184" s="35">
        <v>1601</v>
      </c>
      <c r="I184" s="35">
        <f t="shared" si="34"/>
        <v>44.472222222222221</v>
      </c>
      <c r="J184" s="46" t="s">
        <v>803</v>
      </c>
      <c r="K184" s="48" t="s">
        <v>638</v>
      </c>
      <c r="L184" s="49">
        <v>6.6640000000000005E-2</v>
      </c>
      <c r="M184" s="35">
        <v>48</v>
      </c>
      <c r="N184" s="35">
        <v>40</v>
      </c>
      <c r="O184" s="35">
        <v>29.75</v>
      </c>
      <c r="P184" s="36">
        <v>1601</v>
      </c>
      <c r="Q184" s="37">
        <v>36</v>
      </c>
      <c r="R184" s="38"/>
      <c r="S184" s="39">
        <f>IF($S$1="ASSAULT RATE",SUMIF('Loads + CPFs by TAMCN'!$C$8:$C$1000,'Ammo Pallet Calculator'!A184,'Loads + CPFs by TAMCN'!$L$8:$L$1000),0)</f>
        <v>87.36</v>
      </c>
      <c r="T184" s="40">
        <f>IF($S$1="SUSTAIN RATE",SUMIF('Loads + CPFs by TAMCN'!$C$8:$C$1000,'Ammo Pallet Calculator'!A184,'Loads + CPFs by TAMCN'!$M$8:$M$1000),0)</f>
        <v>0</v>
      </c>
      <c r="U184" s="41">
        <f t="shared" si="39"/>
        <v>87.36</v>
      </c>
      <c r="V184" s="59">
        <f t="shared" si="40"/>
        <v>2.4266666666666667</v>
      </c>
      <c r="W184" s="59">
        <f t="shared" si="41"/>
        <v>6.7407407407407416E-2</v>
      </c>
      <c r="X184" s="60">
        <f t="shared" si="42"/>
        <v>3885.0933333333332</v>
      </c>
      <c r="Y184" s="60">
        <f t="shared" si="43"/>
        <v>5.8216704000000004</v>
      </c>
    </row>
    <row r="185" spans="1:25" ht="13.5" thickBot="1" x14ac:dyDescent="0.25">
      <c r="A185" s="29" t="s">
        <v>13</v>
      </c>
      <c r="B185" s="16"/>
      <c r="C185" s="46">
        <v>16</v>
      </c>
      <c r="D185" s="47"/>
      <c r="E185" s="35">
        <v>14.44</v>
      </c>
      <c r="F185" s="35">
        <v>12.53</v>
      </c>
      <c r="G185" s="35">
        <v>8.1300000000000008</v>
      </c>
      <c r="H185" s="35">
        <v>39.4</v>
      </c>
      <c r="I185" s="35">
        <f t="shared" si="34"/>
        <v>2.4624999999999999</v>
      </c>
      <c r="J185" s="46" t="s">
        <v>505</v>
      </c>
      <c r="K185" s="48" t="s">
        <v>636</v>
      </c>
      <c r="L185" s="49">
        <v>5.1000000000000004E-4</v>
      </c>
      <c r="M185" s="35">
        <v>48</v>
      </c>
      <c r="N185" s="35">
        <v>40</v>
      </c>
      <c r="O185" s="35">
        <v>29.75</v>
      </c>
      <c r="P185" s="36">
        <v>1586</v>
      </c>
      <c r="Q185" s="37">
        <v>36</v>
      </c>
      <c r="R185" s="38"/>
      <c r="S185" s="39">
        <f>IF($S$1="ASSAULT RATE",SUMIF('Loads + CPFs by TAMCN'!$C$8:$C$1000,'Ammo Pallet Calculator'!A185,'Loads + CPFs by TAMCN'!$L$8:$L$1000),0)</f>
        <v>466.536</v>
      </c>
      <c r="T185" s="40">
        <f>IF($S$1="SUSTAIN RATE",SUMIF('Loads + CPFs by TAMCN'!$C$8:$C$1000,'Ammo Pallet Calculator'!A185,'Loads + CPFs by TAMCN'!$M$8:$M$1000),0)</f>
        <v>0</v>
      </c>
      <c r="U185" s="41">
        <f t="shared" si="39"/>
        <v>466.536</v>
      </c>
      <c r="V185" s="59">
        <f t="shared" si="40"/>
        <v>29.1585</v>
      </c>
      <c r="W185" s="59">
        <f t="shared" si="41"/>
        <v>0.80995833333333334</v>
      </c>
      <c r="X185" s="60">
        <f t="shared" si="42"/>
        <v>1148.8449000000001</v>
      </c>
      <c r="Y185" s="60">
        <f t="shared" si="43"/>
        <v>0.23793336000000001</v>
      </c>
    </row>
    <row r="186" spans="1:25" ht="13.5" thickBot="1" x14ac:dyDescent="0.25">
      <c r="A186" s="29" t="s">
        <v>24</v>
      </c>
      <c r="B186" s="16"/>
      <c r="C186" s="46">
        <v>16</v>
      </c>
      <c r="D186" s="47"/>
      <c r="E186" s="35">
        <v>14.44</v>
      </c>
      <c r="F186" s="35">
        <v>12.53</v>
      </c>
      <c r="G186" s="35">
        <v>8.1300000000000008</v>
      </c>
      <c r="H186" s="35">
        <v>39.4</v>
      </c>
      <c r="I186" s="35">
        <f t="shared" si="34"/>
        <v>2.4624999999999999</v>
      </c>
      <c r="J186" s="46" t="s">
        <v>505</v>
      </c>
      <c r="K186" s="48" t="s">
        <v>636</v>
      </c>
      <c r="L186" s="49">
        <v>5.1000000000000004E-4</v>
      </c>
      <c r="M186" s="35">
        <v>48</v>
      </c>
      <c r="N186" s="35">
        <v>40</v>
      </c>
      <c r="O186" s="35">
        <v>29.75</v>
      </c>
      <c r="P186" s="36">
        <v>1586</v>
      </c>
      <c r="Q186" s="37">
        <v>36</v>
      </c>
      <c r="R186" s="38"/>
      <c r="S186" s="39">
        <f>IF($S$1="ASSAULT RATE",SUMIF('Loads + CPFs by TAMCN'!$C$8:$C$1000,'Ammo Pallet Calculator'!A186,'Loads + CPFs by TAMCN'!$L$8:$L$1000),0)</f>
        <v>89.856000000000009</v>
      </c>
      <c r="T186" s="40">
        <f>IF($S$1="SUSTAIN RATE",SUMIF('Loads + CPFs by TAMCN'!$C$8:$C$1000,'Ammo Pallet Calculator'!A186,'Loads + CPFs by TAMCN'!$M$8:$M$1000),0)</f>
        <v>0</v>
      </c>
      <c r="U186" s="41">
        <f t="shared" si="39"/>
        <v>89.856000000000009</v>
      </c>
      <c r="V186" s="59">
        <f t="shared" si="40"/>
        <v>5.6160000000000005</v>
      </c>
      <c r="W186" s="59">
        <f t="shared" si="41"/>
        <v>0.15600000000000003</v>
      </c>
      <c r="X186" s="60">
        <f t="shared" si="42"/>
        <v>221.27040000000002</v>
      </c>
      <c r="Y186" s="60">
        <f t="shared" si="43"/>
        <v>4.5826560000000009E-2</v>
      </c>
    </row>
    <row r="187" spans="1:25" ht="13.5" thickBot="1" x14ac:dyDescent="0.25">
      <c r="A187" s="29" t="s">
        <v>641</v>
      </c>
      <c r="B187" s="16"/>
      <c r="C187" s="46">
        <v>1</v>
      </c>
      <c r="D187" s="47">
        <v>214103</v>
      </c>
      <c r="E187" s="35">
        <v>216</v>
      </c>
      <c r="F187" s="35">
        <v>28.75</v>
      </c>
      <c r="G187" s="35">
        <v>41.5</v>
      </c>
      <c r="H187" s="35">
        <v>3359</v>
      </c>
      <c r="I187" s="35">
        <f t="shared" si="34"/>
        <v>3359</v>
      </c>
      <c r="J187" s="46" t="s">
        <v>642</v>
      </c>
      <c r="K187" s="48" t="s">
        <v>643</v>
      </c>
      <c r="L187" s="49">
        <v>5.7220000000000004</v>
      </c>
      <c r="M187" s="35">
        <v>216</v>
      </c>
      <c r="N187" s="35">
        <v>28.75</v>
      </c>
      <c r="O187" s="35">
        <v>41.5</v>
      </c>
      <c r="P187" s="35">
        <v>3359</v>
      </c>
      <c r="Q187" s="37">
        <v>2</v>
      </c>
      <c r="R187" s="38"/>
      <c r="S187" s="39">
        <f>IF($S$1="ASSAULT RATE",SUMIF('Loads + CPFs by TAMCN'!$C$8:$C$1000,'Ammo Pallet Calculator'!A187,'Loads + CPFs by TAMCN'!$L$8:$L$1000),0)</f>
        <v>0</v>
      </c>
      <c r="T187" s="40">
        <f>IF($S$1="SUSTAIN RATE",SUMIF('Loads + CPFs by TAMCN'!$C$8:$C$1000,'Ammo Pallet Calculator'!A187,'Loads + CPFs by TAMCN'!$M$8:$M$1000),0)</f>
        <v>0</v>
      </c>
      <c r="U187" s="41">
        <f t="shared" si="39"/>
        <v>0</v>
      </c>
      <c r="V187" s="59">
        <f t="shared" si="40"/>
        <v>0</v>
      </c>
      <c r="W187" s="59">
        <f t="shared" si="41"/>
        <v>0</v>
      </c>
      <c r="X187" s="60">
        <f t="shared" si="42"/>
        <v>0</v>
      </c>
      <c r="Y187" s="60">
        <f t="shared" si="43"/>
        <v>0</v>
      </c>
    </row>
    <row r="188" spans="1:25" ht="13.5" thickBot="1" x14ac:dyDescent="0.25">
      <c r="A188" s="29" t="s">
        <v>656</v>
      </c>
      <c r="B188" s="16"/>
      <c r="C188" s="46">
        <v>1</v>
      </c>
      <c r="D188" s="47">
        <v>78500</v>
      </c>
      <c r="E188" s="35">
        <v>64.25</v>
      </c>
      <c r="F188" s="35">
        <v>13.25</v>
      </c>
      <c r="G188" s="35">
        <v>12.96</v>
      </c>
      <c r="H188" s="35">
        <v>86</v>
      </c>
      <c r="I188" s="35">
        <f t="shared" si="34"/>
        <v>86</v>
      </c>
      <c r="J188" s="46" t="s">
        <v>549</v>
      </c>
      <c r="K188" s="48" t="s">
        <v>643</v>
      </c>
      <c r="L188" s="49">
        <v>5.74</v>
      </c>
      <c r="M188" s="35">
        <v>0</v>
      </c>
      <c r="N188" s="35">
        <v>0</v>
      </c>
      <c r="O188" s="35">
        <v>0</v>
      </c>
      <c r="P188" s="36">
        <v>0</v>
      </c>
      <c r="Q188" s="55">
        <v>1</v>
      </c>
      <c r="R188" s="38"/>
      <c r="S188" s="39">
        <f>IF($S$1="ASSAULT RATE",SUMIF('Loads + CPFs by TAMCN'!$C$8:$C$1000,'Ammo Pallet Calculator'!A188,'Loads + CPFs by TAMCN'!$L$8:$L$1000),0)</f>
        <v>0</v>
      </c>
      <c r="T188" s="40">
        <f>IF($S$1="SUSTAIN RATE",SUMIF('Loads + CPFs by TAMCN'!$C$8:$C$1000,'Ammo Pallet Calculator'!A188,'Loads + CPFs by TAMCN'!$M$8:$M$1000),0)</f>
        <v>0</v>
      </c>
      <c r="U188" s="41">
        <f t="shared" si="39"/>
        <v>0</v>
      </c>
      <c r="V188" s="59">
        <f t="shared" si="40"/>
        <v>0</v>
      </c>
      <c r="W188" s="59">
        <f t="shared" si="41"/>
        <v>0</v>
      </c>
      <c r="X188" s="60">
        <f t="shared" si="42"/>
        <v>0</v>
      </c>
      <c r="Y188" s="60">
        <f t="shared" si="43"/>
        <v>0</v>
      </c>
    </row>
    <row r="189" spans="1:25" ht="13.5" thickBot="1" x14ac:dyDescent="0.25">
      <c r="A189" s="29" t="s">
        <v>655</v>
      </c>
      <c r="B189" s="16"/>
      <c r="C189" s="46">
        <v>1</v>
      </c>
      <c r="D189" s="47">
        <v>78500</v>
      </c>
      <c r="E189" s="35">
        <v>64.25</v>
      </c>
      <c r="F189" s="35">
        <v>13.25</v>
      </c>
      <c r="G189" s="35">
        <v>12.96</v>
      </c>
      <c r="H189" s="35">
        <v>86</v>
      </c>
      <c r="I189" s="35">
        <f t="shared" si="34"/>
        <v>86</v>
      </c>
      <c r="J189" s="46" t="s">
        <v>549</v>
      </c>
      <c r="K189" s="48" t="s">
        <v>643</v>
      </c>
      <c r="L189" s="49">
        <v>5.74</v>
      </c>
      <c r="M189" s="35">
        <v>0</v>
      </c>
      <c r="N189" s="35">
        <v>0</v>
      </c>
      <c r="O189" s="35">
        <v>0</v>
      </c>
      <c r="P189" s="36">
        <v>0</v>
      </c>
      <c r="Q189" s="55">
        <v>1</v>
      </c>
      <c r="R189" s="38"/>
      <c r="S189" s="39">
        <f>IF($S$1="ASSAULT RATE",SUMIF('Loads + CPFs by TAMCN'!$C$8:$C$1000,'Ammo Pallet Calculator'!A189,'Loads + CPFs by TAMCN'!$L$8:$L$1000),0)</f>
        <v>0</v>
      </c>
      <c r="T189" s="40">
        <f>IF($S$1="SUSTAIN RATE",SUMIF('Loads + CPFs by TAMCN'!$C$8:$C$1000,'Ammo Pallet Calculator'!A189,'Loads + CPFs by TAMCN'!$M$8:$M$1000),0)</f>
        <v>0</v>
      </c>
      <c r="U189" s="41">
        <f t="shared" si="39"/>
        <v>0</v>
      </c>
      <c r="V189" s="59">
        <f t="shared" si="40"/>
        <v>0</v>
      </c>
      <c r="W189" s="59">
        <f t="shared" si="41"/>
        <v>0</v>
      </c>
      <c r="X189" s="60">
        <f t="shared" si="42"/>
        <v>0</v>
      </c>
      <c r="Y189" s="60">
        <f t="shared" si="43"/>
        <v>0</v>
      </c>
    </row>
    <row r="190" spans="1:25" ht="13.5" thickBot="1" x14ac:dyDescent="0.25">
      <c r="A190" s="29" t="s">
        <v>644</v>
      </c>
      <c r="B190" s="16"/>
      <c r="C190" s="46">
        <v>1</v>
      </c>
      <c r="D190" s="47">
        <v>50311</v>
      </c>
      <c r="E190" s="35">
        <v>64.25</v>
      </c>
      <c r="F190" s="35">
        <v>13.25</v>
      </c>
      <c r="G190" s="35">
        <v>12.96</v>
      </c>
      <c r="H190" s="35">
        <v>86</v>
      </c>
      <c r="I190" s="35">
        <f t="shared" si="34"/>
        <v>86</v>
      </c>
      <c r="J190" s="46" t="s">
        <v>532</v>
      </c>
      <c r="K190" s="48" t="s">
        <v>553</v>
      </c>
      <c r="L190" s="49">
        <v>10.57</v>
      </c>
      <c r="M190" s="35">
        <v>67.06</v>
      </c>
      <c r="N190" s="35">
        <v>42</v>
      </c>
      <c r="O190" s="35">
        <v>45.62</v>
      </c>
      <c r="P190" s="36">
        <v>952</v>
      </c>
      <c r="Q190" s="37">
        <v>9</v>
      </c>
      <c r="R190" s="38"/>
      <c r="S190" s="39">
        <f>IF($S$1="ASSAULT RATE",SUMIF('Loads + CPFs by TAMCN'!$C$8:$C$1000,'Ammo Pallet Calculator'!A190,'Loads + CPFs by TAMCN'!$L$8:$L$1000),0)</f>
        <v>0</v>
      </c>
      <c r="T190" s="40">
        <f>IF($S$1="SUSTAIN RATE",SUMIF('Loads + CPFs by TAMCN'!$C$8:$C$1000,'Ammo Pallet Calculator'!A190,'Loads + CPFs by TAMCN'!$M$8:$M$1000),0)</f>
        <v>0</v>
      </c>
      <c r="U190" s="41">
        <f t="shared" si="39"/>
        <v>0</v>
      </c>
      <c r="V190" s="59">
        <f t="shared" si="40"/>
        <v>0</v>
      </c>
      <c r="W190" s="59">
        <f t="shared" si="41"/>
        <v>0</v>
      </c>
      <c r="X190" s="60">
        <f t="shared" si="42"/>
        <v>0</v>
      </c>
      <c r="Y190" s="60">
        <f t="shared" si="43"/>
        <v>0</v>
      </c>
    </row>
    <row r="191" spans="1:25" ht="13.5" thickBot="1" x14ac:dyDescent="0.25">
      <c r="A191" s="29" t="s">
        <v>645</v>
      </c>
      <c r="B191" s="16"/>
      <c r="C191" s="46">
        <v>1</v>
      </c>
      <c r="D191" s="47">
        <v>5550</v>
      </c>
      <c r="E191" s="35">
        <v>47.5</v>
      </c>
      <c r="F191" s="35">
        <v>16</v>
      </c>
      <c r="G191" s="35">
        <v>16</v>
      </c>
      <c r="H191" s="35">
        <v>72</v>
      </c>
      <c r="I191" s="35">
        <f t="shared" si="34"/>
        <v>72</v>
      </c>
      <c r="J191" s="46" t="s">
        <v>549</v>
      </c>
      <c r="K191" s="48" t="s">
        <v>643</v>
      </c>
      <c r="L191" s="49">
        <v>5.73</v>
      </c>
      <c r="M191" s="35">
        <v>47.5</v>
      </c>
      <c r="N191" s="35">
        <v>80</v>
      </c>
      <c r="O191" s="35">
        <v>69.5</v>
      </c>
      <c r="P191" s="36">
        <v>1560</v>
      </c>
      <c r="Q191" s="37">
        <v>20</v>
      </c>
      <c r="R191" s="38"/>
      <c r="S191" s="39">
        <f>IF($S$1="ASSAULT RATE",SUMIF('Loads + CPFs by TAMCN'!$C$8:$C$1000,'Ammo Pallet Calculator'!A191,'Loads + CPFs by TAMCN'!$L$8:$L$1000),0)</f>
        <v>0</v>
      </c>
      <c r="T191" s="40">
        <f>IF($S$1="SUSTAIN RATE",SUMIF('Loads + CPFs by TAMCN'!$C$8:$C$1000,'Ammo Pallet Calculator'!A191,'Loads + CPFs by TAMCN'!$M$8:$M$1000),0)</f>
        <v>0</v>
      </c>
      <c r="U191" s="41">
        <f t="shared" si="39"/>
        <v>0</v>
      </c>
      <c r="V191" s="59">
        <f t="shared" si="40"/>
        <v>0</v>
      </c>
      <c r="W191" s="59">
        <f t="shared" si="41"/>
        <v>0</v>
      </c>
      <c r="X191" s="60">
        <f t="shared" si="42"/>
        <v>0</v>
      </c>
      <c r="Y191" s="60">
        <f t="shared" si="43"/>
        <v>0</v>
      </c>
    </row>
    <row r="192" spans="1:25" ht="13.5" thickBot="1" x14ac:dyDescent="0.25">
      <c r="A192" s="29" t="s">
        <v>472</v>
      </c>
      <c r="B192" s="16"/>
      <c r="C192" s="46">
        <v>1</v>
      </c>
      <c r="D192" s="47"/>
      <c r="E192" s="35">
        <v>55.5</v>
      </c>
      <c r="F192" s="35">
        <v>15.2</v>
      </c>
      <c r="G192" s="35">
        <v>18.3</v>
      </c>
      <c r="H192" s="35">
        <v>96</v>
      </c>
      <c r="I192" s="35">
        <f t="shared" si="34"/>
        <v>96</v>
      </c>
      <c r="J192" s="46" t="s">
        <v>802</v>
      </c>
      <c r="K192" s="48" t="s">
        <v>643</v>
      </c>
      <c r="L192" s="49">
        <v>3.6468470000000002</v>
      </c>
      <c r="M192" s="35">
        <v>55.5</v>
      </c>
      <c r="N192" s="35">
        <v>45.6</v>
      </c>
      <c r="O192" s="35">
        <v>41.1</v>
      </c>
      <c r="P192" s="36">
        <v>726</v>
      </c>
      <c r="Q192" s="37">
        <v>6</v>
      </c>
      <c r="R192" s="38"/>
      <c r="S192" s="39">
        <f>IF($S$1="ASSAULT RATE",SUMIF('Loads + CPFs by TAMCN'!$C$8:$C$1000,'Ammo Pallet Calculator'!A192,'Loads + CPFs by TAMCN'!$L$8:$L$1000),0)</f>
        <v>23.64</v>
      </c>
      <c r="T192" s="40">
        <f>IF($S$1="SUSTAIN RATE",SUMIF('Loads + CPFs by TAMCN'!$C$8:$C$1000,'Ammo Pallet Calculator'!A192,'Loads + CPFs by TAMCN'!$M$8:$M$1000),0)</f>
        <v>0</v>
      </c>
      <c r="U192" s="41">
        <f t="shared" si="39"/>
        <v>23.64</v>
      </c>
      <c r="V192" s="59">
        <f t="shared" si="40"/>
        <v>23.64</v>
      </c>
      <c r="W192" s="59">
        <f t="shared" si="41"/>
        <v>3.94</v>
      </c>
      <c r="X192" s="60">
        <f t="shared" si="42"/>
        <v>2269.44</v>
      </c>
      <c r="Y192" s="60">
        <f t="shared" si="43"/>
        <v>86.211463080000001</v>
      </c>
    </row>
    <row r="193" spans="1:25" ht="13.5" thickBot="1" x14ac:dyDescent="0.25">
      <c r="A193" s="29" t="s">
        <v>646</v>
      </c>
      <c r="B193" s="16"/>
      <c r="C193" s="46">
        <v>1</v>
      </c>
      <c r="D193" s="47">
        <v>5466</v>
      </c>
      <c r="E193" s="35">
        <v>24.12</v>
      </c>
      <c r="F193" s="35">
        <v>12</v>
      </c>
      <c r="G193" s="35">
        <v>11.18</v>
      </c>
      <c r="H193" s="35">
        <v>49</v>
      </c>
      <c r="I193" s="35">
        <f t="shared" si="34"/>
        <v>49</v>
      </c>
      <c r="J193" s="46" t="s">
        <v>578</v>
      </c>
      <c r="K193" s="48" t="s">
        <v>547</v>
      </c>
      <c r="L193" s="49">
        <v>0</v>
      </c>
      <c r="M193" s="35">
        <v>0</v>
      </c>
      <c r="N193" s="35">
        <v>0</v>
      </c>
      <c r="O193" s="35">
        <v>0</v>
      </c>
      <c r="P193" s="36">
        <v>0</v>
      </c>
      <c r="Q193" s="55">
        <v>1</v>
      </c>
      <c r="R193" s="38"/>
      <c r="S193" s="39">
        <f>IF($S$1="ASSAULT RATE",SUMIF('Loads + CPFs by TAMCN'!$C$8:$C$1000,'Ammo Pallet Calculator'!A193,'Loads + CPFs by TAMCN'!$L$8:$L$1000),0)</f>
        <v>0</v>
      </c>
      <c r="T193" s="40">
        <f>IF($S$1="SUSTAIN RATE",SUMIF('Loads + CPFs by TAMCN'!$C$8:$C$1000,'Ammo Pallet Calculator'!A193,'Loads + CPFs by TAMCN'!$M$8:$M$1000),0)</f>
        <v>0</v>
      </c>
      <c r="U193" s="41">
        <f t="shared" si="39"/>
        <v>0</v>
      </c>
      <c r="V193" s="59">
        <f t="shared" si="40"/>
        <v>0</v>
      </c>
      <c r="W193" s="59">
        <f t="shared" si="41"/>
        <v>0</v>
      </c>
      <c r="X193" s="60">
        <f t="shared" si="42"/>
        <v>0</v>
      </c>
      <c r="Y193" s="60">
        <f t="shared" si="43"/>
        <v>0</v>
      </c>
    </row>
    <row r="194" spans="1:25" ht="13.5" thickBot="1" x14ac:dyDescent="0.25">
      <c r="A194" s="29" t="s">
        <v>647</v>
      </c>
      <c r="B194" s="16"/>
      <c r="C194" s="46">
        <v>1</v>
      </c>
      <c r="D194" s="47">
        <v>0</v>
      </c>
      <c r="E194" s="35">
        <v>64.25</v>
      </c>
      <c r="F194" s="35">
        <v>13.25</v>
      </c>
      <c r="G194" s="35">
        <v>12.96</v>
      </c>
      <c r="H194" s="35">
        <v>86</v>
      </c>
      <c r="I194" s="35">
        <f t="shared" si="34"/>
        <v>86</v>
      </c>
      <c r="J194" s="46" t="s">
        <v>554</v>
      </c>
      <c r="K194" s="48" t="s">
        <v>600</v>
      </c>
      <c r="L194" s="49">
        <v>0</v>
      </c>
      <c r="M194" s="35">
        <v>0</v>
      </c>
      <c r="N194" s="35">
        <v>0</v>
      </c>
      <c r="O194" s="35">
        <v>0</v>
      </c>
      <c r="P194" s="36">
        <v>0</v>
      </c>
      <c r="Q194" s="55">
        <v>1</v>
      </c>
      <c r="R194" s="38"/>
      <c r="S194" s="39">
        <f>IF($S$1="ASSAULT RATE",SUMIF('Loads + CPFs by TAMCN'!$C$8:$C$1000,'Ammo Pallet Calculator'!A194,'Loads + CPFs by TAMCN'!$L$8:$L$1000),0)</f>
        <v>0</v>
      </c>
      <c r="T194" s="40">
        <f>IF($S$1="SUSTAIN RATE",SUMIF('Loads + CPFs by TAMCN'!$C$8:$C$1000,'Ammo Pallet Calculator'!A194,'Loads + CPFs by TAMCN'!$M$8:$M$1000),0)</f>
        <v>0</v>
      </c>
      <c r="U194" s="41">
        <f t="shared" si="39"/>
        <v>0</v>
      </c>
      <c r="V194" s="59">
        <f t="shared" si="40"/>
        <v>0</v>
      </c>
      <c r="W194" s="59">
        <f t="shared" si="41"/>
        <v>0</v>
      </c>
      <c r="X194" s="60">
        <f t="shared" si="42"/>
        <v>0</v>
      </c>
      <c r="Y194" s="60">
        <f t="shared" si="43"/>
        <v>0</v>
      </c>
    </row>
    <row r="195" spans="1:25" ht="13.5" thickBot="1" x14ac:dyDescent="0.25">
      <c r="A195" s="83" t="s">
        <v>648</v>
      </c>
      <c r="B195" s="16"/>
      <c r="C195" s="84">
        <v>1</v>
      </c>
      <c r="D195" s="85">
        <v>5000</v>
      </c>
      <c r="E195" s="86">
        <v>58.25</v>
      </c>
      <c r="F195" s="86">
        <v>11.88</v>
      </c>
      <c r="G195" s="86">
        <v>11.75</v>
      </c>
      <c r="H195" s="86">
        <v>87.66</v>
      </c>
      <c r="I195" s="86">
        <f t="shared" si="34"/>
        <v>87.66</v>
      </c>
      <c r="J195" s="84" t="s">
        <v>532</v>
      </c>
      <c r="K195" s="87" t="s">
        <v>553</v>
      </c>
      <c r="L195" s="88">
        <v>13.523</v>
      </c>
      <c r="M195" s="86">
        <v>58.25</v>
      </c>
      <c r="N195" s="86">
        <v>48</v>
      </c>
      <c r="O195" s="86">
        <v>40.75</v>
      </c>
      <c r="P195" s="89">
        <v>1127</v>
      </c>
      <c r="Q195" s="58">
        <v>12</v>
      </c>
      <c r="R195" s="38"/>
      <c r="S195" s="39">
        <f>IF($S$1="ASSAULT RATE",SUMIF('Loads + CPFs by TAMCN'!$C$8:$C$1000,'Ammo Pallet Calculator'!A195,'Loads + CPFs by TAMCN'!$L$8:$L$1000),0)</f>
        <v>0</v>
      </c>
      <c r="T195" s="40">
        <f>IF($S$1="SUSTAIN RATE",SUMIF('Loads + CPFs by TAMCN'!$C$8:$C$1000,'Ammo Pallet Calculator'!A195,'Loads + CPFs by TAMCN'!$M$8:$M$1000),0)</f>
        <v>0</v>
      </c>
      <c r="U195" s="41">
        <f t="shared" si="39"/>
        <v>0</v>
      </c>
      <c r="V195" s="59">
        <f t="shared" si="40"/>
        <v>0</v>
      </c>
      <c r="W195" s="59">
        <f t="shared" si="41"/>
        <v>0</v>
      </c>
      <c r="X195" s="60">
        <f t="shared" si="42"/>
        <v>0</v>
      </c>
      <c r="Y195" s="60">
        <f t="shared" si="43"/>
        <v>0</v>
      </c>
    </row>
    <row r="196" spans="1:25" ht="13.5" thickBot="1" x14ac:dyDescent="0.25">
      <c r="A196" s="83" t="s">
        <v>474</v>
      </c>
      <c r="B196" s="14"/>
      <c r="C196" s="84">
        <v>1</v>
      </c>
      <c r="D196" s="85">
        <v>11731</v>
      </c>
      <c r="E196" s="86">
        <v>58.25</v>
      </c>
      <c r="F196" s="86">
        <v>11.88</v>
      </c>
      <c r="G196" s="86">
        <v>11.75</v>
      </c>
      <c r="H196" s="86">
        <v>87.66</v>
      </c>
      <c r="I196" s="86">
        <f t="shared" si="34"/>
        <v>87.66</v>
      </c>
      <c r="J196" s="84" t="s">
        <v>532</v>
      </c>
      <c r="K196" s="87" t="s">
        <v>553</v>
      </c>
      <c r="L196" s="88">
        <v>15.337999999999999</v>
      </c>
      <c r="M196" s="86">
        <v>58.25</v>
      </c>
      <c r="N196" s="86">
        <v>48</v>
      </c>
      <c r="O196" s="86">
        <v>40.75</v>
      </c>
      <c r="P196" s="89">
        <v>1127</v>
      </c>
      <c r="Q196" s="89">
        <v>12</v>
      </c>
      <c r="R196" s="38"/>
      <c r="S196" s="39">
        <f>IF($S$1="ASSAULT RATE",SUMIF('Loads + CPFs by TAMCN'!$C$8:$C$1000,'Ammo Pallet Calculator'!A196,'Loads + CPFs by TAMCN'!$L$8:$L$1000),0)</f>
        <v>24.396000000000001</v>
      </c>
      <c r="T196" s="40">
        <f>IF($S$1="SUSTAIN RATE",SUMIF('Loads + CPFs by TAMCN'!$C$8:$C$1000,'Ammo Pallet Calculator'!A196,'Loads + CPFs by TAMCN'!$M$8:$M$1000),0)</f>
        <v>0</v>
      </c>
      <c r="U196" s="41">
        <f t="shared" si="39"/>
        <v>24.396000000000001</v>
      </c>
      <c r="V196" s="59">
        <f t="shared" si="40"/>
        <v>24.396000000000001</v>
      </c>
      <c r="W196" s="59">
        <f t="shared" si="41"/>
        <v>2.0329999999999999</v>
      </c>
      <c r="X196" s="60">
        <f t="shared" si="42"/>
        <v>2138.5533599999999</v>
      </c>
      <c r="Y196" s="60">
        <f t="shared" si="43"/>
        <v>374.18584799999996</v>
      </c>
    </row>
    <row r="197" spans="1:25" ht="13.5" thickBot="1" x14ac:dyDescent="0.25">
      <c r="A197" s="90" t="s">
        <v>835</v>
      </c>
      <c r="B197" s="91"/>
      <c r="C197" s="46">
        <v>1</v>
      </c>
      <c r="D197" s="92"/>
      <c r="E197" s="93">
        <v>58.25</v>
      </c>
      <c r="F197" s="93">
        <v>48</v>
      </c>
      <c r="G197" s="86">
        <v>40.75</v>
      </c>
      <c r="H197" s="84">
        <v>1127</v>
      </c>
      <c r="I197" s="86">
        <f t="shared" si="34"/>
        <v>1127</v>
      </c>
      <c r="J197" s="84" t="s">
        <v>532</v>
      </c>
      <c r="K197" s="86" t="s">
        <v>553</v>
      </c>
      <c r="L197" s="88">
        <v>15.179</v>
      </c>
      <c r="M197" s="86">
        <v>58.25</v>
      </c>
      <c r="N197" s="84">
        <v>48</v>
      </c>
      <c r="O197" s="86">
        <v>40.75</v>
      </c>
      <c r="P197" s="84">
        <v>1127</v>
      </c>
      <c r="Q197" s="86">
        <v>12</v>
      </c>
      <c r="R197" s="38"/>
      <c r="S197" s="39">
        <f>IF($S$1="ASSAULT RATE",SUMIF('Loads + CPFs by TAMCN'!$C$8:$C$1000,'Ammo Pallet Calculator'!A197,'Loads + CPFs by TAMCN'!$L$8:$L$1000),0)</f>
        <v>0</v>
      </c>
      <c r="T197" s="40">
        <f>IF($S$1="SUSTAIN RATE",SUMIF('Loads + CPFs by TAMCN'!$C$8:$C$1000,'Ammo Pallet Calculator'!A197,'Loads + CPFs by TAMCN'!$M$8:$M$1000),0)</f>
        <v>0</v>
      </c>
      <c r="U197" s="41">
        <f t="shared" si="39"/>
        <v>0</v>
      </c>
      <c r="V197" s="59">
        <f t="shared" si="40"/>
        <v>0</v>
      </c>
      <c r="W197" s="59">
        <f t="shared" si="41"/>
        <v>0</v>
      </c>
      <c r="X197" s="60">
        <f t="shared" si="42"/>
        <v>0</v>
      </c>
      <c r="Y197" s="60">
        <f t="shared" si="43"/>
        <v>0</v>
      </c>
    </row>
    <row r="198" spans="1:25" ht="13.5" thickBot="1" x14ac:dyDescent="0.25">
      <c r="A198" s="94" t="s">
        <v>836</v>
      </c>
      <c r="B198" s="95"/>
      <c r="C198" s="46">
        <v>1</v>
      </c>
      <c r="D198" s="92"/>
      <c r="E198" s="93">
        <v>58.25</v>
      </c>
      <c r="F198" s="93">
        <v>48</v>
      </c>
      <c r="G198" s="35">
        <v>40.75</v>
      </c>
      <c r="H198" s="46">
        <v>1216</v>
      </c>
      <c r="I198" s="35">
        <f t="shared" si="34"/>
        <v>1216</v>
      </c>
      <c r="J198" s="46" t="s">
        <v>532</v>
      </c>
      <c r="K198" s="35" t="s">
        <v>553</v>
      </c>
      <c r="L198" s="49">
        <v>13.521000000000001</v>
      </c>
      <c r="M198" s="35">
        <v>58.25</v>
      </c>
      <c r="N198" s="46">
        <v>48</v>
      </c>
      <c r="O198" s="35">
        <v>40.75</v>
      </c>
      <c r="P198" s="46">
        <v>1216</v>
      </c>
      <c r="Q198" s="35">
        <v>12</v>
      </c>
      <c r="R198" s="38"/>
      <c r="S198" s="39">
        <f>IF($S$1="ASSAULT RATE",SUMIF('Loads + CPFs by TAMCN'!$C$8:$C$1000,'Ammo Pallet Calculator'!A198,'Loads + CPFs by TAMCN'!$L$8:$L$1000),0)</f>
        <v>0</v>
      </c>
      <c r="T198" s="40">
        <f>IF($S$1="SUSTAIN RATE",SUMIF('Loads + CPFs by TAMCN'!$C$8:$C$1000,'Ammo Pallet Calculator'!A198,'Loads + CPFs by TAMCN'!$M$8:$M$1000),0)</f>
        <v>0</v>
      </c>
      <c r="U198" s="41">
        <f t="shared" si="39"/>
        <v>0</v>
      </c>
      <c r="V198" s="42">
        <f t="shared" si="40"/>
        <v>0</v>
      </c>
      <c r="W198" s="42">
        <f t="shared" si="41"/>
        <v>0</v>
      </c>
      <c r="X198" s="43">
        <f t="shared" si="42"/>
        <v>0</v>
      </c>
      <c r="Y198" s="43">
        <f t="shared" si="43"/>
        <v>0</v>
      </c>
    </row>
    <row r="199" spans="1:25" x14ac:dyDescent="0.2">
      <c r="A199" s="61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3"/>
      <c r="N199" s="63"/>
      <c r="O199" s="63"/>
      <c r="P199" s="64"/>
      <c r="Q199" s="64"/>
      <c r="R199" s="64"/>
      <c r="S199" s="64"/>
      <c r="T199" s="64"/>
    </row>
    <row r="200" spans="1:25" x14ac:dyDescent="0.2">
      <c r="A200" s="61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3"/>
      <c r="N200" s="63"/>
      <c r="O200" s="63"/>
      <c r="P200" s="64"/>
      <c r="Q200" s="64"/>
      <c r="R200" s="64"/>
      <c r="S200" s="64"/>
      <c r="T200" s="64"/>
    </row>
    <row r="201" spans="1:25" x14ac:dyDescent="0.2">
      <c r="A201" s="61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3"/>
      <c r="N201" s="63"/>
      <c r="O201" s="63"/>
      <c r="P201" s="64"/>
      <c r="Q201" s="64"/>
      <c r="R201" s="64"/>
      <c r="S201" s="64"/>
      <c r="T201" s="64"/>
    </row>
    <row r="202" spans="1:25" x14ac:dyDescent="0.2">
      <c r="A202" s="61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3"/>
      <c r="N202" s="63"/>
      <c r="O202" s="63"/>
      <c r="P202" s="64"/>
      <c r="Q202" s="64"/>
      <c r="R202" s="64"/>
      <c r="S202" s="64"/>
      <c r="T202" s="64"/>
    </row>
    <row r="203" spans="1:25" x14ac:dyDescent="0.2">
      <c r="A203" s="61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3"/>
      <c r="N203" s="63"/>
      <c r="O203" s="63"/>
      <c r="P203" s="64"/>
      <c r="Q203" s="64"/>
      <c r="R203" s="64"/>
      <c r="S203" s="64"/>
      <c r="T203" s="64"/>
    </row>
    <row r="204" spans="1:25" x14ac:dyDescent="0.2">
      <c r="A204" s="61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3"/>
      <c r="N204" s="63"/>
      <c r="O204" s="63"/>
      <c r="P204" s="64"/>
      <c r="Q204" s="64"/>
      <c r="R204" s="64"/>
      <c r="S204" s="64"/>
      <c r="T204" s="64"/>
    </row>
    <row r="205" spans="1:25" x14ac:dyDescent="0.2">
      <c r="A205" s="61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3"/>
      <c r="N205" s="63"/>
      <c r="O205" s="63"/>
      <c r="P205" s="64"/>
      <c r="Q205" s="64"/>
      <c r="R205" s="64"/>
      <c r="S205" s="64"/>
      <c r="T205" s="64"/>
    </row>
    <row r="206" spans="1:25" x14ac:dyDescent="0.2">
      <c r="A206" s="61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3"/>
      <c r="N206" s="63"/>
      <c r="O206" s="63"/>
      <c r="P206" s="64"/>
      <c r="Q206" s="64"/>
      <c r="R206" s="64"/>
      <c r="S206" s="64"/>
      <c r="T206" s="64"/>
    </row>
    <row r="207" spans="1:25" x14ac:dyDescent="0.2">
      <c r="A207" s="61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3"/>
      <c r="N207" s="63"/>
      <c r="O207" s="63"/>
      <c r="P207" s="64"/>
      <c r="Q207" s="64"/>
      <c r="R207" s="64"/>
      <c r="S207" s="64"/>
      <c r="T207" s="64"/>
    </row>
    <row r="208" spans="1:25" x14ac:dyDescent="0.2">
      <c r="A208" s="61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3"/>
      <c r="N208" s="63"/>
      <c r="O208" s="63"/>
      <c r="P208" s="64"/>
      <c r="Q208" s="64"/>
      <c r="R208" s="64"/>
      <c r="S208" s="64"/>
      <c r="T208" s="64"/>
    </row>
    <row r="209" spans="1:20" x14ac:dyDescent="0.2">
      <c r="A209" s="61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3"/>
      <c r="N209" s="63"/>
      <c r="O209" s="63"/>
      <c r="P209" s="64"/>
      <c r="Q209" s="64"/>
      <c r="R209" s="64"/>
      <c r="S209" s="64"/>
      <c r="T209" s="64"/>
    </row>
    <row r="210" spans="1:20" x14ac:dyDescent="0.2">
      <c r="A210" s="61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3"/>
      <c r="N210" s="63"/>
      <c r="O210" s="63"/>
      <c r="P210" s="64"/>
      <c r="Q210" s="64"/>
      <c r="R210" s="64"/>
      <c r="S210" s="64"/>
      <c r="T210" s="64"/>
    </row>
    <row r="211" spans="1:20" x14ac:dyDescent="0.2">
      <c r="A211" s="61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3"/>
      <c r="N211" s="63"/>
      <c r="O211" s="63"/>
      <c r="P211" s="64"/>
      <c r="Q211" s="64"/>
      <c r="R211" s="64"/>
      <c r="S211" s="64"/>
      <c r="T211" s="64"/>
    </row>
    <row r="212" spans="1:20" x14ac:dyDescent="0.2">
      <c r="A212" s="61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3"/>
      <c r="N212" s="63"/>
      <c r="O212" s="63"/>
      <c r="P212" s="64"/>
      <c r="Q212" s="64"/>
      <c r="R212" s="64"/>
      <c r="S212" s="64"/>
      <c r="T212" s="64"/>
    </row>
    <row r="213" spans="1:20" x14ac:dyDescent="0.2">
      <c r="A213" s="61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3"/>
      <c r="N213" s="63"/>
      <c r="O213" s="63"/>
      <c r="P213" s="64"/>
      <c r="Q213" s="64"/>
      <c r="R213" s="64"/>
      <c r="S213" s="64"/>
      <c r="T213" s="64"/>
    </row>
    <row r="214" spans="1:20" x14ac:dyDescent="0.2">
      <c r="A214" s="61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3"/>
      <c r="N214" s="63"/>
      <c r="O214" s="63"/>
      <c r="P214" s="64"/>
      <c r="Q214" s="64"/>
      <c r="R214" s="64"/>
      <c r="S214" s="64"/>
      <c r="T214" s="64"/>
    </row>
    <row r="215" spans="1:20" x14ac:dyDescent="0.2">
      <c r="A215" s="61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3"/>
      <c r="N215" s="63"/>
      <c r="O215" s="63"/>
      <c r="P215" s="64"/>
      <c r="Q215" s="64"/>
      <c r="R215" s="64"/>
      <c r="S215" s="64"/>
      <c r="T215" s="64"/>
    </row>
    <row r="216" spans="1:20" x14ac:dyDescent="0.2">
      <c r="A216" s="61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3"/>
      <c r="N216" s="63"/>
      <c r="O216" s="63"/>
      <c r="P216" s="64"/>
      <c r="Q216" s="64"/>
      <c r="R216" s="64"/>
      <c r="S216" s="64"/>
      <c r="T216" s="64"/>
    </row>
    <row r="217" spans="1:20" x14ac:dyDescent="0.2">
      <c r="A217" s="61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3"/>
      <c r="N217" s="63"/>
      <c r="O217" s="63"/>
      <c r="P217" s="64"/>
      <c r="Q217" s="64"/>
      <c r="R217" s="64"/>
      <c r="S217" s="64"/>
      <c r="T217" s="64"/>
    </row>
    <row r="218" spans="1:20" x14ac:dyDescent="0.2">
      <c r="A218" s="61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3"/>
      <c r="N218" s="63"/>
      <c r="O218" s="63"/>
      <c r="P218" s="64"/>
      <c r="Q218" s="64"/>
      <c r="R218" s="64"/>
      <c r="S218" s="64"/>
      <c r="T218" s="64"/>
    </row>
    <row r="219" spans="1:20" x14ac:dyDescent="0.2">
      <c r="A219" s="61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3"/>
      <c r="N219" s="63"/>
      <c r="O219" s="63"/>
      <c r="P219" s="64"/>
      <c r="Q219" s="64"/>
      <c r="R219" s="64"/>
      <c r="S219" s="64"/>
      <c r="T219" s="64"/>
    </row>
    <row r="220" spans="1:20" x14ac:dyDescent="0.2">
      <c r="A220" s="61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3"/>
      <c r="N220" s="63"/>
      <c r="O220" s="63"/>
      <c r="P220" s="64"/>
      <c r="Q220" s="64"/>
      <c r="R220" s="64"/>
      <c r="S220" s="64"/>
      <c r="T220" s="64"/>
    </row>
    <row r="221" spans="1:20" x14ac:dyDescent="0.2">
      <c r="A221" s="61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3"/>
      <c r="N221" s="63"/>
      <c r="O221" s="63"/>
      <c r="P221" s="64"/>
      <c r="Q221" s="64"/>
      <c r="R221" s="64"/>
      <c r="S221" s="64"/>
      <c r="T221" s="64"/>
    </row>
    <row r="222" spans="1:20" x14ac:dyDescent="0.2">
      <c r="A222" s="61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3"/>
      <c r="N222" s="63"/>
      <c r="O222" s="63"/>
      <c r="P222" s="64"/>
      <c r="Q222" s="64"/>
      <c r="R222" s="64"/>
      <c r="S222" s="64"/>
      <c r="T222" s="64"/>
    </row>
    <row r="223" spans="1:20" x14ac:dyDescent="0.2">
      <c r="A223" s="61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3"/>
      <c r="N223" s="63"/>
      <c r="O223" s="63"/>
      <c r="P223" s="64"/>
      <c r="Q223" s="64"/>
      <c r="R223" s="64"/>
      <c r="S223" s="64"/>
      <c r="T223" s="64"/>
    </row>
    <row r="224" spans="1:20" x14ac:dyDescent="0.2">
      <c r="A224" s="61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3"/>
      <c r="N224" s="63"/>
      <c r="O224" s="63"/>
      <c r="P224" s="64"/>
      <c r="Q224" s="64"/>
      <c r="R224" s="64"/>
      <c r="S224" s="64"/>
      <c r="T224" s="64"/>
    </row>
    <row r="225" spans="1:20" x14ac:dyDescent="0.2">
      <c r="A225" s="61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3"/>
      <c r="N225" s="63"/>
      <c r="O225" s="63"/>
      <c r="P225" s="64"/>
      <c r="Q225" s="64"/>
      <c r="R225" s="64"/>
      <c r="S225" s="64"/>
      <c r="T225" s="64"/>
    </row>
    <row r="226" spans="1:20" x14ac:dyDescent="0.2">
      <c r="A226" s="61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3"/>
      <c r="N226" s="63"/>
      <c r="O226" s="63"/>
      <c r="P226" s="64"/>
      <c r="Q226" s="64"/>
      <c r="R226" s="64"/>
      <c r="S226" s="64"/>
      <c r="T226" s="64"/>
    </row>
    <row r="227" spans="1:20" x14ac:dyDescent="0.2">
      <c r="A227" s="61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3"/>
      <c r="N227" s="63"/>
      <c r="O227" s="63"/>
      <c r="P227" s="64"/>
      <c r="Q227" s="64"/>
      <c r="R227" s="64"/>
      <c r="S227" s="64"/>
      <c r="T227" s="64"/>
    </row>
    <row r="228" spans="1:20" x14ac:dyDescent="0.2">
      <c r="A228" s="61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3"/>
      <c r="N228" s="63"/>
      <c r="O228" s="63"/>
      <c r="P228" s="64"/>
      <c r="Q228" s="64"/>
      <c r="R228" s="64"/>
      <c r="S228" s="64"/>
      <c r="T228" s="64"/>
    </row>
    <row r="229" spans="1:20" x14ac:dyDescent="0.2">
      <c r="A229" s="61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3"/>
      <c r="N229" s="63"/>
      <c r="O229" s="63"/>
      <c r="P229" s="64"/>
      <c r="Q229" s="64"/>
      <c r="R229" s="64"/>
      <c r="S229" s="64"/>
      <c r="T229" s="64"/>
    </row>
    <row r="230" spans="1:20" x14ac:dyDescent="0.2">
      <c r="A230" s="61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3"/>
      <c r="N230" s="63"/>
      <c r="O230" s="63"/>
      <c r="P230" s="64"/>
      <c r="Q230" s="64"/>
      <c r="R230" s="64"/>
      <c r="S230" s="64"/>
      <c r="T230" s="64"/>
    </row>
    <row r="231" spans="1:20" x14ac:dyDescent="0.2">
      <c r="A231" s="61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3"/>
      <c r="N231" s="63"/>
      <c r="O231" s="63"/>
      <c r="P231" s="64"/>
      <c r="Q231" s="64"/>
      <c r="R231" s="64"/>
      <c r="S231" s="64"/>
      <c r="T231" s="64"/>
    </row>
    <row r="232" spans="1:20" x14ac:dyDescent="0.2">
      <c r="A232" s="61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3"/>
      <c r="N232" s="63"/>
      <c r="O232" s="63"/>
      <c r="P232" s="64"/>
      <c r="Q232" s="64"/>
      <c r="R232" s="64"/>
      <c r="S232" s="64"/>
      <c r="T232" s="64"/>
    </row>
    <row r="233" spans="1:20" x14ac:dyDescent="0.2">
      <c r="A233" s="61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3"/>
      <c r="N233" s="63"/>
      <c r="O233" s="63"/>
      <c r="P233" s="64"/>
      <c r="Q233" s="64"/>
      <c r="R233" s="64"/>
      <c r="S233" s="64"/>
      <c r="T233" s="64"/>
    </row>
    <row r="234" spans="1:20" x14ac:dyDescent="0.2">
      <c r="A234" s="61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3"/>
      <c r="N234" s="63"/>
      <c r="O234" s="63"/>
      <c r="P234" s="64"/>
      <c r="Q234" s="64"/>
      <c r="R234" s="64"/>
      <c r="S234" s="64"/>
      <c r="T234" s="64"/>
    </row>
    <row r="235" spans="1:20" x14ac:dyDescent="0.2">
      <c r="A235" s="61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3"/>
      <c r="N235" s="63"/>
      <c r="O235" s="63"/>
      <c r="P235" s="64"/>
      <c r="Q235" s="64"/>
      <c r="R235" s="64"/>
      <c r="S235" s="64"/>
      <c r="T235" s="64"/>
    </row>
    <row r="236" spans="1:20" x14ac:dyDescent="0.2">
      <c r="A236" s="61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3"/>
      <c r="N236" s="63"/>
      <c r="O236" s="63"/>
      <c r="P236" s="64"/>
      <c r="Q236" s="64"/>
      <c r="R236" s="64"/>
      <c r="S236" s="64"/>
      <c r="T236" s="64"/>
    </row>
    <row r="237" spans="1:20" x14ac:dyDescent="0.2">
      <c r="A237" s="61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3"/>
      <c r="N237" s="63"/>
      <c r="O237" s="63"/>
      <c r="P237" s="64"/>
      <c r="Q237" s="64"/>
      <c r="R237" s="64"/>
      <c r="S237" s="64"/>
      <c r="T237" s="64"/>
    </row>
    <row r="238" spans="1:20" x14ac:dyDescent="0.2">
      <c r="A238" s="61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3"/>
      <c r="N238" s="63"/>
      <c r="O238" s="63"/>
      <c r="P238" s="64"/>
      <c r="Q238" s="64"/>
      <c r="R238" s="64"/>
      <c r="S238" s="64"/>
      <c r="T238" s="64"/>
    </row>
    <row r="239" spans="1:20" x14ac:dyDescent="0.2">
      <c r="A239" s="66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3"/>
      <c r="N239" s="63"/>
      <c r="O239" s="63"/>
      <c r="P239" s="64"/>
      <c r="Q239" s="64"/>
      <c r="R239" s="64"/>
      <c r="S239" s="64"/>
      <c r="T239" s="64"/>
    </row>
    <row r="240" spans="1:20" x14ac:dyDescent="0.2">
      <c r="A240" s="61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3"/>
      <c r="N240" s="63"/>
      <c r="O240" s="63"/>
      <c r="P240" s="64"/>
      <c r="Q240" s="64"/>
      <c r="R240" s="64"/>
      <c r="S240" s="64"/>
      <c r="T240" s="64"/>
    </row>
    <row r="241" spans="1:20" x14ac:dyDescent="0.2">
      <c r="A241" s="61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3"/>
      <c r="N241" s="63"/>
      <c r="O241" s="63"/>
      <c r="P241" s="64"/>
      <c r="Q241" s="64"/>
      <c r="R241" s="64"/>
      <c r="S241" s="64"/>
      <c r="T241" s="64"/>
    </row>
    <row r="242" spans="1:20" x14ac:dyDescent="0.2">
      <c r="A242" s="61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3"/>
      <c r="N242" s="63"/>
      <c r="O242" s="63"/>
      <c r="P242" s="64"/>
      <c r="Q242" s="64"/>
      <c r="R242" s="64"/>
      <c r="S242" s="64"/>
      <c r="T242" s="64"/>
    </row>
    <row r="243" spans="1:20" x14ac:dyDescent="0.2">
      <c r="A243" s="61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3"/>
      <c r="N243" s="63"/>
      <c r="O243" s="63"/>
      <c r="P243" s="64"/>
      <c r="Q243" s="64"/>
      <c r="R243" s="64"/>
      <c r="S243" s="64"/>
      <c r="T243" s="64"/>
    </row>
    <row r="244" spans="1:20" x14ac:dyDescent="0.2">
      <c r="A244" s="61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3"/>
      <c r="N244" s="63"/>
      <c r="O244" s="63"/>
      <c r="P244" s="64"/>
      <c r="Q244" s="64"/>
      <c r="R244" s="64"/>
      <c r="S244" s="64"/>
      <c r="T244" s="64"/>
    </row>
    <row r="245" spans="1:20" x14ac:dyDescent="0.2">
      <c r="A245" s="61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3"/>
      <c r="N245" s="63"/>
      <c r="O245" s="63"/>
      <c r="P245" s="64"/>
      <c r="Q245" s="64"/>
      <c r="R245" s="64"/>
      <c r="S245" s="64"/>
      <c r="T245" s="64"/>
    </row>
    <row r="246" spans="1:20" x14ac:dyDescent="0.2">
      <c r="A246" s="61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3"/>
      <c r="N246" s="63"/>
      <c r="O246" s="63"/>
      <c r="P246" s="64"/>
      <c r="Q246" s="64"/>
      <c r="R246" s="64"/>
      <c r="S246" s="64"/>
      <c r="T246" s="64"/>
    </row>
    <row r="247" spans="1:20" x14ac:dyDescent="0.2">
      <c r="A247" s="61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3"/>
      <c r="N247" s="63"/>
      <c r="O247" s="63"/>
      <c r="P247" s="64"/>
      <c r="Q247" s="64"/>
      <c r="R247" s="64"/>
      <c r="S247" s="64"/>
      <c r="T247" s="64"/>
    </row>
    <row r="248" spans="1:20" x14ac:dyDescent="0.2">
      <c r="A248" s="61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3"/>
      <c r="N248" s="63"/>
      <c r="O248" s="63"/>
      <c r="P248" s="64"/>
      <c r="Q248" s="64"/>
      <c r="R248" s="64"/>
      <c r="S248" s="64"/>
      <c r="T248" s="64"/>
    </row>
    <row r="249" spans="1:20" x14ac:dyDescent="0.2">
      <c r="A249" s="61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3"/>
      <c r="N249" s="63"/>
      <c r="O249" s="63"/>
      <c r="P249" s="64"/>
      <c r="Q249" s="64"/>
      <c r="R249" s="64"/>
      <c r="S249" s="64"/>
      <c r="T249" s="64"/>
    </row>
    <row r="250" spans="1:20" x14ac:dyDescent="0.2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3"/>
      <c r="N250" s="63"/>
      <c r="O250" s="63"/>
      <c r="P250" s="64"/>
      <c r="Q250" s="64"/>
      <c r="R250" s="64"/>
      <c r="S250" s="64"/>
      <c r="T250" s="64"/>
    </row>
    <row r="251" spans="1:20" x14ac:dyDescent="0.2">
      <c r="A251" s="61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3"/>
      <c r="N251" s="63"/>
      <c r="O251" s="63"/>
      <c r="P251" s="64"/>
      <c r="Q251" s="64"/>
      <c r="R251" s="64"/>
      <c r="S251" s="64"/>
      <c r="T251" s="64"/>
    </row>
    <row r="252" spans="1:20" x14ac:dyDescent="0.2">
      <c r="A252" s="61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3"/>
      <c r="N252" s="63"/>
      <c r="O252" s="63"/>
      <c r="P252" s="64"/>
      <c r="Q252" s="64"/>
      <c r="R252" s="64"/>
      <c r="S252" s="64"/>
      <c r="T252" s="64"/>
    </row>
    <row r="253" spans="1:20" x14ac:dyDescent="0.2">
      <c r="A253" s="61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3"/>
      <c r="N253" s="63"/>
      <c r="O253" s="63"/>
      <c r="P253" s="64"/>
      <c r="Q253" s="64"/>
      <c r="R253" s="64"/>
      <c r="S253" s="64"/>
      <c r="T253" s="64"/>
    </row>
    <row r="254" spans="1:20" x14ac:dyDescent="0.2">
      <c r="A254" s="61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</row>
    <row r="255" spans="1:20" x14ac:dyDescent="0.2">
      <c r="A255" s="61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3"/>
      <c r="N255" s="63"/>
      <c r="O255" s="63"/>
      <c r="P255" s="64"/>
      <c r="Q255" s="64"/>
      <c r="R255" s="64"/>
      <c r="S255" s="64"/>
      <c r="T255" s="64"/>
    </row>
    <row r="256" spans="1:20" x14ac:dyDescent="0.2">
      <c r="A256" s="61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3"/>
      <c r="N256" s="63"/>
      <c r="O256" s="63"/>
      <c r="P256" s="64"/>
      <c r="Q256" s="64"/>
      <c r="R256" s="64"/>
      <c r="S256" s="64"/>
      <c r="T256" s="64"/>
    </row>
    <row r="257" spans="1:20" x14ac:dyDescent="0.2">
      <c r="A257" s="61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3"/>
      <c r="N257" s="63"/>
      <c r="O257" s="63"/>
      <c r="P257" s="64"/>
      <c r="Q257" s="64"/>
      <c r="R257" s="64"/>
      <c r="S257" s="64"/>
      <c r="T257" s="64"/>
    </row>
    <row r="258" spans="1:20" x14ac:dyDescent="0.2">
      <c r="A258" s="61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3"/>
      <c r="N258" s="63"/>
      <c r="O258" s="63"/>
      <c r="P258" s="64"/>
      <c r="Q258" s="64"/>
      <c r="R258" s="64"/>
      <c r="S258" s="64"/>
      <c r="T258" s="64"/>
    </row>
    <row r="259" spans="1:20" x14ac:dyDescent="0.2">
      <c r="A259" s="61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3"/>
      <c r="N259" s="63"/>
      <c r="O259" s="63"/>
      <c r="P259" s="64"/>
      <c r="Q259" s="64"/>
      <c r="R259" s="64"/>
      <c r="S259" s="64"/>
      <c r="T259" s="64"/>
    </row>
    <row r="260" spans="1:20" x14ac:dyDescent="0.2">
      <c r="A260" s="61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3"/>
      <c r="N260" s="63"/>
      <c r="O260" s="63"/>
      <c r="P260" s="64"/>
      <c r="Q260" s="64"/>
      <c r="R260" s="64"/>
      <c r="S260" s="64"/>
      <c r="T260" s="64"/>
    </row>
    <row r="261" spans="1:20" x14ac:dyDescent="0.2">
      <c r="A261" s="61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3"/>
      <c r="N261" s="63"/>
      <c r="O261" s="63"/>
      <c r="P261" s="64"/>
      <c r="Q261" s="64"/>
      <c r="R261" s="64"/>
      <c r="S261" s="64"/>
      <c r="T261" s="64"/>
    </row>
    <row r="262" spans="1:20" x14ac:dyDescent="0.2">
      <c r="A262" s="61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3"/>
      <c r="N262" s="63"/>
      <c r="O262" s="63"/>
      <c r="P262" s="64"/>
      <c r="Q262" s="64"/>
      <c r="R262" s="64"/>
      <c r="S262" s="64"/>
      <c r="T262" s="64"/>
    </row>
    <row r="263" spans="1:20" x14ac:dyDescent="0.2">
      <c r="A263" s="61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3"/>
      <c r="N263" s="63"/>
      <c r="O263" s="63"/>
      <c r="P263" s="64"/>
      <c r="Q263" s="64"/>
      <c r="R263" s="64"/>
      <c r="S263" s="64"/>
      <c r="T263" s="64"/>
    </row>
    <row r="264" spans="1:20" x14ac:dyDescent="0.2">
      <c r="A264" s="61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3"/>
      <c r="N264" s="63"/>
      <c r="O264" s="63"/>
      <c r="P264" s="64"/>
      <c r="Q264" s="64"/>
      <c r="R264" s="64"/>
      <c r="S264" s="64"/>
      <c r="T264" s="64"/>
    </row>
    <row r="265" spans="1:20" x14ac:dyDescent="0.2">
      <c r="A265" s="61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3"/>
      <c r="N265" s="63"/>
      <c r="O265" s="63"/>
      <c r="P265" s="64"/>
      <c r="Q265" s="64"/>
      <c r="R265" s="64"/>
      <c r="S265" s="64"/>
      <c r="T265" s="64"/>
    </row>
    <row r="266" spans="1:20" x14ac:dyDescent="0.2">
      <c r="A266" s="61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3"/>
      <c r="N266" s="63"/>
      <c r="O266" s="63"/>
      <c r="P266" s="64"/>
      <c r="Q266" s="64"/>
      <c r="R266" s="64"/>
      <c r="S266" s="64"/>
      <c r="T266" s="64"/>
    </row>
    <row r="267" spans="1:20" x14ac:dyDescent="0.2">
      <c r="A267" s="61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3"/>
      <c r="N267" s="63"/>
      <c r="O267" s="63"/>
      <c r="P267" s="64"/>
      <c r="Q267" s="64"/>
      <c r="R267" s="64"/>
      <c r="S267" s="64"/>
      <c r="T267" s="64"/>
    </row>
    <row r="268" spans="1:20" x14ac:dyDescent="0.2">
      <c r="A268" s="61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3"/>
      <c r="N268" s="63"/>
      <c r="O268" s="63"/>
      <c r="P268" s="64"/>
      <c r="Q268" s="64"/>
      <c r="R268" s="64"/>
      <c r="S268" s="64"/>
      <c r="T268" s="64"/>
    </row>
    <row r="269" spans="1:20" x14ac:dyDescent="0.2">
      <c r="A269" s="61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3"/>
      <c r="N269" s="63"/>
      <c r="O269" s="63"/>
      <c r="P269" s="64"/>
      <c r="Q269" s="64"/>
      <c r="R269" s="64"/>
      <c r="S269" s="64"/>
      <c r="T269" s="64"/>
    </row>
    <row r="270" spans="1:20" x14ac:dyDescent="0.2">
      <c r="A270" s="61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3"/>
      <c r="N270" s="63"/>
      <c r="O270" s="63"/>
      <c r="P270" s="64"/>
      <c r="Q270" s="64"/>
      <c r="R270" s="64"/>
      <c r="S270" s="64"/>
      <c r="T270" s="64"/>
    </row>
    <row r="271" spans="1:20" x14ac:dyDescent="0.2">
      <c r="A271" s="61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3"/>
      <c r="N271" s="63"/>
      <c r="O271" s="63"/>
      <c r="P271" s="64"/>
      <c r="Q271" s="64"/>
      <c r="R271" s="64"/>
      <c r="S271" s="64"/>
      <c r="T271" s="64"/>
    </row>
    <row r="272" spans="1:20" x14ac:dyDescent="0.2">
      <c r="A272" s="61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3"/>
      <c r="N272" s="63"/>
      <c r="O272" s="63"/>
      <c r="P272" s="64"/>
      <c r="Q272" s="64"/>
      <c r="R272" s="64"/>
      <c r="S272" s="64"/>
      <c r="T272" s="64"/>
    </row>
    <row r="273" spans="1:20" x14ac:dyDescent="0.2">
      <c r="A273" s="61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3"/>
      <c r="N273" s="63"/>
      <c r="O273" s="63"/>
      <c r="P273" s="64"/>
      <c r="Q273" s="64"/>
      <c r="R273" s="64"/>
      <c r="S273" s="64"/>
      <c r="T273" s="64"/>
    </row>
    <row r="274" spans="1:20" x14ac:dyDescent="0.2">
      <c r="A274" s="61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3"/>
      <c r="N274" s="63"/>
      <c r="O274" s="63"/>
      <c r="P274" s="64"/>
      <c r="Q274" s="64"/>
      <c r="R274" s="64"/>
      <c r="S274" s="64"/>
      <c r="T274" s="64"/>
    </row>
    <row r="275" spans="1:20" x14ac:dyDescent="0.2">
      <c r="A275" s="61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3"/>
      <c r="N275" s="63"/>
      <c r="O275" s="63"/>
      <c r="P275" s="64"/>
      <c r="Q275" s="64"/>
      <c r="R275" s="64"/>
      <c r="S275" s="64"/>
      <c r="T275" s="64"/>
    </row>
    <row r="276" spans="1:20" x14ac:dyDescent="0.2">
      <c r="A276" s="61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3"/>
      <c r="N276" s="63"/>
      <c r="O276" s="63"/>
      <c r="P276" s="64"/>
      <c r="Q276" s="64"/>
      <c r="R276" s="64"/>
      <c r="S276" s="64"/>
      <c r="T276" s="64"/>
    </row>
    <row r="277" spans="1:20" x14ac:dyDescent="0.2">
      <c r="A277" s="61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3"/>
      <c r="N277" s="63"/>
      <c r="O277" s="63"/>
      <c r="P277" s="64"/>
      <c r="Q277" s="64"/>
      <c r="R277" s="64"/>
      <c r="S277" s="64"/>
      <c r="T277" s="64"/>
    </row>
    <row r="278" spans="1:20" x14ac:dyDescent="0.2">
      <c r="A278" s="61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3"/>
      <c r="N278" s="63"/>
      <c r="O278" s="63"/>
      <c r="P278" s="64"/>
      <c r="Q278" s="64"/>
      <c r="R278" s="64"/>
      <c r="S278" s="64"/>
      <c r="T278" s="64"/>
    </row>
    <row r="279" spans="1:20" x14ac:dyDescent="0.2">
      <c r="A279" s="61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3"/>
      <c r="N279" s="63"/>
      <c r="O279" s="63"/>
      <c r="P279" s="64"/>
      <c r="Q279" s="64"/>
      <c r="R279" s="64"/>
      <c r="S279" s="64"/>
      <c r="T279" s="64"/>
    </row>
    <row r="280" spans="1:20" x14ac:dyDescent="0.2">
      <c r="A280" s="61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3"/>
      <c r="N280" s="63"/>
      <c r="O280" s="63"/>
      <c r="P280" s="64"/>
      <c r="Q280" s="64"/>
      <c r="R280" s="64"/>
      <c r="S280" s="64"/>
      <c r="T280" s="64"/>
    </row>
    <row r="281" spans="1:20" x14ac:dyDescent="0.2">
      <c r="A281" s="61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3"/>
      <c r="N281" s="63"/>
      <c r="O281" s="63"/>
      <c r="P281" s="64"/>
      <c r="Q281" s="64"/>
      <c r="R281" s="64"/>
      <c r="S281" s="64"/>
      <c r="T281" s="64"/>
    </row>
    <row r="282" spans="1:20" x14ac:dyDescent="0.2">
      <c r="A282" s="61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3"/>
      <c r="N282" s="63"/>
      <c r="O282" s="63"/>
      <c r="P282" s="64"/>
      <c r="Q282" s="64"/>
      <c r="R282" s="64"/>
      <c r="S282" s="64"/>
      <c r="T282" s="64"/>
    </row>
    <row r="283" spans="1:20" x14ac:dyDescent="0.2">
      <c r="A283" s="61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3"/>
      <c r="N283" s="63"/>
      <c r="O283" s="63"/>
      <c r="P283" s="64"/>
      <c r="Q283" s="64"/>
      <c r="R283" s="64"/>
      <c r="S283" s="64"/>
      <c r="T283" s="64"/>
    </row>
    <row r="284" spans="1:20" x14ac:dyDescent="0.2">
      <c r="A284" s="61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3"/>
      <c r="N284" s="63"/>
      <c r="O284" s="63"/>
      <c r="P284" s="64"/>
      <c r="Q284" s="64"/>
      <c r="R284" s="64"/>
      <c r="S284" s="64"/>
      <c r="T284" s="64"/>
    </row>
    <row r="285" spans="1:20" x14ac:dyDescent="0.2">
      <c r="A285" s="61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3"/>
      <c r="N285" s="63"/>
      <c r="O285" s="63"/>
      <c r="P285" s="64"/>
      <c r="Q285" s="64"/>
      <c r="R285" s="64"/>
      <c r="S285" s="64"/>
      <c r="T285" s="64"/>
    </row>
    <row r="286" spans="1:20" x14ac:dyDescent="0.2">
      <c r="A286" s="61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3"/>
      <c r="N286" s="63"/>
      <c r="O286" s="63"/>
      <c r="P286" s="64"/>
      <c r="Q286" s="64"/>
      <c r="R286" s="64"/>
      <c r="S286" s="64"/>
      <c r="T286" s="64"/>
    </row>
    <row r="287" spans="1:20" x14ac:dyDescent="0.2">
      <c r="A287" s="61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3"/>
      <c r="N287" s="63"/>
      <c r="O287" s="63"/>
      <c r="P287" s="64"/>
      <c r="Q287" s="64"/>
      <c r="R287" s="64"/>
      <c r="S287" s="64"/>
      <c r="T287" s="64"/>
    </row>
    <row r="288" spans="1:20" x14ac:dyDescent="0.2">
      <c r="A288" s="61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3"/>
      <c r="N288" s="63"/>
      <c r="O288" s="63"/>
      <c r="P288" s="64"/>
      <c r="Q288" s="64"/>
      <c r="R288" s="64"/>
      <c r="S288" s="64"/>
      <c r="T288" s="64"/>
    </row>
    <row r="289" spans="1:20" x14ac:dyDescent="0.2">
      <c r="A289" s="61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3"/>
      <c r="N289" s="63"/>
      <c r="O289" s="63"/>
      <c r="P289" s="64"/>
      <c r="Q289" s="64"/>
      <c r="R289" s="64"/>
      <c r="S289" s="64"/>
      <c r="T289" s="64"/>
    </row>
    <row r="290" spans="1:20" x14ac:dyDescent="0.2">
      <c r="A290" s="61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3"/>
      <c r="N290" s="63"/>
      <c r="O290" s="63"/>
      <c r="P290" s="64"/>
      <c r="Q290" s="64"/>
      <c r="R290" s="64"/>
      <c r="S290" s="64"/>
      <c r="T290" s="64"/>
    </row>
    <row r="291" spans="1:20" x14ac:dyDescent="0.2">
      <c r="A291" s="61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3"/>
      <c r="N291" s="63"/>
      <c r="O291" s="63"/>
      <c r="P291" s="64"/>
      <c r="Q291" s="64"/>
      <c r="R291" s="64"/>
      <c r="S291" s="64"/>
      <c r="T291" s="64"/>
    </row>
    <row r="292" spans="1:20" x14ac:dyDescent="0.2">
      <c r="A292" s="61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3"/>
      <c r="N292" s="63"/>
      <c r="O292" s="63"/>
      <c r="P292" s="64"/>
      <c r="Q292" s="64"/>
      <c r="R292" s="64"/>
      <c r="S292" s="64"/>
      <c r="T292" s="64"/>
    </row>
    <row r="293" spans="1:20" x14ac:dyDescent="0.2">
      <c r="A293" s="61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3"/>
      <c r="N293" s="63"/>
      <c r="O293" s="63"/>
      <c r="P293" s="64"/>
      <c r="Q293" s="64"/>
      <c r="R293" s="64"/>
      <c r="S293" s="64"/>
      <c r="T293" s="64"/>
    </row>
    <row r="294" spans="1:20" x14ac:dyDescent="0.2">
      <c r="A294" s="61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3"/>
      <c r="N294" s="63"/>
      <c r="O294" s="63"/>
      <c r="P294" s="64"/>
      <c r="Q294" s="64"/>
      <c r="R294" s="64"/>
      <c r="S294" s="64"/>
      <c r="T294" s="64"/>
    </row>
    <row r="295" spans="1:20" x14ac:dyDescent="0.2">
      <c r="A295" s="61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3"/>
      <c r="N295" s="63"/>
      <c r="O295" s="63"/>
      <c r="P295" s="64"/>
      <c r="Q295" s="64"/>
      <c r="R295" s="64"/>
      <c r="S295" s="64"/>
      <c r="T295" s="64"/>
    </row>
    <row r="296" spans="1:20" x14ac:dyDescent="0.2">
      <c r="A296" s="61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3"/>
      <c r="N296" s="63"/>
      <c r="O296" s="63"/>
      <c r="P296" s="64"/>
      <c r="Q296" s="64"/>
      <c r="R296" s="64"/>
      <c r="S296" s="64"/>
      <c r="T296" s="64"/>
    </row>
    <row r="297" spans="1:20" x14ac:dyDescent="0.2">
      <c r="A297" s="61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3"/>
      <c r="N297" s="63"/>
      <c r="O297" s="63"/>
      <c r="P297" s="64"/>
      <c r="Q297" s="64"/>
      <c r="R297" s="64"/>
      <c r="S297" s="64"/>
      <c r="T297" s="64"/>
    </row>
    <row r="298" spans="1:20" x14ac:dyDescent="0.2">
      <c r="A298" s="61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3"/>
      <c r="N298" s="63"/>
      <c r="O298" s="63"/>
      <c r="P298" s="64"/>
      <c r="Q298" s="64"/>
      <c r="R298" s="64"/>
      <c r="S298" s="64"/>
      <c r="T298" s="64"/>
    </row>
    <row r="299" spans="1:20" x14ac:dyDescent="0.2">
      <c r="A299" s="61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3"/>
      <c r="N299" s="63"/>
      <c r="O299" s="63"/>
      <c r="P299" s="64"/>
      <c r="Q299" s="64"/>
      <c r="R299" s="64"/>
      <c r="S299" s="64"/>
      <c r="T299" s="64"/>
    </row>
    <row r="300" spans="1:20" x14ac:dyDescent="0.2">
      <c r="A300" s="61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3"/>
      <c r="N300" s="63"/>
      <c r="O300" s="63"/>
      <c r="P300" s="64"/>
      <c r="Q300" s="64"/>
      <c r="R300" s="64"/>
      <c r="S300" s="64"/>
      <c r="T300" s="64"/>
    </row>
    <row r="301" spans="1:20" x14ac:dyDescent="0.2">
      <c r="A301" s="61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3"/>
      <c r="N301" s="63"/>
      <c r="O301" s="63"/>
      <c r="P301" s="64"/>
      <c r="Q301" s="64"/>
      <c r="R301" s="64"/>
      <c r="S301" s="64"/>
      <c r="T301" s="64"/>
    </row>
    <row r="302" spans="1:20" x14ac:dyDescent="0.2">
      <c r="A302" s="61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3"/>
      <c r="N302" s="63"/>
      <c r="O302" s="63"/>
      <c r="P302" s="64"/>
      <c r="Q302" s="64"/>
      <c r="R302" s="64"/>
      <c r="S302" s="64"/>
      <c r="T302" s="64"/>
    </row>
    <row r="303" spans="1:20" x14ac:dyDescent="0.2">
      <c r="A303" s="61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3"/>
      <c r="N303" s="63"/>
      <c r="O303" s="63"/>
      <c r="P303" s="64"/>
      <c r="Q303" s="64"/>
      <c r="R303" s="64"/>
      <c r="S303" s="64"/>
      <c r="T303" s="64"/>
    </row>
    <row r="304" spans="1:20" x14ac:dyDescent="0.2">
      <c r="A304" s="61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3"/>
      <c r="N304" s="63"/>
      <c r="O304" s="63"/>
      <c r="P304" s="64"/>
      <c r="Q304" s="64"/>
      <c r="R304" s="64"/>
      <c r="S304" s="64"/>
      <c r="T304" s="64"/>
    </row>
    <row r="305" spans="1:20" x14ac:dyDescent="0.2">
      <c r="A305" s="61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3"/>
      <c r="N305" s="63"/>
      <c r="O305" s="63"/>
      <c r="P305" s="64"/>
      <c r="Q305" s="64"/>
      <c r="R305" s="64"/>
      <c r="S305" s="64"/>
      <c r="T305" s="64"/>
    </row>
    <row r="306" spans="1:20" x14ac:dyDescent="0.2">
      <c r="A306" s="61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3"/>
      <c r="N306" s="63"/>
      <c r="O306" s="63"/>
      <c r="P306" s="64"/>
      <c r="Q306" s="64"/>
      <c r="R306" s="64"/>
      <c r="S306" s="64"/>
      <c r="T306" s="64"/>
    </row>
    <row r="307" spans="1:20" x14ac:dyDescent="0.2">
      <c r="A307" s="61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3"/>
      <c r="N307" s="63"/>
      <c r="O307" s="63"/>
      <c r="P307" s="64"/>
      <c r="Q307" s="64"/>
      <c r="R307" s="64"/>
      <c r="S307" s="64"/>
      <c r="T307" s="64"/>
    </row>
    <row r="308" spans="1:20" x14ac:dyDescent="0.2">
      <c r="A308" s="61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3"/>
      <c r="N308" s="63"/>
      <c r="O308" s="63"/>
      <c r="P308" s="64"/>
      <c r="Q308" s="64"/>
      <c r="R308" s="64"/>
      <c r="S308" s="64"/>
      <c r="T308" s="64"/>
    </row>
    <row r="309" spans="1:20" x14ac:dyDescent="0.2">
      <c r="A309" s="61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3"/>
      <c r="N309" s="63"/>
      <c r="O309" s="63"/>
      <c r="P309" s="64"/>
      <c r="Q309" s="64"/>
      <c r="R309" s="64"/>
      <c r="S309" s="64"/>
      <c r="T309" s="64"/>
    </row>
    <row r="310" spans="1:20" x14ac:dyDescent="0.2">
      <c r="A310" s="61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3"/>
      <c r="N310" s="63"/>
      <c r="O310" s="63"/>
      <c r="P310" s="64"/>
      <c r="Q310" s="64"/>
      <c r="R310" s="64"/>
      <c r="S310" s="64"/>
      <c r="T310" s="64"/>
    </row>
    <row r="311" spans="1:20" x14ac:dyDescent="0.2">
      <c r="A311" s="66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3"/>
      <c r="N311" s="63"/>
      <c r="O311" s="63"/>
      <c r="P311" s="64"/>
      <c r="Q311" s="64"/>
      <c r="R311" s="64"/>
      <c r="S311" s="64"/>
      <c r="T311" s="64"/>
    </row>
    <row r="312" spans="1:20" x14ac:dyDescent="0.2">
      <c r="A312" s="66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3"/>
      <c r="N312" s="63"/>
      <c r="O312" s="63"/>
      <c r="P312" s="64"/>
      <c r="Q312" s="64"/>
      <c r="R312" s="64"/>
      <c r="S312" s="64"/>
      <c r="T312" s="64"/>
    </row>
    <row r="313" spans="1:20" x14ac:dyDescent="0.2">
      <c r="A313" s="66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3"/>
      <c r="N313" s="63"/>
      <c r="O313" s="63"/>
      <c r="P313" s="64"/>
      <c r="Q313" s="64"/>
      <c r="R313" s="64"/>
      <c r="S313" s="64"/>
      <c r="T313" s="64"/>
    </row>
    <row r="314" spans="1:20" x14ac:dyDescent="0.2">
      <c r="A314" s="61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3"/>
      <c r="N314" s="63"/>
      <c r="O314" s="63"/>
      <c r="P314" s="64"/>
      <c r="Q314" s="64"/>
      <c r="R314" s="64"/>
      <c r="S314" s="64"/>
      <c r="T314" s="64"/>
    </row>
    <row r="315" spans="1:20" x14ac:dyDescent="0.2">
      <c r="A315" s="61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3"/>
      <c r="N315" s="63"/>
      <c r="O315" s="63"/>
      <c r="P315" s="64"/>
      <c r="Q315" s="64"/>
      <c r="R315" s="64"/>
      <c r="S315" s="64"/>
      <c r="T315" s="64"/>
    </row>
    <row r="316" spans="1:20" x14ac:dyDescent="0.2">
      <c r="A316" s="61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3"/>
      <c r="N316" s="63"/>
      <c r="O316" s="63"/>
      <c r="P316" s="64"/>
      <c r="Q316" s="64"/>
      <c r="R316" s="64"/>
      <c r="S316" s="64"/>
      <c r="T316" s="64"/>
    </row>
    <row r="317" spans="1:20" x14ac:dyDescent="0.2">
      <c r="A317" s="61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3"/>
      <c r="N317" s="63"/>
      <c r="O317" s="63"/>
      <c r="P317" s="64"/>
      <c r="Q317" s="64"/>
      <c r="R317" s="64"/>
      <c r="S317" s="64"/>
      <c r="T317" s="64"/>
    </row>
    <row r="318" spans="1:20" x14ac:dyDescent="0.2">
      <c r="A318" s="61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3"/>
      <c r="N318" s="63"/>
      <c r="O318" s="63"/>
      <c r="P318" s="64"/>
      <c r="Q318" s="64"/>
      <c r="R318" s="64"/>
      <c r="S318" s="64"/>
      <c r="T318" s="64"/>
    </row>
    <row r="319" spans="1:20" x14ac:dyDescent="0.2">
      <c r="A319" s="61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3"/>
      <c r="N319" s="63"/>
      <c r="O319" s="63"/>
      <c r="P319" s="64"/>
      <c r="Q319" s="64"/>
      <c r="R319" s="64"/>
      <c r="S319" s="64"/>
      <c r="T319" s="64"/>
    </row>
    <row r="320" spans="1:20" x14ac:dyDescent="0.2">
      <c r="A320" s="61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3"/>
      <c r="N320" s="63"/>
      <c r="O320" s="63"/>
      <c r="P320" s="64"/>
      <c r="Q320" s="64"/>
      <c r="R320" s="64"/>
      <c r="S320" s="64"/>
      <c r="T320" s="64"/>
    </row>
    <row r="321" spans="1:20" x14ac:dyDescent="0.2">
      <c r="A321" s="61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3"/>
      <c r="N321" s="63"/>
      <c r="O321" s="63"/>
      <c r="P321" s="64"/>
      <c r="Q321" s="64"/>
      <c r="R321" s="64"/>
      <c r="S321" s="64"/>
      <c r="T321" s="64"/>
    </row>
    <row r="322" spans="1:20" x14ac:dyDescent="0.2">
      <c r="A322" s="61"/>
      <c r="B322" s="62"/>
      <c r="C322" s="67"/>
      <c r="D322" s="67"/>
      <c r="E322" s="67"/>
      <c r="F322" s="67"/>
      <c r="G322" s="67"/>
      <c r="H322" s="67"/>
      <c r="I322" s="67"/>
      <c r="J322" s="67"/>
      <c r="K322" s="62"/>
      <c r="L322" s="62"/>
      <c r="M322" s="67"/>
      <c r="N322" s="67"/>
      <c r="O322" s="67"/>
      <c r="P322" s="67"/>
      <c r="Q322" s="67"/>
      <c r="R322" s="67"/>
      <c r="S322" s="67"/>
      <c r="T322" s="67"/>
    </row>
    <row r="323" spans="1:20" x14ac:dyDescent="0.2">
      <c r="A323" s="61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3"/>
      <c r="N323" s="63"/>
      <c r="O323" s="63"/>
      <c r="P323" s="64"/>
      <c r="Q323" s="64"/>
      <c r="R323" s="64"/>
      <c r="S323" s="64"/>
      <c r="T323" s="64"/>
    </row>
    <row r="324" spans="1:20" x14ac:dyDescent="0.2">
      <c r="A324" s="61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9"/>
      <c r="N324" s="69"/>
      <c r="O324" s="69"/>
      <c r="P324" s="70"/>
      <c r="Q324" s="70"/>
      <c r="R324" s="70"/>
      <c r="S324" s="70"/>
      <c r="T324" s="70"/>
    </row>
    <row r="325" spans="1:20" x14ac:dyDescent="0.2">
      <c r="A325" s="66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9"/>
      <c r="N325" s="69"/>
      <c r="O325" s="69"/>
      <c r="P325" s="70"/>
      <c r="Q325" s="70"/>
      <c r="R325" s="70"/>
      <c r="S325" s="70"/>
      <c r="T325" s="70"/>
    </row>
    <row r="326" spans="1:20" x14ac:dyDescent="0.2">
      <c r="A326" s="61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9"/>
      <c r="N326" s="69"/>
      <c r="O326" s="69"/>
      <c r="P326" s="70"/>
      <c r="Q326" s="70"/>
      <c r="R326" s="70"/>
      <c r="S326" s="70"/>
      <c r="T326" s="70"/>
    </row>
    <row r="327" spans="1:20" x14ac:dyDescent="0.2">
      <c r="A327" s="71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9"/>
      <c r="N327" s="69"/>
      <c r="O327" s="69"/>
      <c r="P327" s="70"/>
      <c r="Q327" s="70"/>
      <c r="R327" s="70"/>
      <c r="S327" s="70"/>
      <c r="T327" s="70"/>
    </row>
    <row r="328" spans="1:20" x14ac:dyDescent="0.2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9"/>
      <c r="N328" s="69"/>
      <c r="O328" s="69"/>
      <c r="P328" s="70"/>
      <c r="Q328" s="70"/>
      <c r="R328" s="70"/>
      <c r="S328" s="70"/>
      <c r="T328" s="70"/>
    </row>
    <row r="329" spans="1:20" x14ac:dyDescent="0.2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9"/>
      <c r="N329" s="69"/>
      <c r="O329" s="69"/>
      <c r="P329" s="70"/>
      <c r="Q329" s="70"/>
      <c r="R329" s="70"/>
      <c r="S329" s="70"/>
      <c r="T329" s="70"/>
    </row>
    <row r="330" spans="1:20" x14ac:dyDescent="0.2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9"/>
      <c r="N330" s="69"/>
      <c r="O330" s="69"/>
      <c r="P330" s="70"/>
      <c r="Q330" s="70"/>
      <c r="R330" s="70"/>
      <c r="S330" s="70"/>
      <c r="T330" s="70"/>
    </row>
    <row r="331" spans="1:20" x14ac:dyDescent="0.2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9"/>
      <c r="N331" s="69"/>
      <c r="O331" s="69"/>
      <c r="P331" s="70"/>
      <c r="Q331" s="70"/>
      <c r="R331" s="70"/>
      <c r="S331" s="70"/>
      <c r="T331" s="70"/>
    </row>
    <row r="332" spans="1:20" x14ac:dyDescent="0.2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9"/>
      <c r="N332" s="69"/>
      <c r="O332" s="69"/>
      <c r="P332" s="70"/>
      <c r="Q332" s="70"/>
      <c r="R332" s="70"/>
      <c r="S332" s="70"/>
      <c r="T332" s="70"/>
    </row>
    <row r="333" spans="1:20" x14ac:dyDescent="0.2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9"/>
      <c r="N333" s="69"/>
      <c r="O333" s="69"/>
      <c r="P333" s="70"/>
      <c r="Q333" s="70"/>
      <c r="R333" s="70"/>
      <c r="S333" s="70"/>
      <c r="T333" s="70"/>
    </row>
    <row r="334" spans="1:20" x14ac:dyDescent="0.2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9"/>
      <c r="N334" s="69"/>
      <c r="O334" s="69"/>
      <c r="P334" s="70"/>
      <c r="Q334" s="70"/>
      <c r="R334" s="70"/>
      <c r="S334" s="70"/>
      <c r="T334" s="70"/>
    </row>
    <row r="335" spans="1:20" x14ac:dyDescent="0.2"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9"/>
      <c r="N335" s="69"/>
      <c r="O335" s="69"/>
      <c r="P335" s="70"/>
      <c r="Q335" s="70"/>
      <c r="R335" s="70"/>
      <c r="S335" s="70"/>
      <c r="T335" s="70"/>
    </row>
    <row r="336" spans="1:20" x14ac:dyDescent="0.2"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9"/>
      <c r="N336" s="69"/>
      <c r="O336" s="69"/>
      <c r="P336" s="70"/>
      <c r="Q336" s="70"/>
      <c r="R336" s="70"/>
      <c r="S336" s="70"/>
      <c r="T336" s="70"/>
    </row>
    <row r="337" spans="2:20" x14ac:dyDescent="0.2"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9"/>
      <c r="N337" s="69"/>
      <c r="O337" s="69"/>
      <c r="P337" s="70"/>
      <c r="Q337" s="70"/>
      <c r="R337" s="70"/>
      <c r="S337" s="70"/>
      <c r="T337" s="70"/>
    </row>
    <row r="338" spans="2:20" x14ac:dyDescent="0.2"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9"/>
      <c r="N338" s="69"/>
      <c r="O338" s="69"/>
      <c r="P338" s="70"/>
      <c r="Q338" s="70"/>
      <c r="R338" s="70"/>
      <c r="S338" s="70"/>
      <c r="T338" s="70"/>
    </row>
    <row r="339" spans="2:20" x14ac:dyDescent="0.2"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9"/>
      <c r="N339" s="69"/>
      <c r="O339" s="69"/>
      <c r="P339" s="70"/>
      <c r="Q339" s="70"/>
      <c r="R339" s="70"/>
      <c r="S339" s="70"/>
      <c r="T339" s="70"/>
    </row>
    <row r="340" spans="2:20" x14ac:dyDescent="0.2"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9"/>
      <c r="N340" s="69"/>
      <c r="O340" s="69"/>
      <c r="P340" s="70"/>
      <c r="Q340" s="70"/>
      <c r="R340" s="70"/>
      <c r="S340" s="70"/>
      <c r="T340" s="70"/>
    </row>
    <row r="341" spans="2:20" x14ac:dyDescent="0.2"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9"/>
      <c r="N341" s="69"/>
      <c r="O341" s="69"/>
      <c r="P341" s="70"/>
      <c r="Q341" s="70"/>
      <c r="R341" s="70"/>
      <c r="S341" s="70"/>
      <c r="T341" s="70"/>
    </row>
    <row r="342" spans="2:20" x14ac:dyDescent="0.2"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9"/>
      <c r="N342" s="69"/>
      <c r="O342" s="69"/>
      <c r="P342" s="70"/>
      <c r="Q342" s="70"/>
      <c r="R342" s="70"/>
      <c r="S342" s="70"/>
      <c r="T342" s="70"/>
    </row>
    <row r="343" spans="2:20" x14ac:dyDescent="0.2"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9"/>
      <c r="N343" s="69"/>
      <c r="O343" s="69"/>
      <c r="P343" s="70"/>
      <c r="Q343" s="70"/>
      <c r="R343" s="70"/>
      <c r="S343" s="70"/>
      <c r="T343" s="70"/>
    </row>
    <row r="344" spans="2:20" x14ac:dyDescent="0.2"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9"/>
      <c r="N344" s="69"/>
      <c r="O344" s="69"/>
      <c r="P344" s="70"/>
      <c r="Q344" s="70"/>
      <c r="R344" s="70"/>
      <c r="S344" s="70"/>
      <c r="T344" s="70"/>
    </row>
    <row r="345" spans="2:20" x14ac:dyDescent="0.2"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9"/>
      <c r="N345" s="69"/>
      <c r="O345" s="69"/>
      <c r="P345" s="70"/>
      <c r="Q345" s="70"/>
      <c r="R345" s="70"/>
      <c r="S345" s="70"/>
      <c r="T345" s="70"/>
    </row>
    <row r="346" spans="2:20" x14ac:dyDescent="0.2"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9"/>
      <c r="N346" s="69"/>
      <c r="O346" s="69"/>
      <c r="P346" s="70"/>
      <c r="Q346" s="70"/>
      <c r="R346" s="70"/>
      <c r="S346" s="70"/>
      <c r="T346" s="70"/>
    </row>
    <row r="347" spans="2:20" x14ac:dyDescent="0.2"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9"/>
      <c r="N347" s="69"/>
      <c r="O347" s="69"/>
      <c r="P347" s="70"/>
      <c r="Q347" s="70"/>
      <c r="R347" s="70"/>
      <c r="S347" s="70"/>
      <c r="T347" s="70"/>
    </row>
    <row r="348" spans="2:20" x14ac:dyDescent="0.2"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9"/>
      <c r="N348" s="69"/>
      <c r="O348" s="69"/>
      <c r="P348" s="70"/>
      <c r="Q348" s="70"/>
      <c r="R348" s="70"/>
      <c r="S348" s="70"/>
      <c r="T348" s="70"/>
    </row>
    <row r="349" spans="2:20" x14ac:dyDescent="0.2"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9"/>
      <c r="N349" s="69"/>
      <c r="O349" s="69"/>
      <c r="P349" s="70"/>
      <c r="Q349" s="70"/>
      <c r="R349" s="70"/>
      <c r="S349" s="70"/>
      <c r="T349" s="70"/>
    </row>
    <row r="350" spans="2:20" x14ac:dyDescent="0.2"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9"/>
      <c r="N350" s="69"/>
      <c r="O350" s="69"/>
      <c r="P350" s="70"/>
      <c r="Q350" s="70"/>
      <c r="R350" s="70"/>
      <c r="S350" s="70"/>
      <c r="T350" s="70"/>
    </row>
    <row r="351" spans="2:20" x14ac:dyDescent="0.2"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9"/>
      <c r="N351" s="69"/>
      <c r="O351" s="69"/>
      <c r="P351" s="70"/>
      <c r="Q351" s="70"/>
      <c r="R351" s="70"/>
      <c r="S351" s="70"/>
      <c r="T351" s="70"/>
    </row>
    <row r="352" spans="2:20" x14ac:dyDescent="0.2"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9"/>
      <c r="N352" s="69"/>
      <c r="O352" s="69"/>
      <c r="P352" s="70"/>
      <c r="Q352" s="70"/>
      <c r="R352" s="70"/>
      <c r="S352" s="70"/>
      <c r="T352" s="70"/>
    </row>
    <row r="353" spans="2:20" x14ac:dyDescent="0.2"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9"/>
      <c r="N353" s="69"/>
      <c r="O353" s="69"/>
      <c r="P353" s="70"/>
      <c r="Q353" s="70"/>
      <c r="R353" s="70"/>
      <c r="S353" s="70"/>
      <c r="T353" s="70"/>
    </row>
    <row r="354" spans="2:20" x14ac:dyDescent="0.2"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9"/>
      <c r="N354" s="69"/>
      <c r="O354" s="69"/>
      <c r="P354" s="70"/>
      <c r="Q354" s="70"/>
      <c r="R354" s="70"/>
      <c r="S354" s="70"/>
      <c r="T354" s="70"/>
    </row>
    <row r="355" spans="2:20" x14ac:dyDescent="0.2"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9"/>
      <c r="N355" s="69"/>
      <c r="O355" s="69"/>
      <c r="P355" s="70"/>
      <c r="Q355" s="70"/>
      <c r="R355" s="70"/>
      <c r="S355" s="70"/>
      <c r="T355" s="70"/>
    </row>
    <row r="356" spans="2:20" x14ac:dyDescent="0.2"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9"/>
      <c r="N356" s="69"/>
      <c r="O356" s="69"/>
      <c r="P356" s="70"/>
      <c r="Q356" s="70"/>
      <c r="R356" s="70"/>
      <c r="S356" s="70"/>
      <c r="T356" s="70"/>
    </row>
    <row r="357" spans="2:20" x14ac:dyDescent="0.2"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9"/>
      <c r="N357" s="69"/>
      <c r="O357" s="69"/>
      <c r="P357" s="70"/>
      <c r="Q357" s="70"/>
      <c r="R357" s="70"/>
      <c r="S357" s="70"/>
      <c r="T357" s="70"/>
    </row>
    <row r="358" spans="2:20" x14ac:dyDescent="0.2"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9"/>
      <c r="N358" s="69"/>
      <c r="O358" s="69"/>
      <c r="P358" s="70"/>
      <c r="Q358" s="70"/>
      <c r="R358" s="70"/>
      <c r="S358" s="70"/>
      <c r="T358" s="70"/>
    </row>
    <row r="359" spans="2:20" x14ac:dyDescent="0.2"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9"/>
      <c r="N359" s="69"/>
      <c r="O359" s="69"/>
      <c r="P359" s="70"/>
      <c r="Q359" s="70"/>
      <c r="R359" s="70"/>
      <c r="S359" s="70"/>
      <c r="T359" s="70"/>
    </row>
    <row r="360" spans="2:20" x14ac:dyDescent="0.2"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9"/>
      <c r="N360" s="69"/>
      <c r="O360" s="69"/>
      <c r="P360" s="70"/>
      <c r="Q360" s="70"/>
      <c r="R360" s="70"/>
      <c r="S360" s="70"/>
      <c r="T360" s="70"/>
    </row>
    <row r="361" spans="2:20" x14ac:dyDescent="0.2"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9"/>
      <c r="N361" s="69"/>
      <c r="O361" s="69"/>
      <c r="P361" s="70"/>
      <c r="Q361" s="70"/>
      <c r="R361" s="70"/>
      <c r="S361" s="70"/>
      <c r="T361" s="70"/>
    </row>
    <row r="362" spans="2:20" x14ac:dyDescent="0.2"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9"/>
      <c r="N362" s="69"/>
      <c r="O362" s="69"/>
      <c r="P362" s="70"/>
      <c r="Q362" s="70"/>
      <c r="R362" s="70"/>
      <c r="S362" s="70"/>
      <c r="T362" s="70"/>
    </row>
    <row r="363" spans="2:20" x14ac:dyDescent="0.2"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9"/>
      <c r="N363" s="69"/>
      <c r="O363" s="69"/>
      <c r="P363" s="70"/>
      <c r="Q363" s="70"/>
      <c r="R363" s="70"/>
      <c r="S363" s="70"/>
      <c r="T363" s="70"/>
    </row>
    <row r="364" spans="2:20" x14ac:dyDescent="0.2"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9"/>
      <c r="N364" s="69"/>
      <c r="O364" s="69"/>
      <c r="P364" s="70"/>
      <c r="Q364" s="70"/>
      <c r="R364" s="70"/>
      <c r="S364" s="70"/>
      <c r="T364" s="70"/>
    </row>
    <row r="365" spans="2:20" x14ac:dyDescent="0.2"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9"/>
      <c r="N365" s="69"/>
      <c r="O365" s="69"/>
      <c r="P365" s="70"/>
      <c r="Q365" s="70"/>
      <c r="R365" s="70"/>
      <c r="S365" s="70"/>
      <c r="T365" s="70"/>
    </row>
    <row r="366" spans="2:20" x14ac:dyDescent="0.2"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9"/>
      <c r="N366" s="69"/>
      <c r="O366" s="69"/>
      <c r="P366" s="70"/>
      <c r="Q366" s="70"/>
      <c r="R366" s="70"/>
      <c r="S366" s="70"/>
      <c r="T366" s="70"/>
    </row>
    <row r="367" spans="2:20" x14ac:dyDescent="0.2"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9"/>
      <c r="N367" s="69"/>
      <c r="O367" s="69"/>
      <c r="P367" s="70"/>
      <c r="Q367" s="70"/>
      <c r="R367" s="70"/>
      <c r="S367" s="70"/>
      <c r="T367" s="70"/>
    </row>
    <row r="368" spans="2:20" x14ac:dyDescent="0.2"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9"/>
      <c r="N368" s="69"/>
      <c r="O368" s="69"/>
      <c r="P368" s="70"/>
      <c r="Q368" s="70"/>
      <c r="R368" s="70"/>
      <c r="S368" s="70"/>
      <c r="T368" s="70"/>
    </row>
    <row r="369" spans="2:20" x14ac:dyDescent="0.2"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9"/>
      <c r="N369" s="69"/>
      <c r="O369" s="69"/>
      <c r="P369" s="70"/>
      <c r="Q369" s="70"/>
      <c r="R369" s="70"/>
      <c r="S369" s="70"/>
      <c r="T369" s="70"/>
    </row>
    <row r="370" spans="2:20" x14ac:dyDescent="0.2"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9"/>
      <c r="N370" s="69"/>
      <c r="O370" s="69"/>
      <c r="P370" s="70"/>
      <c r="Q370" s="70"/>
      <c r="R370" s="70"/>
      <c r="S370" s="70"/>
      <c r="T370" s="70"/>
    </row>
    <row r="371" spans="2:20" x14ac:dyDescent="0.2"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9"/>
      <c r="N371" s="69"/>
      <c r="O371" s="69"/>
      <c r="P371" s="70"/>
      <c r="Q371" s="70"/>
      <c r="R371" s="70"/>
      <c r="S371" s="70"/>
      <c r="T371" s="70"/>
    </row>
    <row r="372" spans="2:20" x14ac:dyDescent="0.2"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9"/>
      <c r="N372" s="69"/>
      <c r="O372" s="69"/>
      <c r="P372" s="70"/>
      <c r="Q372" s="70"/>
      <c r="R372" s="70"/>
      <c r="S372" s="70"/>
      <c r="T372" s="70"/>
    </row>
    <row r="373" spans="2:20" x14ac:dyDescent="0.2"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9"/>
      <c r="N373" s="69"/>
      <c r="O373" s="69"/>
      <c r="P373" s="70"/>
      <c r="Q373" s="70"/>
      <c r="R373" s="70"/>
      <c r="S373" s="70"/>
      <c r="T373" s="70"/>
    </row>
    <row r="374" spans="2:20" x14ac:dyDescent="0.2"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9"/>
      <c r="N374" s="69"/>
      <c r="O374" s="69"/>
      <c r="P374" s="70"/>
      <c r="Q374" s="70"/>
      <c r="R374" s="70"/>
      <c r="S374" s="70"/>
      <c r="T374" s="70"/>
    </row>
    <row r="375" spans="2:20" x14ac:dyDescent="0.2"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9"/>
      <c r="N375" s="69"/>
      <c r="O375" s="69"/>
      <c r="P375" s="70"/>
      <c r="Q375" s="70"/>
      <c r="R375" s="70"/>
      <c r="S375" s="70"/>
      <c r="T375" s="70"/>
    </row>
    <row r="376" spans="2:20" x14ac:dyDescent="0.2"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9"/>
      <c r="N376" s="69"/>
      <c r="O376" s="69"/>
      <c r="P376" s="70"/>
      <c r="Q376" s="70"/>
      <c r="R376" s="70"/>
      <c r="S376" s="70"/>
      <c r="T376" s="70"/>
    </row>
    <row r="377" spans="2:20" x14ac:dyDescent="0.2"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9"/>
      <c r="N377" s="69"/>
      <c r="O377" s="69"/>
      <c r="P377" s="70"/>
      <c r="Q377" s="70"/>
      <c r="R377" s="70"/>
      <c r="S377" s="70"/>
      <c r="T377" s="70"/>
    </row>
    <row r="378" spans="2:20" x14ac:dyDescent="0.2"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9"/>
      <c r="N378" s="69"/>
      <c r="O378" s="69"/>
      <c r="P378" s="70"/>
      <c r="Q378" s="70"/>
      <c r="R378" s="70"/>
      <c r="S378" s="70"/>
      <c r="T378" s="70"/>
    </row>
    <row r="379" spans="2:20" x14ac:dyDescent="0.2"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9"/>
      <c r="N379" s="69"/>
      <c r="O379" s="69"/>
      <c r="P379" s="70"/>
      <c r="Q379" s="70"/>
      <c r="R379" s="70"/>
      <c r="S379" s="70"/>
      <c r="T379" s="70"/>
    </row>
    <row r="380" spans="2:20" x14ac:dyDescent="0.2"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9"/>
      <c r="N380" s="69"/>
      <c r="O380" s="69"/>
      <c r="P380" s="70"/>
      <c r="Q380" s="70"/>
      <c r="R380" s="70"/>
      <c r="S380" s="70"/>
      <c r="T380" s="70"/>
    </row>
    <row r="381" spans="2:20" x14ac:dyDescent="0.2"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9"/>
      <c r="N381" s="69"/>
      <c r="O381" s="69"/>
      <c r="P381" s="70"/>
      <c r="Q381" s="70"/>
      <c r="R381" s="70"/>
      <c r="S381" s="70"/>
      <c r="T381" s="70"/>
    </row>
    <row r="382" spans="2:20" x14ac:dyDescent="0.2"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9"/>
      <c r="N382" s="69"/>
      <c r="O382" s="69"/>
      <c r="P382" s="70"/>
      <c r="Q382" s="70"/>
      <c r="R382" s="70"/>
      <c r="S382" s="70"/>
      <c r="T382" s="70"/>
    </row>
    <row r="383" spans="2:20" x14ac:dyDescent="0.2"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9"/>
      <c r="N383" s="69"/>
      <c r="O383" s="69"/>
      <c r="P383" s="70"/>
      <c r="Q383" s="70"/>
      <c r="R383" s="70"/>
      <c r="S383" s="70"/>
      <c r="T383" s="70"/>
    </row>
    <row r="384" spans="2:20" x14ac:dyDescent="0.2"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9"/>
      <c r="N384" s="69"/>
      <c r="O384" s="69"/>
      <c r="P384" s="70"/>
      <c r="Q384" s="70"/>
      <c r="R384" s="70"/>
      <c r="S384" s="70"/>
      <c r="T384" s="70"/>
    </row>
    <row r="385" spans="2:20" x14ac:dyDescent="0.2"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9"/>
      <c r="N385" s="69"/>
      <c r="O385" s="69"/>
      <c r="P385" s="70"/>
      <c r="Q385" s="70"/>
      <c r="R385" s="70"/>
      <c r="S385" s="70"/>
      <c r="T385" s="70"/>
    </row>
    <row r="386" spans="2:20" x14ac:dyDescent="0.2"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9"/>
      <c r="N386" s="69"/>
      <c r="O386" s="69"/>
      <c r="P386" s="70"/>
      <c r="Q386" s="70"/>
      <c r="R386" s="70"/>
      <c r="S386" s="70"/>
      <c r="T386" s="70"/>
    </row>
    <row r="387" spans="2:20" x14ac:dyDescent="0.2"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9"/>
      <c r="N387" s="69"/>
      <c r="O387" s="69"/>
      <c r="P387" s="70"/>
      <c r="Q387" s="70"/>
      <c r="R387" s="70"/>
      <c r="S387" s="70"/>
      <c r="T387" s="70"/>
    </row>
    <row r="388" spans="2:20" x14ac:dyDescent="0.2"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9"/>
      <c r="N388" s="69"/>
      <c r="O388" s="69"/>
      <c r="P388" s="70"/>
      <c r="Q388" s="70"/>
      <c r="R388" s="70"/>
      <c r="S388" s="70"/>
      <c r="T388" s="70"/>
    </row>
    <row r="389" spans="2:20" x14ac:dyDescent="0.2"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9"/>
      <c r="N389" s="69"/>
      <c r="O389" s="69"/>
      <c r="P389" s="70"/>
      <c r="Q389" s="70"/>
      <c r="R389" s="70"/>
      <c r="S389" s="70"/>
      <c r="T389" s="70"/>
    </row>
    <row r="390" spans="2:20" x14ac:dyDescent="0.2"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9"/>
      <c r="N390" s="69"/>
      <c r="O390" s="69"/>
      <c r="P390" s="70"/>
      <c r="Q390" s="70"/>
      <c r="R390" s="70"/>
      <c r="S390" s="70"/>
      <c r="T390" s="70"/>
    </row>
    <row r="391" spans="2:20" x14ac:dyDescent="0.2"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9"/>
      <c r="N391" s="69"/>
      <c r="O391" s="69"/>
      <c r="P391" s="70"/>
      <c r="Q391" s="70"/>
      <c r="R391" s="70"/>
      <c r="S391" s="70"/>
      <c r="T391" s="70"/>
    </row>
    <row r="392" spans="2:20" x14ac:dyDescent="0.2"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9"/>
      <c r="N392" s="69"/>
      <c r="O392" s="69"/>
      <c r="P392" s="70"/>
      <c r="Q392" s="70"/>
      <c r="R392" s="70"/>
      <c r="S392" s="70"/>
      <c r="T392" s="70"/>
    </row>
    <row r="393" spans="2:20" x14ac:dyDescent="0.2"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9"/>
      <c r="N393" s="69"/>
      <c r="O393" s="69"/>
      <c r="P393" s="70"/>
      <c r="Q393" s="70"/>
      <c r="R393" s="70"/>
      <c r="S393" s="70"/>
      <c r="T393" s="70"/>
    </row>
    <row r="394" spans="2:20" x14ac:dyDescent="0.2"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9"/>
      <c r="N394" s="69"/>
      <c r="O394" s="69"/>
      <c r="P394" s="70"/>
      <c r="Q394" s="70"/>
      <c r="R394" s="70"/>
      <c r="S394" s="70"/>
      <c r="T394" s="70"/>
    </row>
    <row r="395" spans="2:20" x14ac:dyDescent="0.2"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9"/>
      <c r="N395" s="69"/>
      <c r="O395" s="69"/>
      <c r="P395" s="70"/>
      <c r="Q395" s="70"/>
      <c r="R395" s="70"/>
      <c r="S395" s="70"/>
      <c r="T395" s="70"/>
    </row>
    <row r="396" spans="2:20" x14ac:dyDescent="0.2"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9"/>
      <c r="N396" s="69"/>
      <c r="O396" s="69"/>
      <c r="P396" s="70"/>
      <c r="Q396" s="70"/>
      <c r="R396" s="70"/>
      <c r="S396" s="70"/>
      <c r="T396" s="70"/>
    </row>
    <row r="397" spans="2:20" x14ac:dyDescent="0.2"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9"/>
      <c r="N397" s="69"/>
      <c r="O397" s="69"/>
      <c r="P397" s="70"/>
      <c r="Q397" s="70"/>
      <c r="R397" s="70"/>
      <c r="S397" s="70"/>
      <c r="T397" s="70"/>
    </row>
    <row r="398" spans="2:20" x14ac:dyDescent="0.2"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9"/>
      <c r="N398" s="69"/>
      <c r="O398" s="69"/>
      <c r="P398" s="70"/>
      <c r="Q398" s="70"/>
      <c r="R398" s="70"/>
      <c r="S398" s="70"/>
      <c r="T398" s="70"/>
    </row>
    <row r="399" spans="2:20" x14ac:dyDescent="0.2"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9"/>
      <c r="N399" s="69"/>
      <c r="O399" s="69"/>
      <c r="P399" s="70"/>
      <c r="Q399" s="70"/>
      <c r="R399" s="70"/>
      <c r="S399" s="70"/>
      <c r="T399" s="70"/>
    </row>
    <row r="400" spans="2:20" x14ac:dyDescent="0.2"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9"/>
      <c r="N400" s="69"/>
      <c r="O400" s="69"/>
      <c r="P400" s="70"/>
      <c r="Q400" s="70"/>
      <c r="R400" s="70"/>
      <c r="S400" s="70"/>
      <c r="T400" s="70"/>
    </row>
    <row r="401" spans="2:20" x14ac:dyDescent="0.2"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9"/>
      <c r="N401" s="69"/>
      <c r="O401" s="69"/>
      <c r="P401" s="70"/>
      <c r="Q401" s="70"/>
      <c r="R401" s="70"/>
      <c r="S401" s="70"/>
      <c r="T401" s="70"/>
    </row>
    <row r="402" spans="2:20" x14ac:dyDescent="0.2"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9"/>
      <c r="N402" s="69"/>
      <c r="O402" s="69"/>
      <c r="P402" s="70"/>
      <c r="Q402" s="70"/>
      <c r="R402" s="70"/>
      <c r="S402" s="70"/>
      <c r="T402" s="70"/>
    </row>
    <row r="403" spans="2:20" x14ac:dyDescent="0.2"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9"/>
      <c r="N403" s="69"/>
      <c r="O403" s="69"/>
      <c r="P403" s="70"/>
      <c r="Q403" s="70"/>
      <c r="R403" s="70"/>
      <c r="S403" s="70"/>
      <c r="T403" s="70"/>
    </row>
    <row r="404" spans="2:20" x14ac:dyDescent="0.2"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9"/>
      <c r="N404" s="69"/>
      <c r="O404" s="69"/>
      <c r="P404" s="70"/>
      <c r="Q404" s="70"/>
      <c r="R404" s="70"/>
      <c r="S404" s="70"/>
      <c r="T404" s="70"/>
    </row>
    <row r="405" spans="2:20" x14ac:dyDescent="0.2"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9"/>
      <c r="N405" s="69"/>
      <c r="O405" s="69"/>
      <c r="P405" s="70"/>
      <c r="Q405" s="70"/>
      <c r="R405" s="70"/>
      <c r="S405" s="70"/>
      <c r="T405" s="70"/>
    </row>
    <row r="406" spans="2:20" x14ac:dyDescent="0.2"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9"/>
      <c r="N406" s="69"/>
      <c r="O406" s="69"/>
      <c r="P406" s="70"/>
      <c r="Q406" s="70"/>
      <c r="R406" s="70"/>
      <c r="S406" s="70"/>
      <c r="T406" s="70"/>
    </row>
    <row r="407" spans="2:20" x14ac:dyDescent="0.2"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9"/>
      <c r="N407" s="69"/>
      <c r="O407" s="69"/>
      <c r="P407" s="70"/>
      <c r="Q407" s="70"/>
      <c r="R407" s="70"/>
      <c r="S407" s="70"/>
      <c r="T407" s="70"/>
    </row>
    <row r="408" spans="2:20" x14ac:dyDescent="0.2"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9"/>
      <c r="N408" s="69"/>
      <c r="O408" s="69"/>
      <c r="P408" s="70"/>
      <c r="Q408" s="70"/>
      <c r="R408" s="70"/>
      <c r="S408" s="70"/>
      <c r="T408" s="70"/>
    </row>
    <row r="409" spans="2:20" x14ac:dyDescent="0.2"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9"/>
      <c r="N409" s="69"/>
      <c r="O409" s="69"/>
      <c r="P409" s="70"/>
      <c r="Q409" s="70"/>
      <c r="R409" s="70"/>
      <c r="S409" s="70"/>
      <c r="T409" s="70"/>
    </row>
    <row r="410" spans="2:20" x14ac:dyDescent="0.2"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9"/>
      <c r="N410" s="69"/>
      <c r="O410" s="69"/>
      <c r="P410" s="70"/>
      <c r="Q410" s="70"/>
      <c r="R410" s="70"/>
      <c r="S410" s="70"/>
      <c r="T410" s="70"/>
    </row>
    <row r="411" spans="2:20" x14ac:dyDescent="0.2"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9"/>
      <c r="N411" s="69"/>
      <c r="O411" s="69"/>
      <c r="P411" s="70"/>
      <c r="Q411" s="70"/>
      <c r="R411" s="70"/>
      <c r="S411" s="70"/>
      <c r="T411" s="70"/>
    </row>
    <row r="412" spans="2:20" x14ac:dyDescent="0.2"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9"/>
      <c r="N412" s="69"/>
      <c r="O412" s="69"/>
      <c r="P412" s="70"/>
      <c r="Q412" s="70"/>
      <c r="R412" s="70"/>
      <c r="S412" s="70"/>
      <c r="T412" s="70"/>
    </row>
    <row r="413" spans="2:20" x14ac:dyDescent="0.2"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9"/>
      <c r="N413" s="69"/>
      <c r="O413" s="69"/>
      <c r="P413" s="70"/>
      <c r="Q413" s="70"/>
      <c r="R413" s="70"/>
      <c r="S413" s="70"/>
      <c r="T413" s="70"/>
    </row>
    <row r="414" spans="2:20" x14ac:dyDescent="0.2"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9"/>
      <c r="N414" s="69"/>
      <c r="O414" s="69"/>
      <c r="P414" s="70"/>
      <c r="Q414" s="70"/>
      <c r="R414" s="70"/>
      <c r="S414" s="70"/>
      <c r="T414" s="70"/>
    </row>
    <row r="415" spans="2:20" x14ac:dyDescent="0.2"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9"/>
      <c r="N415" s="69"/>
      <c r="O415" s="69"/>
      <c r="P415" s="70"/>
      <c r="Q415" s="70"/>
      <c r="R415" s="70"/>
      <c r="S415" s="70"/>
      <c r="T415" s="70"/>
    </row>
    <row r="416" spans="2:20" x14ac:dyDescent="0.2"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9"/>
      <c r="N416" s="69"/>
      <c r="O416" s="69"/>
      <c r="P416" s="70"/>
      <c r="Q416" s="70"/>
      <c r="R416" s="70"/>
      <c r="S416" s="70"/>
      <c r="T416" s="70"/>
    </row>
    <row r="417" spans="2:20" x14ac:dyDescent="0.2"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9"/>
      <c r="N417" s="69"/>
      <c r="O417" s="69"/>
      <c r="P417" s="70"/>
      <c r="Q417" s="70"/>
      <c r="R417" s="70"/>
      <c r="S417" s="70"/>
      <c r="T417" s="70"/>
    </row>
    <row r="418" spans="2:20" x14ac:dyDescent="0.2"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9"/>
      <c r="N418" s="69"/>
      <c r="O418" s="69"/>
      <c r="P418" s="70"/>
      <c r="Q418" s="70"/>
      <c r="R418" s="70"/>
      <c r="S418" s="70"/>
      <c r="T418" s="70"/>
    </row>
    <row r="419" spans="2:20" x14ac:dyDescent="0.2"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9"/>
      <c r="N419" s="69"/>
      <c r="O419" s="69"/>
      <c r="P419" s="70"/>
      <c r="Q419" s="70"/>
      <c r="R419" s="70"/>
      <c r="S419" s="70"/>
      <c r="T419" s="70"/>
    </row>
    <row r="420" spans="2:20" x14ac:dyDescent="0.2"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9"/>
      <c r="N420" s="69"/>
      <c r="O420" s="69"/>
      <c r="P420" s="70"/>
      <c r="Q420" s="70"/>
      <c r="R420" s="70"/>
      <c r="S420" s="70"/>
      <c r="T420" s="70"/>
    </row>
    <row r="421" spans="2:20" x14ac:dyDescent="0.2"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9"/>
      <c r="N421" s="69"/>
      <c r="O421" s="69"/>
      <c r="P421" s="70"/>
      <c r="Q421" s="70"/>
      <c r="R421" s="70"/>
      <c r="S421" s="70"/>
      <c r="T421" s="70"/>
    </row>
    <row r="422" spans="2:20" x14ac:dyDescent="0.2"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9"/>
      <c r="N422" s="69"/>
      <c r="O422" s="69"/>
      <c r="P422" s="70"/>
      <c r="Q422" s="70"/>
      <c r="R422" s="70"/>
      <c r="S422" s="70"/>
      <c r="T422" s="70"/>
    </row>
    <row r="423" spans="2:20" x14ac:dyDescent="0.2"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9"/>
      <c r="N423" s="69"/>
      <c r="O423" s="69"/>
      <c r="P423" s="70"/>
      <c r="Q423" s="70"/>
      <c r="R423" s="70"/>
      <c r="S423" s="70"/>
      <c r="T423" s="70"/>
    </row>
    <row r="424" spans="2:20" x14ac:dyDescent="0.2"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9"/>
      <c r="N424" s="69"/>
      <c r="O424" s="69"/>
      <c r="P424" s="70"/>
      <c r="Q424" s="70"/>
      <c r="R424" s="70"/>
      <c r="S424" s="70"/>
      <c r="T424" s="70"/>
    </row>
    <row r="425" spans="2:20" x14ac:dyDescent="0.2"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9"/>
      <c r="N425" s="69"/>
      <c r="O425" s="69"/>
      <c r="P425" s="70"/>
      <c r="Q425" s="70"/>
      <c r="R425" s="70"/>
      <c r="S425" s="70"/>
      <c r="T425" s="70"/>
    </row>
    <row r="426" spans="2:20" x14ac:dyDescent="0.2"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9"/>
      <c r="N426" s="69"/>
      <c r="O426" s="69"/>
      <c r="P426" s="70"/>
      <c r="Q426" s="70"/>
      <c r="R426" s="70"/>
      <c r="S426" s="70"/>
      <c r="T426" s="70"/>
    </row>
    <row r="427" spans="2:20" x14ac:dyDescent="0.2"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9"/>
      <c r="N427" s="69"/>
      <c r="O427" s="69"/>
      <c r="P427" s="70"/>
      <c r="Q427" s="70"/>
      <c r="R427" s="70"/>
      <c r="S427" s="70"/>
      <c r="T427" s="70"/>
    </row>
    <row r="428" spans="2:20" x14ac:dyDescent="0.2"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9"/>
      <c r="N428" s="69"/>
      <c r="O428" s="69"/>
      <c r="P428" s="70"/>
      <c r="Q428" s="70"/>
      <c r="R428" s="70"/>
      <c r="S428" s="70"/>
      <c r="T428" s="70"/>
    </row>
    <row r="429" spans="2:20" x14ac:dyDescent="0.2"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9"/>
      <c r="N429" s="69"/>
      <c r="O429" s="69"/>
      <c r="P429" s="70"/>
      <c r="Q429" s="70"/>
      <c r="R429" s="70"/>
      <c r="S429" s="70"/>
      <c r="T429" s="70"/>
    </row>
    <row r="430" spans="2:20" x14ac:dyDescent="0.2"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9"/>
      <c r="N430" s="69"/>
      <c r="O430" s="69"/>
      <c r="P430" s="70"/>
      <c r="Q430" s="70"/>
      <c r="R430" s="70"/>
      <c r="S430" s="70"/>
      <c r="T430" s="70"/>
    </row>
    <row r="431" spans="2:20" x14ac:dyDescent="0.2"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9"/>
      <c r="N431" s="69"/>
      <c r="O431" s="69"/>
      <c r="P431" s="70"/>
      <c r="Q431" s="70"/>
      <c r="R431" s="70"/>
      <c r="S431" s="70"/>
      <c r="T431" s="70"/>
    </row>
    <row r="432" spans="2:20" x14ac:dyDescent="0.2"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9"/>
      <c r="N432" s="69"/>
      <c r="O432" s="69"/>
      <c r="P432" s="70"/>
      <c r="Q432" s="70"/>
      <c r="R432" s="70"/>
      <c r="S432" s="70"/>
      <c r="T432" s="70"/>
    </row>
    <row r="433" spans="2:20" x14ac:dyDescent="0.2"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9"/>
      <c r="N433" s="69"/>
      <c r="O433" s="69"/>
      <c r="P433" s="70"/>
      <c r="Q433" s="70"/>
      <c r="R433" s="70"/>
      <c r="S433" s="70"/>
      <c r="T433" s="70"/>
    </row>
    <row r="434" spans="2:20" x14ac:dyDescent="0.2"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9"/>
      <c r="N434" s="69"/>
      <c r="O434" s="69"/>
      <c r="P434" s="70"/>
      <c r="Q434" s="70"/>
      <c r="R434" s="70"/>
      <c r="S434" s="70"/>
      <c r="T434" s="70"/>
    </row>
    <row r="435" spans="2:20" x14ac:dyDescent="0.2"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9"/>
      <c r="N435" s="69"/>
      <c r="O435" s="69"/>
      <c r="P435" s="70"/>
      <c r="Q435" s="70"/>
      <c r="R435" s="70"/>
      <c r="S435" s="70"/>
      <c r="T435" s="70"/>
    </row>
    <row r="436" spans="2:20" x14ac:dyDescent="0.2"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9"/>
      <c r="N436" s="69"/>
      <c r="O436" s="69"/>
      <c r="P436" s="70"/>
      <c r="Q436" s="70"/>
      <c r="R436" s="70"/>
      <c r="S436" s="70"/>
      <c r="T436" s="70"/>
    </row>
    <row r="437" spans="2:20" x14ac:dyDescent="0.2"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9"/>
      <c r="N437" s="69"/>
      <c r="O437" s="69"/>
      <c r="P437" s="70"/>
      <c r="Q437" s="70"/>
      <c r="R437" s="70"/>
      <c r="S437" s="70"/>
      <c r="T437" s="70"/>
    </row>
    <row r="438" spans="2:20" x14ac:dyDescent="0.2"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9"/>
      <c r="N438" s="69"/>
      <c r="O438" s="69"/>
      <c r="P438" s="70"/>
      <c r="Q438" s="70"/>
      <c r="R438" s="70"/>
      <c r="S438" s="70"/>
      <c r="T438" s="70"/>
    </row>
    <row r="439" spans="2:20" x14ac:dyDescent="0.2"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9"/>
      <c r="N439" s="69"/>
      <c r="O439" s="69"/>
      <c r="P439" s="70"/>
      <c r="Q439" s="70"/>
      <c r="R439" s="70"/>
      <c r="S439" s="70"/>
      <c r="T439" s="70"/>
    </row>
    <row r="440" spans="2:20" x14ac:dyDescent="0.2"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9"/>
      <c r="N440" s="69"/>
      <c r="O440" s="69"/>
      <c r="P440" s="70"/>
      <c r="Q440" s="70"/>
      <c r="R440" s="70"/>
      <c r="S440" s="70"/>
      <c r="T440" s="70"/>
    </row>
    <row r="441" spans="2:20" x14ac:dyDescent="0.2"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9"/>
      <c r="N441" s="69"/>
      <c r="O441" s="69"/>
      <c r="P441" s="70"/>
      <c r="Q441" s="70"/>
      <c r="R441" s="70"/>
      <c r="S441" s="70"/>
      <c r="T441" s="70"/>
    </row>
    <row r="442" spans="2:20" x14ac:dyDescent="0.2"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9"/>
      <c r="N442" s="69"/>
      <c r="O442" s="69"/>
      <c r="P442" s="70"/>
      <c r="Q442" s="70"/>
      <c r="R442" s="70"/>
      <c r="S442" s="70"/>
      <c r="T442" s="70"/>
    </row>
    <row r="443" spans="2:20" x14ac:dyDescent="0.2"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9"/>
      <c r="N443" s="69"/>
      <c r="O443" s="69"/>
      <c r="P443" s="70"/>
      <c r="Q443" s="70"/>
      <c r="R443" s="70"/>
      <c r="S443" s="70"/>
      <c r="T443" s="70"/>
    </row>
    <row r="444" spans="2:20" x14ac:dyDescent="0.2"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9"/>
      <c r="N444" s="69"/>
      <c r="O444" s="69"/>
      <c r="P444" s="70"/>
      <c r="Q444" s="70"/>
      <c r="R444" s="70"/>
      <c r="S444" s="70"/>
      <c r="T444" s="70"/>
    </row>
    <row r="445" spans="2:20" x14ac:dyDescent="0.2"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9"/>
      <c r="N445" s="69"/>
      <c r="O445" s="69"/>
      <c r="P445" s="70"/>
      <c r="Q445" s="70"/>
      <c r="R445" s="70"/>
      <c r="S445" s="70"/>
      <c r="T445" s="70"/>
    </row>
    <row r="446" spans="2:20" x14ac:dyDescent="0.2"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9"/>
      <c r="N446" s="69"/>
      <c r="O446" s="69"/>
      <c r="P446" s="70"/>
      <c r="Q446" s="70"/>
      <c r="R446" s="70"/>
      <c r="S446" s="70"/>
      <c r="T446" s="70"/>
    </row>
    <row r="447" spans="2:20" x14ac:dyDescent="0.2"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9"/>
      <c r="N447" s="69"/>
      <c r="O447" s="69"/>
      <c r="P447" s="70"/>
      <c r="Q447" s="70"/>
      <c r="R447" s="70"/>
      <c r="S447" s="70"/>
      <c r="T447" s="70"/>
    </row>
    <row r="448" spans="2:20" x14ac:dyDescent="0.2"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9"/>
      <c r="N448" s="69"/>
      <c r="O448" s="69"/>
      <c r="P448" s="70"/>
      <c r="Q448" s="70"/>
      <c r="R448" s="70"/>
      <c r="S448" s="70"/>
      <c r="T448" s="70"/>
    </row>
    <row r="449" spans="2:20" x14ac:dyDescent="0.2"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9"/>
      <c r="N449" s="69"/>
      <c r="O449" s="69"/>
      <c r="P449" s="70"/>
      <c r="Q449" s="70"/>
      <c r="R449" s="70"/>
      <c r="S449" s="70"/>
      <c r="T449" s="70"/>
    </row>
    <row r="450" spans="2:20" x14ac:dyDescent="0.2"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9"/>
      <c r="N450" s="69"/>
      <c r="O450" s="69"/>
      <c r="P450" s="70"/>
      <c r="Q450" s="70"/>
      <c r="R450" s="70"/>
      <c r="S450" s="70"/>
      <c r="T450" s="70"/>
    </row>
    <row r="451" spans="2:20" x14ac:dyDescent="0.2"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9"/>
      <c r="N451" s="69"/>
      <c r="O451" s="69"/>
      <c r="P451" s="70"/>
      <c r="Q451" s="70"/>
      <c r="R451" s="70"/>
      <c r="S451" s="70"/>
      <c r="T451" s="70"/>
    </row>
    <row r="452" spans="2:20" x14ac:dyDescent="0.2"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9"/>
      <c r="N452" s="69"/>
      <c r="O452" s="69"/>
      <c r="P452" s="70"/>
      <c r="Q452" s="70"/>
      <c r="R452" s="70"/>
      <c r="S452" s="70"/>
      <c r="T452" s="70"/>
    </row>
    <row r="453" spans="2:20" x14ac:dyDescent="0.2"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9"/>
      <c r="N453" s="69"/>
      <c r="O453" s="69"/>
      <c r="P453" s="70"/>
      <c r="Q453" s="70"/>
      <c r="R453" s="70"/>
      <c r="S453" s="70"/>
      <c r="T453" s="70"/>
    </row>
    <row r="454" spans="2:20" x14ac:dyDescent="0.2"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9"/>
      <c r="N454" s="69"/>
      <c r="O454" s="69"/>
      <c r="P454" s="70"/>
      <c r="Q454" s="70"/>
      <c r="R454" s="70"/>
      <c r="S454" s="70"/>
      <c r="T454" s="70"/>
    </row>
    <row r="455" spans="2:20" x14ac:dyDescent="0.2"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9"/>
      <c r="N455" s="69"/>
      <c r="O455" s="69"/>
      <c r="P455" s="70"/>
      <c r="Q455" s="70"/>
      <c r="R455" s="70"/>
      <c r="S455" s="70"/>
      <c r="T455" s="70"/>
    </row>
    <row r="456" spans="2:20" x14ac:dyDescent="0.2"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9"/>
      <c r="N456" s="69"/>
      <c r="O456" s="69"/>
      <c r="P456" s="70"/>
      <c r="Q456" s="70"/>
      <c r="R456" s="70"/>
      <c r="S456" s="70"/>
      <c r="T456" s="70"/>
    </row>
    <row r="457" spans="2:20" x14ac:dyDescent="0.2"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9"/>
      <c r="N457" s="69"/>
      <c r="O457" s="69"/>
      <c r="P457" s="70"/>
      <c r="Q457" s="70"/>
      <c r="R457" s="70"/>
      <c r="S457" s="70"/>
      <c r="T457" s="70"/>
    </row>
    <row r="458" spans="2:20" x14ac:dyDescent="0.2"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9"/>
      <c r="N458" s="69"/>
      <c r="O458" s="69"/>
      <c r="P458" s="70"/>
      <c r="Q458" s="70"/>
      <c r="R458" s="70"/>
      <c r="S458" s="70"/>
      <c r="T458" s="70"/>
    </row>
    <row r="459" spans="2:20" x14ac:dyDescent="0.2"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9"/>
      <c r="N459" s="69"/>
      <c r="O459" s="69"/>
      <c r="P459" s="70"/>
      <c r="Q459" s="70"/>
      <c r="R459" s="70"/>
      <c r="S459" s="70"/>
      <c r="T459" s="70"/>
    </row>
    <row r="460" spans="2:20" x14ac:dyDescent="0.2"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9"/>
      <c r="N460" s="69"/>
      <c r="O460" s="69"/>
      <c r="P460" s="70"/>
      <c r="Q460" s="70"/>
      <c r="R460" s="70"/>
      <c r="S460" s="70"/>
      <c r="T460" s="70"/>
    </row>
    <row r="461" spans="2:20" x14ac:dyDescent="0.2"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9"/>
      <c r="N461" s="69"/>
      <c r="O461" s="69"/>
      <c r="P461" s="70"/>
      <c r="Q461" s="70"/>
      <c r="R461" s="70"/>
      <c r="S461" s="70"/>
      <c r="T461" s="70"/>
    </row>
    <row r="462" spans="2:20" x14ac:dyDescent="0.2"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9"/>
      <c r="N462" s="69"/>
      <c r="O462" s="69"/>
      <c r="P462" s="70"/>
      <c r="Q462" s="70"/>
      <c r="R462" s="70"/>
      <c r="S462" s="70"/>
      <c r="T462" s="70"/>
    </row>
    <row r="463" spans="2:20" x14ac:dyDescent="0.2"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9"/>
      <c r="N463" s="69"/>
      <c r="O463" s="69"/>
      <c r="P463" s="70"/>
      <c r="Q463" s="70"/>
      <c r="R463" s="70"/>
      <c r="S463" s="70"/>
      <c r="T463" s="70"/>
    </row>
    <row r="464" spans="2:20" x14ac:dyDescent="0.2"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9"/>
      <c r="N464" s="69"/>
      <c r="O464" s="69"/>
      <c r="P464" s="70"/>
      <c r="Q464" s="70"/>
      <c r="R464" s="70"/>
      <c r="S464" s="70"/>
      <c r="T464" s="70"/>
    </row>
    <row r="465" spans="2:20" x14ac:dyDescent="0.2"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9"/>
      <c r="N465" s="69"/>
      <c r="O465" s="69"/>
      <c r="P465" s="70"/>
      <c r="Q465" s="70"/>
      <c r="R465" s="70"/>
      <c r="S465" s="70"/>
      <c r="T465" s="70"/>
    </row>
    <row r="466" spans="2:20" x14ac:dyDescent="0.2"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9"/>
      <c r="N466" s="69"/>
      <c r="O466" s="69"/>
      <c r="P466" s="70"/>
      <c r="Q466" s="70"/>
      <c r="R466" s="70"/>
      <c r="S466" s="70"/>
      <c r="T466" s="70"/>
    </row>
    <row r="467" spans="2:20" x14ac:dyDescent="0.2"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9"/>
      <c r="N467" s="69"/>
      <c r="O467" s="69"/>
      <c r="P467" s="70"/>
      <c r="Q467" s="70"/>
      <c r="R467" s="70"/>
      <c r="S467" s="70"/>
      <c r="T467" s="70"/>
    </row>
    <row r="468" spans="2:20" x14ac:dyDescent="0.2"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9"/>
      <c r="N468" s="69"/>
      <c r="O468" s="69"/>
      <c r="P468" s="70"/>
      <c r="Q468" s="70"/>
      <c r="R468" s="70"/>
      <c r="S468" s="70"/>
      <c r="T468" s="70"/>
    </row>
    <row r="469" spans="2:20" x14ac:dyDescent="0.2"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9"/>
      <c r="N469" s="69"/>
      <c r="O469" s="69"/>
      <c r="P469" s="70"/>
      <c r="Q469" s="70"/>
      <c r="R469" s="70"/>
      <c r="S469" s="70"/>
      <c r="T469" s="70"/>
    </row>
    <row r="470" spans="2:20" x14ac:dyDescent="0.2"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9"/>
      <c r="N470" s="69"/>
      <c r="O470" s="69"/>
      <c r="P470" s="70"/>
      <c r="Q470" s="70"/>
      <c r="R470" s="70"/>
      <c r="S470" s="70"/>
      <c r="T470" s="70"/>
    </row>
    <row r="471" spans="2:20" x14ac:dyDescent="0.2"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9"/>
      <c r="N471" s="69"/>
      <c r="O471" s="69"/>
      <c r="P471" s="70"/>
      <c r="Q471" s="70"/>
      <c r="R471" s="70"/>
      <c r="S471" s="70"/>
      <c r="T471" s="70"/>
    </row>
    <row r="472" spans="2:20" x14ac:dyDescent="0.2"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9"/>
      <c r="N472" s="69"/>
      <c r="O472" s="69"/>
      <c r="P472" s="70"/>
      <c r="Q472" s="70"/>
      <c r="R472" s="70"/>
      <c r="S472" s="70"/>
      <c r="T472" s="70"/>
    </row>
    <row r="473" spans="2:20" x14ac:dyDescent="0.2"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9"/>
      <c r="N473" s="69"/>
      <c r="O473" s="69"/>
      <c r="P473" s="70"/>
      <c r="Q473" s="70"/>
      <c r="R473" s="70"/>
      <c r="S473" s="70"/>
      <c r="T473" s="70"/>
    </row>
    <row r="474" spans="2:20" x14ac:dyDescent="0.2"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9"/>
      <c r="N474" s="69"/>
      <c r="O474" s="69"/>
      <c r="P474" s="70"/>
      <c r="Q474" s="70"/>
      <c r="R474" s="70"/>
      <c r="S474" s="70"/>
      <c r="T474" s="70"/>
    </row>
    <row r="475" spans="2:20" x14ac:dyDescent="0.2"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9"/>
      <c r="N475" s="69"/>
      <c r="O475" s="69"/>
      <c r="P475" s="70"/>
      <c r="Q475" s="70"/>
      <c r="R475" s="70"/>
      <c r="S475" s="70"/>
      <c r="T475" s="70"/>
    </row>
    <row r="476" spans="2:20" x14ac:dyDescent="0.2"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9"/>
      <c r="N476" s="69"/>
      <c r="O476" s="69"/>
      <c r="P476" s="70"/>
      <c r="Q476" s="70"/>
      <c r="R476" s="70"/>
      <c r="S476" s="70"/>
      <c r="T476" s="70"/>
    </row>
    <row r="477" spans="2:20" x14ac:dyDescent="0.2"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9"/>
      <c r="N477" s="69"/>
      <c r="O477" s="69"/>
      <c r="P477" s="70"/>
      <c r="Q477" s="70"/>
      <c r="R477" s="70"/>
      <c r="S477" s="70"/>
      <c r="T477" s="70"/>
    </row>
    <row r="478" spans="2:20" x14ac:dyDescent="0.2"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9"/>
      <c r="N478" s="69"/>
      <c r="O478" s="69"/>
      <c r="P478" s="70"/>
      <c r="Q478" s="70"/>
      <c r="R478" s="70"/>
      <c r="S478" s="70"/>
      <c r="T478" s="70"/>
    </row>
    <row r="479" spans="2:20" x14ac:dyDescent="0.2"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9"/>
      <c r="N479" s="69"/>
      <c r="O479" s="69"/>
      <c r="P479" s="70"/>
      <c r="Q479" s="70"/>
      <c r="R479" s="70"/>
      <c r="S479" s="70"/>
      <c r="T479" s="70"/>
    </row>
    <row r="480" spans="2:20" x14ac:dyDescent="0.2"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9"/>
      <c r="N480" s="69"/>
      <c r="O480" s="69"/>
      <c r="P480" s="70"/>
      <c r="Q480" s="70"/>
      <c r="R480" s="70"/>
      <c r="S480" s="70"/>
      <c r="T480" s="70"/>
    </row>
    <row r="481" spans="2:20" x14ac:dyDescent="0.2"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9"/>
      <c r="N481" s="69"/>
      <c r="O481" s="69"/>
      <c r="P481" s="70"/>
      <c r="Q481" s="70"/>
      <c r="R481" s="70"/>
      <c r="S481" s="70"/>
      <c r="T481" s="70"/>
    </row>
    <row r="482" spans="2:20" x14ac:dyDescent="0.2"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9"/>
      <c r="N482" s="69"/>
      <c r="O482" s="69"/>
      <c r="P482" s="70"/>
      <c r="Q482" s="70"/>
      <c r="R482" s="70"/>
      <c r="S482" s="70"/>
      <c r="T482" s="70"/>
    </row>
    <row r="483" spans="2:20" x14ac:dyDescent="0.2"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9"/>
      <c r="N483" s="69"/>
      <c r="O483" s="69"/>
      <c r="P483" s="70"/>
      <c r="Q483" s="70"/>
      <c r="R483" s="70"/>
      <c r="S483" s="70"/>
      <c r="T483" s="70"/>
    </row>
    <row r="484" spans="2:20" x14ac:dyDescent="0.2"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9"/>
      <c r="N484" s="69"/>
      <c r="O484" s="69"/>
      <c r="P484" s="70"/>
      <c r="Q484" s="70"/>
      <c r="R484" s="70"/>
      <c r="S484" s="70"/>
      <c r="T484" s="70"/>
    </row>
    <row r="485" spans="2:20" x14ac:dyDescent="0.2"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9"/>
      <c r="N485" s="69"/>
      <c r="O485" s="69"/>
      <c r="P485" s="70"/>
      <c r="Q485" s="70"/>
      <c r="R485" s="70"/>
      <c r="S485" s="70"/>
      <c r="T485" s="70"/>
    </row>
    <row r="486" spans="2:20" x14ac:dyDescent="0.2"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9"/>
      <c r="N486" s="69"/>
      <c r="O486" s="69"/>
      <c r="P486" s="70"/>
      <c r="Q486" s="70"/>
      <c r="R486" s="70"/>
      <c r="S486" s="70"/>
      <c r="T486" s="70"/>
    </row>
    <row r="487" spans="2:20" x14ac:dyDescent="0.2"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9"/>
      <c r="N487" s="69"/>
      <c r="O487" s="69"/>
      <c r="P487" s="70"/>
      <c r="Q487" s="70"/>
      <c r="R487" s="70"/>
      <c r="S487" s="70"/>
      <c r="T487" s="70"/>
    </row>
    <row r="488" spans="2:20" x14ac:dyDescent="0.2"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9"/>
      <c r="N488" s="69"/>
      <c r="O488" s="69"/>
      <c r="P488" s="70"/>
      <c r="Q488" s="70"/>
      <c r="R488" s="70"/>
      <c r="S488" s="70"/>
      <c r="T488" s="70"/>
    </row>
    <row r="489" spans="2:20" x14ac:dyDescent="0.2"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9"/>
      <c r="N489" s="69"/>
      <c r="O489" s="69"/>
      <c r="P489" s="70"/>
      <c r="Q489" s="70"/>
      <c r="R489" s="70"/>
      <c r="S489" s="70"/>
      <c r="T489" s="70"/>
    </row>
    <row r="490" spans="2:20" x14ac:dyDescent="0.2"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9"/>
      <c r="N490" s="69"/>
      <c r="O490" s="69"/>
      <c r="P490" s="70"/>
      <c r="Q490" s="70"/>
      <c r="R490" s="70"/>
      <c r="S490" s="70"/>
      <c r="T490" s="70"/>
    </row>
    <row r="491" spans="2:20" x14ac:dyDescent="0.2"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9"/>
      <c r="N491" s="69"/>
      <c r="O491" s="69"/>
      <c r="P491" s="70"/>
      <c r="Q491" s="70"/>
      <c r="R491" s="70"/>
      <c r="S491" s="70"/>
      <c r="T491" s="70"/>
    </row>
    <row r="492" spans="2:20" x14ac:dyDescent="0.2"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9"/>
      <c r="N492" s="69"/>
      <c r="O492" s="69"/>
      <c r="P492" s="70"/>
      <c r="Q492" s="70"/>
      <c r="R492" s="70"/>
      <c r="S492" s="70"/>
      <c r="T492" s="70"/>
    </row>
    <row r="493" spans="2:20" x14ac:dyDescent="0.2"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9"/>
      <c r="N493" s="69"/>
      <c r="O493" s="69"/>
      <c r="P493" s="70"/>
      <c r="Q493" s="70"/>
      <c r="R493" s="70"/>
      <c r="S493" s="70"/>
      <c r="T493" s="70"/>
    </row>
    <row r="494" spans="2:20" x14ac:dyDescent="0.2"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9"/>
      <c r="N494" s="69"/>
      <c r="O494" s="69"/>
      <c r="P494" s="70"/>
      <c r="Q494" s="70"/>
      <c r="R494" s="70"/>
      <c r="S494" s="70"/>
      <c r="T494" s="70"/>
    </row>
    <row r="495" spans="2:20" x14ac:dyDescent="0.2"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9"/>
      <c r="N495" s="69"/>
      <c r="O495" s="69"/>
      <c r="P495" s="70"/>
      <c r="Q495" s="70"/>
      <c r="R495" s="70"/>
      <c r="S495" s="70"/>
      <c r="T495" s="70"/>
    </row>
    <row r="496" spans="2:20" x14ac:dyDescent="0.2"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9"/>
      <c r="N496" s="69"/>
      <c r="O496" s="69"/>
      <c r="P496" s="70"/>
      <c r="Q496" s="70"/>
      <c r="R496" s="70"/>
      <c r="S496" s="70"/>
      <c r="T496" s="70"/>
    </row>
    <row r="497" spans="2:20" x14ac:dyDescent="0.2"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9"/>
      <c r="N497" s="69"/>
      <c r="O497" s="69"/>
      <c r="P497" s="70"/>
      <c r="Q497" s="70"/>
      <c r="R497" s="70"/>
      <c r="S497" s="70"/>
      <c r="T497" s="70"/>
    </row>
    <row r="498" spans="2:20" x14ac:dyDescent="0.2"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9"/>
      <c r="N498" s="69"/>
      <c r="O498" s="69"/>
      <c r="P498" s="70"/>
      <c r="Q498" s="70"/>
      <c r="R498" s="70"/>
      <c r="S498" s="70"/>
      <c r="T498" s="70"/>
    </row>
    <row r="499" spans="2:20" x14ac:dyDescent="0.2"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9"/>
      <c r="N499" s="69"/>
      <c r="O499" s="69"/>
      <c r="P499" s="70"/>
      <c r="Q499" s="70"/>
      <c r="R499" s="70"/>
      <c r="S499" s="70"/>
      <c r="T499" s="70"/>
    </row>
    <row r="500" spans="2:20" x14ac:dyDescent="0.2"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9"/>
      <c r="N500" s="69"/>
      <c r="O500" s="69"/>
      <c r="P500" s="70"/>
      <c r="Q500" s="70"/>
      <c r="R500" s="70"/>
      <c r="S500" s="70"/>
      <c r="T500" s="70"/>
    </row>
    <row r="501" spans="2:20" x14ac:dyDescent="0.2"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9"/>
      <c r="N501" s="69"/>
      <c r="O501" s="69"/>
      <c r="P501" s="70"/>
      <c r="Q501" s="70"/>
      <c r="R501" s="70"/>
      <c r="S501" s="70"/>
      <c r="T501" s="70"/>
    </row>
    <row r="502" spans="2:20" x14ac:dyDescent="0.2"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9"/>
      <c r="N502" s="69"/>
      <c r="O502" s="69"/>
      <c r="P502" s="70"/>
      <c r="Q502" s="70"/>
      <c r="R502" s="70"/>
      <c r="S502" s="70"/>
      <c r="T502" s="70"/>
    </row>
    <row r="503" spans="2:20" x14ac:dyDescent="0.2"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9"/>
      <c r="N503" s="69"/>
      <c r="O503" s="69"/>
      <c r="P503" s="70"/>
      <c r="Q503" s="70"/>
      <c r="R503" s="70"/>
      <c r="S503" s="70"/>
      <c r="T503" s="70"/>
    </row>
    <row r="504" spans="2:20" x14ac:dyDescent="0.2"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9"/>
      <c r="N504" s="69"/>
      <c r="O504" s="69"/>
      <c r="P504" s="70"/>
      <c r="Q504" s="70"/>
      <c r="R504" s="70"/>
      <c r="S504" s="70"/>
      <c r="T504" s="70"/>
    </row>
    <row r="505" spans="2:20" x14ac:dyDescent="0.2"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9"/>
      <c r="N505" s="69"/>
      <c r="O505" s="69"/>
      <c r="P505" s="70"/>
      <c r="Q505" s="70"/>
      <c r="R505" s="70"/>
      <c r="S505" s="70"/>
      <c r="T505" s="70"/>
    </row>
    <row r="506" spans="2:20" x14ac:dyDescent="0.2"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9"/>
      <c r="N506" s="69"/>
      <c r="O506" s="69"/>
      <c r="P506" s="70"/>
      <c r="Q506" s="70"/>
      <c r="R506" s="70"/>
      <c r="S506" s="70"/>
      <c r="T506" s="70"/>
    </row>
  </sheetData>
  <mergeCells count="14">
    <mergeCell ref="G1:G3"/>
    <mergeCell ref="A1:A3"/>
    <mergeCell ref="C1:C3"/>
    <mergeCell ref="D1:D3"/>
    <mergeCell ref="E1:E3"/>
    <mergeCell ref="F1:F3"/>
    <mergeCell ref="Z1:AD2"/>
    <mergeCell ref="M2:Q2"/>
    <mergeCell ref="H1:H3"/>
    <mergeCell ref="I1:I3"/>
    <mergeCell ref="J1:J3"/>
    <mergeCell ref="K1:K3"/>
    <mergeCell ref="L1:L3"/>
    <mergeCell ref="S1:Y2"/>
  </mergeCells>
  <conditionalFormatting sqref="AC4:AC14">
    <cfRule type="cellIs" dxfId="1" priority="2" operator="greaterThan">
      <formula>AD4</formula>
    </cfRule>
  </conditionalFormatting>
  <conditionalFormatting sqref="AD4:AD14">
    <cfRule type="cellIs" dxfId="0" priority="1" operator="greaterThan">
      <formula>AC4</formula>
    </cfRule>
  </conditionalFormatting>
  <dataValidations count="1">
    <dataValidation type="list" allowBlank="1" showInputMessage="1" showErrorMessage="1" sqref="S1:Y2">
      <formula1>$AE$1:$AE$2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bjects xmlns="5bf9c740-bebc-4b83-a2fb-e2015fdbd890">Logistics Calculators</Subject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D29BDA1FA0F045B4A5D9E8A8F1042D" ma:contentTypeVersion="1" ma:contentTypeDescription="Create a new document." ma:contentTypeScope="" ma:versionID="f746e0271f4296bd26101f15ff6371c0">
  <xsd:schema xmlns:xsd="http://www.w3.org/2001/XMLSchema" xmlns:xs="http://www.w3.org/2001/XMLSchema" xmlns:p="http://schemas.microsoft.com/office/2006/metadata/properties" xmlns:ns2="5bf9c740-bebc-4b83-a2fb-e2015fdbd890" targetNamespace="http://schemas.microsoft.com/office/2006/metadata/properties" ma:root="true" ma:fieldsID="90941ef124e737cd2233bea434545180" ns2:_="">
    <xsd:import namespace="5bf9c740-bebc-4b83-a2fb-e2015fdbd890"/>
    <xsd:element name="properties">
      <xsd:complexType>
        <xsd:sequence>
          <xsd:element name="documentManagement">
            <xsd:complexType>
              <xsd:all>
                <xsd:element ref="ns2:Subjec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9c740-bebc-4b83-a2fb-e2015fdbd890" elementFormDefault="qualified">
    <xsd:import namespace="http://schemas.microsoft.com/office/2006/documentManagement/types"/>
    <xsd:import namespace="http://schemas.microsoft.com/office/infopath/2007/PartnerControls"/>
    <xsd:element name="Subjects" ma:index="8" nillable="true" ma:displayName="Subjects" ma:format="Dropdown" ma:internalName="Subjects">
      <xsd:simpleType>
        <xsd:restriction base="dms:Choice">
          <xsd:enumeration value="MCIA Generic Intelligence Requirement Handbooks"/>
          <xsd:enumeration value="Logistics Calculators"/>
          <xsd:enumeration value="COC Boards and Drill Card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3CAC3C-9371-4EE7-B05B-457477F1B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D901D4-C98F-4B2B-8CFB-C211EDBA0BB4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5bf9c740-bebc-4b83-a2fb-e2015fdbd890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F1FF4CA-899D-4D9F-B58E-6E9DD1487C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f9c740-bebc-4b83-a2fb-e2015fdbd8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 EDL</vt:lpstr>
      <vt:lpstr>Loads + CPFs by TAMCN</vt:lpstr>
      <vt:lpstr>Ammo Pallet Calculator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Galima MSgt Rudy A</cp:lastModifiedBy>
  <cp:lastPrinted>2014-03-07T14:10:35Z</cp:lastPrinted>
  <dcterms:created xsi:type="dcterms:W3CDTF">2014-01-09T19:15:22Z</dcterms:created>
  <dcterms:modified xsi:type="dcterms:W3CDTF">2015-10-27T17:39:55Z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0x0101006ED29BDA1FA0F045B4A5D9E8A8F1042D</vt:lpwstr>
  </property>
  <property fmtid="{D5CDD505-2E9C-101B-9397-08002B2CF9AE}" pid="3" name="_dlc_DocIdItemGuid">
    <vt:lpwstr>a2b35e61-424b-4777-aa3b-84a33c1b1d01</vt:lpwstr>
  </property>
</Properties>
</file>